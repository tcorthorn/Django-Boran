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9b2afa76d7dee7/BRONZ/Django/Otros/"/>
    </mc:Choice>
  </mc:AlternateContent>
  <xr:revisionPtr revIDLastSave="221" documentId="8_{AC550213-4105-4600-A4F8-939340574B47}" xr6:coauthVersionLast="47" xr6:coauthVersionMax="47" xr10:uidLastSave="{53D39327-BCF4-400D-8726-AD0B0C8A32DD}"/>
  <bookViews>
    <workbookView xWindow="-108" yWindow="-108" windowWidth="23256" windowHeight="12456" activeTab="1" xr2:uid="{2EDDE334-9031-4BD4-BA07-F9E66BD48B55}"/>
  </bookViews>
  <sheets>
    <sheet name="Hoja1" sheetId="1" r:id="rId1"/>
    <sheet name="Hoja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" i="2"/>
  <c r="C52" i="1" l="1"/>
  <c r="C49" i="1"/>
  <c r="C46" i="1"/>
  <c r="C43" i="1"/>
  <c r="C39" i="1"/>
  <c r="C37" i="1"/>
  <c r="C34" i="1"/>
  <c r="C31" i="1"/>
  <c r="C30" i="1" s="1"/>
  <c r="C53" i="1" s="1"/>
  <c r="C27" i="1"/>
  <c r="C26" i="1"/>
  <c r="C25" i="1"/>
  <c r="C24" i="1"/>
  <c r="C22" i="1"/>
  <c r="C20" i="1"/>
  <c r="C19" i="1" s="1"/>
  <c r="C17" i="1"/>
  <c r="C15" i="1"/>
  <c r="C13" i="1"/>
  <c r="C11" i="1"/>
  <c r="C10" i="1"/>
  <c r="C9" i="1"/>
  <c r="C7" i="1"/>
  <c r="C5" i="1"/>
  <c r="C4" i="1"/>
  <c r="C3" i="1"/>
  <c r="C28" i="1" s="1"/>
  <c r="C5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cisalgado</author>
    <author>Denisse Paola Loaiza Ortega</author>
  </authors>
  <commentList>
    <comment ref="C2" authorId="0" shapeId="0" xr:uid="{7CBFBF62-35CE-4469-B422-7677087C812C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-efectivo
-depósito a la vista (cuenta cte)
- se </t>
        </r>
        <r>
          <rPr>
            <b/>
            <u/>
            <sz val="8"/>
            <color indexed="81"/>
            <rFont val="Tahoma"/>
            <family val="2"/>
          </rPr>
          <t>excluyen</t>
        </r>
        <r>
          <rPr>
            <sz val="8"/>
            <color indexed="81"/>
            <rFont val="Tahoma"/>
            <family val="2"/>
          </rPr>
          <t xml:space="preserve"> cheques a fecha</t>
        </r>
      </text>
    </comment>
    <comment ref="C4" authorId="0" shapeId="0" xr:uid="{BB81C458-306D-43AA-B82B-951FA8663428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-depósitos liquidables dentro de un año
- se </t>
        </r>
        <r>
          <rPr>
            <b/>
            <u/>
            <sz val="8"/>
            <color indexed="81"/>
            <rFont val="Tahoma"/>
            <family val="2"/>
          </rPr>
          <t>excluyen</t>
        </r>
        <r>
          <rPr>
            <sz val="8"/>
            <color indexed="81"/>
            <rFont val="Tahoma"/>
            <family val="2"/>
          </rPr>
          <t xml:space="preserve"> aquellos otorgados en garantía</t>
        </r>
      </text>
    </comment>
    <comment ref="C8" authorId="0" shapeId="0" xr:uid="{D58B0AA8-6930-41B7-AF6A-38DC4D02B01F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-bonos</t>
        </r>
      </text>
    </comment>
    <comment ref="C10" authorId="0" shapeId="0" xr:uid="{55E9927D-147F-4ECF-A20B-A64079907AEB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-crédito hipotecario
-subsidio</t>
        </r>
      </text>
    </comment>
    <comment ref="C11" authorId="0" shapeId="0" xr:uid="{F630F39E-E6DF-45F9-8D38-F8E1F76F07F7}">
      <text>
        <r>
          <rPr>
            <b/>
            <sz val="8"/>
            <color indexed="81"/>
            <rFont val="Tahoma"/>
            <family val="2"/>
          </rPr>
          <t xml:space="preserve">cisalgado:
</t>
        </r>
        <r>
          <rPr>
            <sz val="8"/>
            <color indexed="81"/>
            <rFont val="Tahoma"/>
            <family val="2"/>
          </rPr>
          <t>-facturas</t>
        </r>
        <r>
          <rPr>
            <sz val="8"/>
            <color indexed="81"/>
            <rFont val="Tahoma"/>
            <family val="2"/>
          </rPr>
          <t xml:space="preserve">
-ahorro previo</t>
        </r>
      </text>
    </comment>
    <comment ref="C13" authorId="0" shapeId="0" xr:uid="{0C76034E-9148-47B8-AD35-6300AE193BC0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-pago por aplicar
-cuentas x cobrar</t>
        </r>
      </text>
    </comment>
    <comment ref="C18" authorId="0" shapeId="0" xr:uid="{3001B9A0-C3B0-4642-94D6-0A3F7492B11C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-anticipo renumeración
-anticipo honorarios
-fondos por rendir</t>
        </r>
      </text>
    </comment>
    <comment ref="C20" authorId="0" shapeId="0" xr:uid="{5AC323CD-7BA4-4998-845F-A8660A15DFD3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-terrenos en proceso</t>
        </r>
      </text>
    </comment>
    <comment ref="C25" authorId="0" shapeId="0" xr:uid="{A0E894EC-E8EB-40B1-ACB9-D1E225067E4E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-pago previsional mensual</t>
        </r>
      </text>
    </comment>
    <comment ref="C26" authorId="0" shapeId="0" xr:uid="{B13D70E2-15DE-4DF0-B153-0FD5EC04A6CE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-anticipo arriendo
-anticipo seguros 
-anticipo proveedores
-otros gastos anticipados</t>
        </r>
      </text>
    </comment>
    <comment ref="C27" authorId="0" shapeId="0" xr:uid="{19D67124-5342-4796-9796-76AA72EBBF05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-cuenta cte personal
-garantías
-impuesto diferido</t>
        </r>
      </text>
    </comment>
    <comment ref="C34" authorId="0" shapeId="0" xr:uid="{0E0AF171-ECFA-4EB4-861B-0A4945146F69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-vehiculos menores
-instalaciones
-equipos oficina
-embarcaciones
-plantaciones</t>
        </r>
      </text>
    </comment>
    <comment ref="C35" authorId="0" shapeId="0" xr:uid="{BDE253CC-2740-4129-8B8F-9861F7697665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-leasing </t>
        </r>
        <r>
          <rPr>
            <b/>
            <u/>
            <sz val="8"/>
            <color indexed="81"/>
            <rFont val="Tahoma"/>
            <family val="2"/>
          </rPr>
          <t>financiero</t>
        </r>
      </text>
    </comment>
    <comment ref="C36" authorId="1" shapeId="0" xr:uid="{6EDC6BFE-4B78-41A1-AB08-2925CCA9A7D8}">
      <text>
        <r>
          <rPr>
            <sz val="8"/>
            <color indexed="81"/>
            <rFont val="Tahoma"/>
            <family val="2"/>
          </rPr>
          <t xml:space="preserve">mayor o menor valor de activo fijo
</t>
        </r>
      </text>
    </comment>
    <comment ref="C44" authorId="0" shapeId="0" xr:uid="{C4D9C824-B0B4-487A-8E78-20544F0F11D9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-terrenos y obras que serán puestas a la venta en plazo mayor a un año</t>
        </r>
      </text>
    </comment>
    <comment ref="C45" authorId="0" shapeId="0" xr:uid="{4F56FC00-17F4-4B8F-AA08-F81BF05ADA8B}">
      <text>
        <r>
          <rPr>
            <b/>
            <sz val="8"/>
            <color indexed="81"/>
            <rFont val="Tahoma"/>
            <family val="2"/>
          </rPr>
          <t xml:space="preserve">cisalgado:
</t>
        </r>
        <r>
          <rPr>
            <sz val="8"/>
            <color indexed="81"/>
            <rFont val="Tahoma"/>
            <family val="2"/>
          </rPr>
          <t>-aportes reembolsables por recuperar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-intereses diferidos por prestamos bancarios
-impuesto diferido
-pertenencias mineras
-garantias de arriendo
-otros 
-propiedad de inversión</t>
        </r>
      </text>
    </comment>
    <comment ref="C51" authorId="0" shapeId="0" xr:uid="{FE94806A-B7FE-4344-8939-6E408E703EF8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-ingresar con signo negativo</t>
        </r>
      </text>
    </comment>
    <comment ref="C52" authorId="0" shapeId="0" xr:uid="{17E03E73-60CF-4FFF-9682-4381B4DA24E9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-software
-estudio de propuesta, inversión, investigación o desarrollo
-derechos
-gastos de organización y puesta en marcha</t>
        </r>
      </text>
    </comment>
  </commentList>
</comments>
</file>

<file path=xl/sharedStrings.xml><?xml version="1.0" encoding="utf-8"?>
<sst xmlns="http://schemas.openxmlformats.org/spreadsheetml/2006/main" count="283" uniqueCount="221">
  <si>
    <t xml:space="preserve">linea </t>
  </si>
  <si>
    <t>ACTIVO</t>
  </si>
  <si>
    <t>caja y banco</t>
  </si>
  <si>
    <t>valores negociables</t>
  </si>
  <si>
    <t>depósitos a plazo</t>
  </si>
  <si>
    <t>acciones</t>
  </si>
  <si>
    <t>fondos mutuos</t>
  </si>
  <si>
    <t>pactos</t>
  </si>
  <si>
    <t>otros valores negociables</t>
  </si>
  <si>
    <t>cuentas por cobrar</t>
  </si>
  <si>
    <t>documentos por cobrar del giro</t>
  </si>
  <si>
    <t>deudores por venta</t>
  </si>
  <si>
    <t>documentos en protesto</t>
  </si>
  <si>
    <t>otras ctas. por cobrar del giro</t>
  </si>
  <si>
    <t>provisión incobrables (menos)</t>
  </si>
  <si>
    <t xml:space="preserve"> cxc a emp. afil cp</t>
  </si>
  <si>
    <t>cxc a empr. afiliadas cp op</t>
  </si>
  <si>
    <t>cxc a empr. afiliadas cp no op</t>
  </si>
  <si>
    <t>varios deudores (trabajadores)</t>
  </si>
  <si>
    <t>existencias</t>
  </si>
  <si>
    <t>materias primas y materiales</t>
  </si>
  <si>
    <t>productos en proceso</t>
  </si>
  <si>
    <t>productos terminados</t>
  </si>
  <si>
    <t>importaciones en transito</t>
  </si>
  <si>
    <t>otras existencias</t>
  </si>
  <si>
    <t>impuestos por recuperar</t>
  </si>
  <si>
    <t>gastos anticipados</t>
  </si>
  <si>
    <t>otros activos circulantes</t>
  </si>
  <si>
    <t>total activo circulante</t>
  </si>
  <si>
    <t>activo fijo</t>
  </si>
  <si>
    <t>maquinarias</t>
  </si>
  <si>
    <t>terrenos</t>
  </si>
  <si>
    <t>edificios</t>
  </si>
  <si>
    <t>otro activo fijo</t>
  </si>
  <si>
    <t>activos en leasing</t>
  </si>
  <si>
    <t>retas. técnica del act. fijo</t>
  </si>
  <si>
    <t>depreciacion acumulada (menos)</t>
  </si>
  <si>
    <t>depreciacion del ejercicio (menos)</t>
  </si>
  <si>
    <t>cxc a largo plazo</t>
  </si>
  <si>
    <t>provision incobrable (menos)</t>
  </si>
  <si>
    <t>cxc a emp. afil lp</t>
  </si>
  <si>
    <t>otros activos largo plazo</t>
  </si>
  <si>
    <t>otros activos largo plazo operativos</t>
  </si>
  <si>
    <t>otros activos largo plazo no operativos</t>
  </si>
  <si>
    <t>inversiones en sociedades</t>
  </si>
  <si>
    <t>inversiones en comp. afiliadas</t>
  </si>
  <si>
    <t>inversiones en otras sociedades</t>
  </si>
  <si>
    <t>activos intangibles</t>
  </si>
  <si>
    <t>menor valor de inversiones</t>
  </si>
  <si>
    <t>mayor valor de inversiones</t>
  </si>
  <si>
    <t>inversión inicial</t>
  </si>
  <si>
    <t>total activos fijos y de lp</t>
  </si>
  <si>
    <t>TOTAL DE ACTIVOS</t>
  </si>
  <si>
    <t>nto</t>
  </si>
  <si>
    <t>monto</t>
  </si>
  <si>
    <t>Resta columnas(Activos -Pasivos)  en cuentas 1010100+ resta Resta columnas(Activos -Pasivos)  en cuentas 1010101</t>
  </si>
  <si>
    <t xml:space="preserve"> (A:1010100 - P:1010100) </t>
  </si>
  <si>
    <t xml:space="preserve"> (A:1010300- P:1010300) </t>
  </si>
  <si>
    <t>Monto (logica)</t>
  </si>
  <si>
    <t xml:space="preserve"> (A:1010200- P:1010200) </t>
  </si>
  <si>
    <t>11+12+13+14+15</t>
  </si>
  <si>
    <t>21+22+23+24+25</t>
  </si>
  <si>
    <t xml:space="preserve"> (A:1010400- P:1010400) +</t>
  </si>
  <si>
    <t xml:space="preserve"> (A:1010500- P:1010500) +</t>
  </si>
  <si>
    <t xml:space="preserve"> (A:1010503- P:1010503) +</t>
  </si>
  <si>
    <t xml:space="preserve"> (A:1010501- P:1010501) +</t>
  </si>
  <si>
    <t xml:space="preserve"> (A:1010502- P:1010502) +</t>
  </si>
  <si>
    <t>31+32+35</t>
  </si>
  <si>
    <t xml:space="preserve"> (A:1010800- P:1010800) </t>
  </si>
  <si>
    <t>41+42+43+44+45</t>
  </si>
  <si>
    <t xml:space="preserve"> (A:1010300- P:1010300) +</t>
  </si>
  <si>
    <t xml:space="preserve"> (A:1010301- P:1010301) +</t>
  </si>
  <si>
    <t xml:space="preserve"> (A:1010302- P:1010302) +</t>
  </si>
  <si>
    <t xml:space="preserve"> (A:1010303- P:1010303) +</t>
  </si>
  <si>
    <t xml:space="preserve"> (A:1010304- P:1010304) +</t>
  </si>
  <si>
    <t xml:space="preserve"> (A:1010305- P:1010305) +</t>
  </si>
  <si>
    <t xml:space="preserve"> (A:1010306- P:1010306) +</t>
  </si>
  <si>
    <t xml:space="preserve"> (A:1010900- P:1010900) +</t>
  </si>
  <si>
    <t xml:space="preserve"> (A:1010901- P:1010901) +</t>
  </si>
  <si>
    <t xml:space="preserve"> (A:1011000- P:101000) +</t>
  </si>
  <si>
    <t xml:space="preserve"> (A:1011100- P:101100) +</t>
  </si>
  <si>
    <t xml:space="preserve"> (A:1011101- P:101101) +</t>
  </si>
  <si>
    <t xml:space="preserve"> (A:1011102- P:101102) +</t>
  </si>
  <si>
    <t xml:space="preserve"> (A:1011103- P:101103) +</t>
  </si>
  <si>
    <t xml:space="preserve"> (A:1011501- P:1011501) +</t>
  </si>
  <si>
    <t xml:space="preserve"> (A:120300- P:1020300) +</t>
  </si>
  <si>
    <t xml:space="preserve"> (A:120301- P:1020301) +</t>
  </si>
  <si>
    <t xml:space="preserve"> (A:120302- P:1020302) +</t>
  </si>
  <si>
    <t xml:space="preserve"> (A:120303- P:1020303) +</t>
  </si>
  <si>
    <t>10+20+30+40+50+55+60</t>
  </si>
  <si>
    <t>71+72+73+74+75</t>
  </si>
  <si>
    <t xml:space="preserve"> (A:1010500- P:1010500 +</t>
  </si>
  <si>
    <t xml:space="preserve"> (A:1010600- P:1010600 +</t>
  </si>
  <si>
    <t xml:space="preserve"> (A:1020350- P:1020350 +</t>
  </si>
  <si>
    <t>96+97+98</t>
  </si>
  <si>
    <t xml:space="preserve"> (A:120370- P:1020370) +</t>
  </si>
  <si>
    <t xml:space="preserve"> (A:120380- P:1020380) +</t>
  </si>
  <si>
    <t xml:space="preserve"> (A:120400- P:1020400) +</t>
  </si>
  <si>
    <t>106+107</t>
  </si>
  <si>
    <t>111+112</t>
  </si>
  <si>
    <t>121+122+123</t>
  </si>
  <si>
    <t>70+95+105+110+120</t>
  </si>
  <si>
    <t>65+125</t>
  </si>
  <si>
    <t>PASIVO</t>
  </si>
  <si>
    <t>deuda financiera CP</t>
  </si>
  <si>
    <t>deudas LP con vencimiento en C</t>
  </si>
  <si>
    <t>acreedores por leasing CP</t>
  </si>
  <si>
    <t>cxp del giro a corto plazo</t>
  </si>
  <si>
    <t>deuda. emp. afil. cp</t>
  </si>
  <si>
    <t>deuda empr. afiliada a cp oper.</t>
  </si>
  <si>
    <t>deuda empr afiliada a cp no op.</t>
  </si>
  <si>
    <t>ingresos percibidos x adelantado</t>
  </si>
  <si>
    <t>provisiones corto plazo</t>
  </si>
  <si>
    <t>impuestos por pagar</t>
  </si>
  <si>
    <t>cuenta corriente de socios</t>
  </si>
  <si>
    <t>dividendos por pagar</t>
  </si>
  <si>
    <t>otros acreedores corto plazo</t>
  </si>
  <si>
    <t>total pasivo circulante</t>
  </si>
  <si>
    <t>deuda financiera lp</t>
  </si>
  <si>
    <t>acreedores por leasing lp</t>
  </si>
  <si>
    <t>cxp del giro a largo plazo</t>
  </si>
  <si>
    <t>cuenta corriente de socios largo plazo</t>
  </si>
  <si>
    <t>provisiones largo plazo</t>
  </si>
  <si>
    <t>otros acreed. lp</t>
  </si>
  <si>
    <t>total pasivo de largo plazo</t>
  </si>
  <si>
    <t>total pasivo exigible</t>
  </si>
  <si>
    <t>interés minoritario</t>
  </si>
  <si>
    <t>capital</t>
  </si>
  <si>
    <t>cuenta obligada socios (menos)</t>
  </si>
  <si>
    <t>reservas de revalorización</t>
  </si>
  <si>
    <t>reservas varias</t>
  </si>
  <si>
    <t>reservas futuros dividendos</t>
  </si>
  <si>
    <t>fluc. val. y/o mayor valor inv.</t>
  </si>
  <si>
    <t>utilidad neta retenida</t>
  </si>
  <si>
    <t>utilidad neta del periodo</t>
  </si>
  <si>
    <t>Ajustes</t>
  </si>
  <si>
    <t>divid. pagados y/o retiro socios (menos)</t>
  </si>
  <si>
    <t>castigos (menos)</t>
  </si>
  <si>
    <t>total patrimonio neto</t>
  </si>
  <si>
    <t>TOTAL PASIVOS</t>
  </si>
  <si>
    <t>Cuadre</t>
  </si>
  <si>
    <t xml:space="preserve"> (A:1013100- P:103100) +</t>
  </si>
  <si>
    <t xml:space="preserve"> (P:2010100- A:2010100) +</t>
  </si>
  <si>
    <t xml:space="preserve"> (P:2010200- A:2010200) +</t>
  </si>
  <si>
    <t xml:space="preserve"> (P:2010400- A:2010500) +</t>
  </si>
  <si>
    <t>156+157</t>
  </si>
  <si>
    <t xml:space="preserve"> (P:2010902- A:2010902) +</t>
  </si>
  <si>
    <t xml:space="preserve"> (P:2010903- A:2010903) +</t>
  </si>
  <si>
    <t xml:space="preserve"> (P:2011400- A:2011400) +</t>
  </si>
  <si>
    <t xml:space="preserve"> (P:2011100- A:2011100) +</t>
  </si>
  <si>
    <t xml:space="preserve"> (P:2011310- A:2011310) +</t>
  </si>
  <si>
    <t xml:space="preserve"> (P:2011600- A:2011600) +</t>
  </si>
  <si>
    <t xml:space="preserve"> (P:2020100- A:2020100) +</t>
  </si>
  <si>
    <t xml:space="preserve"> (P:2020300- A:2020300) +</t>
  </si>
  <si>
    <t xml:space="preserve"> (P:2020502- A:2020502) +</t>
  </si>
  <si>
    <t xml:space="preserve"> (P:2020503- A:2020503) +</t>
  </si>
  <si>
    <t xml:space="preserve"> (P:2030100- A:2030100) +</t>
  </si>
  <si>
    <t xml:space="preserve"> (P:2030200- A:2030200) +</t>
  </si>
  <si>
    <t xml:space="preserve"> (P:2030400- A:2030400) +</t>
  </si>
  <si>
    <t xml:space="preserve"> (P:2030600- A:2030600) +</t>
  </si>
  <si>
    <t xml:space="preserve"> (P:2030800- A:2030800) +</t>
  </si>
  <si>
    <t xml:space="preserve"> (P:2030401 A:2030401) +</t>
  </si>
  <si>
    <t xml:space="preserve"> (P:2030402- A:2030402) +</t>
  </si>
  <si>
    <t>135+145+147+150+155+160+165+170+175+180+185+</t>
  </si>
  <si>
    <t>195+201+205+210+215+220</t>
  </si>
  <si>
    <t>190+225</t>
  </si>
  <si>
    <t>232+235+240+245+250+255+260+265+270+275+280+285</t>
  </si>
  <si>
    <t>230+290</t>
  </si>
  <si>
    <t>126-1195</t>
  </si>
  <si>
    <t>ventas</t>
  </si>
  <si>
    <t>costo de venta</t>
  </si>
  <si>
    <t>margen bruto</t>
  </si>
  <si>
    <t>gastos comercialización</t>
  </si>
  <si>
    <t>gastos de públicidad marketing</t>
  </si>
  <si>
    <t>gastos arriendos comisiones tiendas</t>
  </si>
  <si>
    <t>gastos de envíos adicionales</t>
  </si>
  <si>
    <t>gastos de administración</t>
  </si>
  <si>
    <t>resultado operacional bruto</t>
  </si>
  <si>
    <t>gastos financieros</t>
  </si>
  <si>
    <t>90a</t>
  </si>
  <si>
    <t>depreciación del ejercicio (-)</t>
  </si>
  <si>
    <t>resultado oper. neto</t>
  </si>
  <si>
    <t>ingresos fuera de explotación</t>
  </si>
  <si>
    <t>utilidad inv. emp. relac.</t>
  </si>
  <si>
    <t>amort. mayor valor de inversiones</t>
  </si>
  <si>
    <t>ingresos financieros</t>
  </si>
  <si>
    <t>otros ingresos fuera de explotación</t>
  </si>
  <si>
    <t>egresos fuera de explotación</t>
  </si>
  <si>
    <t>pérdida ajuste inventario</t>
  </si>
  <si>
    <t>amort. menor valor de inversiones</t>
  </si>
  <si>
    <t>otros egresos fuera de explotación</t>
  </si>
  <si>
    <t>amort. intangibles</t>
  </si>
  <si>
    <t>resultado antes corr. monet</t>
  </si>
  <si>
    <t>ajuste monetario</t>
  </si>
  <si>
    <t>correción monetaria</t>
  </si>
  <si>
    <t>diferencia de cambio</t>
  </si>
  <si>
    <t>utilidad antes de impuestos</t>
  </si>
  <si>
    <t>impuesto a la renta (-)</t>
  </si>
  <si>
    <t>interés minoritario (-)</t>
  </si>
  <si>
    <t>UTILIDAD NETA DEL PERIODO</t>
  </si>
  <si>
    <t>RESULTADO</t>
  </si>
  <si>
    <t>G:3010101+G:301011</t>
  </si>
  <si>
    <t>310-315</t>
  </si>
  <si>
    <t>320-324-32-326-327</t>
  </si>
  <si>
    <t>107-108-109</t>
  </si>
  <si>
    <t>G:3020300</t>
  </si>
  <si>
    <t>350-355-356-357-358-359-360-361-362-363-364</t>
  </si>
  <si>
    <t>365-370-371-372</t>
  </si>
  <si>
    <t>380-385-387</t>
  </si>
  <si>
    <t>Pe:3010200</t>
  </si>
  <si>
    <t>Pe:3010201+Pe:3010120+Pe:3010130+Pe:3010203+Pe:3010212+Pe:3010213+Pe:3010214+Pe:3010215</t>
  </si>
  <si>
    <t>Pe:3010205</t>
  </si>
  <si>
    <t>Pe:3010211</t>
  </si>
  <si>
    <t>Pe:3010202</t>
  </si>
  <si>
    <t>Pe:3010216</t>
  </si>
  <si>
    <t>Pe:3020300</t>
  </si>
  <si>
    <t>Pe:3021100</t>
  </si>
  <si>
    <t>Pe:3020900</t>
  </si>
  <si>
    <t>Pe:302100</t>
  </si>
  <si>
    <t>Pe:30103100</t>
  </si>
  <si>
    <t>Pe:3010300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</si>
</sst>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b/>
      <sz val="12"/>
      <color indexed="10"/>
      <name val="Calibri"/>
      <family val="2"/>
    </font>
    <font>
      <b/>
      <sz val="12"/>
      <color indexed="48"/>
      <name val="Calibri"/>
      <family val="2"/>
    </font>
    <font>
      <b/>
      <sz val="14"/>
      <color indexed="4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u/>
      <sz val="8"/>
      <color indexed="81"/>
      <name val="Tahoma"/>
      <family val="2"/>
    </font>
    <font>
      <sz val="14"/>
      <color indexed="10"/>
      <name val="Calibri"/>
      <family val="2"/>
    </font>
    <font>
      <sz val="12"/>
      <color indexed="10"/>
      <name val="Calibri"/>
      <family val="2"/>
    </font>
    <font>
      <b/>
      <sz val="14"/>
      <name val="Calibri"/>
      <family val="2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9"/>
      </bottom>
      <diagonal/>
    </border>
    <border>
      <left style="thin">
        <color indexed="64"/>
      </left>
      <right/>
      <top/>
      <bottom style="double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3" xfId="0" applyFont="1" applyBorder="1"/>
    <xf numFmtId="0" fontId="1" fillId="2" borderId="14" xfId="0" applyFont="1" applyFill="1" applyBorder="1"/>
    <xf numFmtId="0" fontId="2" fillId="0" borderId="15" xfId="0" applyFont="1" applyBorder="1"/>
    <xf numFmtId="0" fontId="2" fillId="0" borderId="16" xfId="0" applyFont="1" applyBorder="1"/>
    <xf numFmtId="0" fontId="1" fillId="2" borderId="0" xfId="0" applyFont="1" applyFill="1"/>
    <xf numFmtId="0" fontId="2" fillId="0" borderId="17" xfId="0" applyFont="1" applyBorder="1"/>
    <xf numFmtId="0" fontId="2" fillId="0" borderId="18" xfId="0" applyFont="1" applyBorder="1"/>
    <xf numFmtId="0" fontId="1" fillId="2" borderId="19" xfId="0" applyFont="1" applyFill="1" applyBorder="1"/>
    <xf numFmtId="0" fontId="2" fillId="0" borderId="20" xfId="0" applyFont="1" applyBorder="1"/>
    <xf numFmtId="0" fontId="1" fillId="2" borderId="21" xfId="0" applyFont="1" applyFill="1" applyBorder="1"/>
    <xf numFmtId="0" fontId="1" fillId="3" borderId="21" xfId="0" applyFont="1" applyFill="1" applyBorder="1"/>
    <xf numFmtId="0" fontId="2" fillId="0" borderId="0" xfId="0" applyFont="1"/>
    <xf numFmtId="0" fontId="2" fillId="0" borderId="22" xfId="0" applyFont="1" applyBorder="1"/>
    <xf numFmtId="0" fontId="4" fillId="0" borderId="23" xfId="0" applyFont="1" applyBorder="1"/>
    <xf numFmtId="14" fontId="1" fillId="4" borderId="0" xfId="0" applyNumberFormat="1" applyFont="1" applyFill="1" applyProtection="1">
      <protection locked="0"/>
    </xf>
    <xf numFmtId="3" fontId="2" fillId="2" borderId="25" xfId="0" applyNumberFormat="1" applyFont="1" applyFill="1" applyBorder="1"/>
    <xf numFmtId="3" fontId="2" fillId="0" borderId="26" xfId="0" applyNumberFormat="1" applyFont="1" applyBorder="1" applyProtection="1">
      <protection locked="0"/>
    </xf>
    <xf numFmtId="3" fontId="2" fillId="0" borderId="27" xfId="0" applyNumberFormat="1" applyFont="1" applyBorder="1" applyProtection="1">
      <protection locked="0"/>
    </xf>
    <xf numFmtId="3" fontId="2" fillId="2" borderId="28" xfId="0" applyNumberFormat="1" applyFont="1" applyFill="1" applyBorder="1"/>
    <xf numFmtId="3" fontId="2" fillId="0" borderId="25" xfId="0" applyNumberFormat="1" applyFont="1" applyBorder="1" applyProtection="1">
      <protection locked="0"/>
    </xf>
    <xf numFmtId="3" fontId="2" fillId="2" borderId="29" xfId="0" applyNumberFormat="1" applyFont="1" applyFill="1" applyBorder="1"/>
    <xf numFmtId="3" fontId="2" fillId="0" borderId="30" xfId="0" applyNumberFormat="1" applyFont="1" applyBorder="1" applyProtection="1">
      <protection locked="0"/>
    </xf>
    <xf numFmtId="3" fontId="2" fillId="0" borderId="31" xfId="0" applyNumberFormat="1" applyFont="1" applyBorder="1" applyProtection="1">
      <protection locked="0"/>
    </xf>
    <xf numFmtId="3" fontId="2" fillId="0" borderId="32" xfId="0" applyNumberFormat="1" applyFont="1" applyBorder="1" applyProtection="1">
      <protection locked="0"/>
    </xf>
    <xf numFmtId="3" fontId="2" fillId="2" borderId="33" xfId="0" applyNumberFormat="1" applyFont="1" applyFill="1" applyBorder="1"/>
    <xf numFmtId="3" fontId="2" fillId="3" borderId="33" xfId="0" applyNumberFormat="1" applyFont="1" applyFill="1" applyBorder="1"/>
    <xf numFmtId="3" fontId="2" fillId="0" borderId="0" xfId="0" applyNumberFormat="1" applyFont="1"/>
    <xf numFmtId="3" fontId="5" fillId="0" borderId="29" xfId="0" applyNumberFormat="1" applyFont="1" applyBorder="1"/>
    <xf numFmtId="3" fontId="2" fillId="0" borderId="24" xfId="0" applyNumberFormat="1" applyFont="1" applyBorder="1" applyAlignment="1" applyProtection="1">
      <alignment horizontal="center"/>
      <protection locked="0"/>
    </xf>
    <xf numFmtId="3" fontId="1" fillId="0" borderId="0" xfId="0" applyNumberFormat="1" applyFont="1" applyAlignment="1" applyProtection="1">
      <alignment horizontal="center" wrapText="1"/>
      <protection locked="0"/>
    </xf>
    <xf numFmtId="0" fontId="2" fillId="0" borderId="34" xfId="0" applyFont="1" applyBorder="1" applyAlignment="1">
      <alignment horizontal="center" vertical="center"/>
    </xf>
    <xf numFmtId="3" fontId="2" fillId="0" borderId="35" xfId="0" applyNumberFormat="1" applyFont="1" applyBorder="1"/>
    <xf numFmtId="3" fontId="2" fillId="0" borderId="36" xfId="0" applyNumberFormat="1" applyFont="1" applyBorder="1" applyProtection="1">
      <protection locked="0"/>
    </xf>
    <xf numFmtId="3" fontId="2" fillId="0" borderId="37" xfId="0" applyNumberFormat="1" applyFont="1" applyBorder="1"/>
    <xf numFmtId="0" fontId="2" fillId="0" borderId="38" xfId="0" applyFont="1" applyBorder="1" applyAlignment="1">
      <alignment horizontal="center" vertical="center"/>
    </xf>
    <xf numFmtId="3" fontId="2" fillId="0" borderId="14" xfId="0" applyNumberFormat="1" applyFont="1" applyBorder="1"/>
    <xf numFmtId="3" fontId="1" fillId="2" borderId="14" xfId="0" applyNumberFormat="1" applyFont="1" applyFill="1" applyBorder="1"/>
    <xf numFmtId="3" fontId="2" fillId="0" borderId="15" xfId="0" applyNumberFormat="1" applyFont="1" applyBorder="1"/>
    <xf numFmtId="0" fontId="2" fillId="0" borderId="39" xfId="0" applyFont="1" applyBorder="1" applyAlignment="1">
      <alignment horizontal="center" vertical="center"/>
    </xf>
    <xf numFmtId="3" fontId="2" fillId="0" borderId="16" xfId="0" applyNumberFormat="1" applyFont="1" applyBorder="1"/>
    <xf numFmtId="3" fontId="1" fillId="3" borderId="40" xfId="0" applyNumberFormat="1" applyFont="1" applyFill="1" applyBorder="1"/>
    <xf numFmtId="3" fontId="1" fillId="3" borderId="41" xfId="0" applyNumberFormat="1" applyFont="1" applyFill="1" applyBorder="1"/>
    <xf numFmtId="0" fontId="2" fillId="5" borderId="42" xfId="0" applyFont="1" applyFill="1" applyBorder="1" applyAlignment="1">
      <alignment horizontal="center" vertical="center"/>
    </xf>
    <xf numFmtId="3" fontId="1" fillId="5" borderId="0" xfId="0" applyNumberFormat="1" applyFont="1" applyFill="1"/>
    <xf numFmtId="0" fontId="2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3" fontId="4" fillId="0" borderId="44" xfId="0" applyNumberFormat="1" applyFont="1" applyBorder="1"/>
    <xf numFmtId="0" fontId="3" fillId="0" borderId="0" xfId="0" applyFont="1" applyAlignment="1" applyProtection="1">
      <alignment horizontal="center" vertical="center"/>
      <protection locked="0"/>
    </xf>
    <xf numFmtId="3" fontId="3" fillId="0" borderId="0" xfId="0" applyNumberFormat="1" applyFont="1" applyAlignment="1" applyProtection="1">
      <alignment horizontal="right"/>
      <protection locked="0"/>
    </xf>
    <xf numFmtId="3" fontId="2" fillId="0" borderId="26" xfId="0" applyNumberFormat="1" applyFont="1" applyBorder="1" applyAlignment="1" applyProtection="1">
      <alignment horizontal="center" vertical="center"/>
      <protection locked="0"/>
    </xf>
    <xf numFmtId="14" fontId="1" fillId="4" borderId="0" xfId="0" applyNumberFormat="1" applyFont="1" applyFill="1" applyAlignment="1" applyProtection="1">
      <alignment horizontal="center" vertical="center"/>
      <protection locked="0"/>
    </xf>
    <xf numFmtId="3" fontId="2" fillId="0" borderId="36" xfId="0" applyNumberFormat="1" applyFont="1" applyBorder="1" applyAlignment="1" applyProtection="1">
      <alignment horizontal="center" vertical="center"/>
      <protection locked="0"/>
    </xf>
    <xf numFmtId="3" fontId="2" fillId="0" borderId="31" xfId="0" applyNumberFormat="1" applyFont="1" applyBorder="1" applyAlignment="1" applyProtection="1">
      <alignment horizontal="center" vertical="center"/>
      <protection locked="0"/>
    </xf>
    <xf numFmtId="3" fontId="2" fillId="0" borderId="32" xfId="0" applyNumberFormat="1" applyFont="1" applyBorder="1" applyAlignment="1" applyProtection="1">
      <alignment horizontal="center" vertical="center"/>
      <protection locked="0"/>
    </xf>
    <xf numFmtId="3" fontId="2" fillId="2" borderId="25" xfId="0" applyNumberFormat="1" applyFont="1" applyFill="1" applyBorder="1" applyAlignment="1">
      <alignment horizontal="center" vertical="center"/>
    </xf>
    <xf numFmtId="3" fontId="2" fillId="3" borderId="29" xfId="0" applyNumberFormat="1" applyFont="1" applyFill="1" applyBorder="1" applyAlignment="1">
      <alignment horizontal="center" vertical="center"/>
    </xf>
    <xf numFmtId="3" fontId="2" fillId="3" borderId="33" xfId="0" applyNumberFormat="1" applyFont="1" applyFill="1" applyBorder="1" applyAlignment="1">
      <alignment horizontal="center" vertical="center"/>
    </xf>
    <xf numFmtId="3" fontId="2" fillId="5" borderId="27" xfId="0" applyNumberFormat="1" applyFont="1" applyFill="1" applyBorder="1" applyAlignment="1">
      <alignment horizontal="center" vertical="center"/>
    </xf>
    <xf numFmtId="3" fontId="2" fillId="0" borderId="43" xfId="0" applyNumberFormat="1" applyFont="1" applyBorder="1" applyAlignment="1">
      <alignment horizontal="center" vertical="center"/>
    </xf>
    <xf numFmtId="3" fontId="2" fillId="0" borderId="31" xfId="0" applyNumberFormat="1" applyFont="1" applyBorder="1" applyAlignment="1">
      <alignment horizontal="center" vertical="center"/>
    </xf>
    <xf numFmtId="3" fontId="5" fillId="0" borderId="33" xfId="0" applyNumberFormat="1" applyFont="1" applyBorder="1" applyAlignment="1">
      <alignment horizontal="center" vertical="center"/>
    </xf>
    <xf numFmtId="3" fontId="9" fillId="0" borderId="16" xfId="0" applyNumberFormat="1" applyFont="1" applyBorder="1" applyAlignment="1">
      <alignment horizontal="center" vertical="center"/>
    </xf>
    <xf numFmtId="3" fontId="2" fillId="0" borderId="0" xfId="0" applyNumberFormat="1" applyFont="1" applyProtection="1">
      <protection locked="0"/>
    </xf>
    <xf numFmtId="0" fontId="2" fillId="0" borderId="0" xfId="0" applyFont="1" applyProtection="1">
      <protection locked="0"/>
    </xf>
    <xf numFmtId="3" fontId="2" fillId="0" borderId="34" xfId="0" applyNumberFormat="1" applyFont="1" applyBorder="1" applyAlignment="1">
      <alignment horizontal="left"/>
    </xf>
    <xf numFmtId="0" fontId="2" fillId="0" borderId="45" xfId="0" applyFont="1" applyBorder="1"/>
    <xf numFmtId="3" fontId="2" fillId="0" borderId="38" xfId="0" applyNumberFormat="1" applyFont="1" applyBorder="1" applyAlignment="1">
      <alignment horizontal="left"/>
    </xf>
    <xf numFmtId="0" fontId="2" fillId="0" borderId="46" xfId="0" applyFont="1" applyBorder="1"/>
    <xf numFmtId="3" fontId="2" fillId="2" borderId="2" xfId="0" applyNumberFormat="1" applyFont="1" applyFill="1" applyBorder="1" applyAlignment="1">
      <alignment horizontal="left"/>
    </xf>
    <xf numFmtId="0" fontId="1" fillId="2" borderId="47" xfId="0" applyFont="1" applyFill="1" applyBorder="1"/>
    <xf numFmtId="3" fontId="2" fillId="6" borderId="6" xfId="0" applyNumberFormat="1" applyFont="1" applyFill="1" applyBorder="1" applyAlignment="1">
      <alignment horizontal="left"/>
    </xf>
    <xf numFmtId="0" fontId="2" fillId="6" borderId="37" xfId="0" applyFont="1" applyFill="1" applyBorder="1"/>
    <xf numFmtId="3" fontId="2" fillId="0" borderId="11" xfId="0" applyNumberFormat="1" applyFont="1" applyBorder="1" applyAlignment="1">
      <alignment horizontal="left"/>
    </xf>
    <xf numFmtId="3" fontId="2" fillId="0" borderId="48" xfId="0" applyNumberFormat="1" applyFont="1" applyBorder="1" applyAlignment="1">
      <alignment horizontal="left"/>
    </xf>
    <xf numFmtId="3" fontId="2" fillId="0" borderId="49" xfId="0" applyNumberFormat="1" applyFont="1" applyBorder="1" applyProtection="1">
      <protection locked="0"/>
    </xf>
    <xf numFmtId="0" fontId="2" fillId="0" borderId="14" xfId="0" applyFont="1" applyBorder="1"/>
    <xf numFmtId="3" fontId="2" fillId="0" borderId="32" xfId="0" applyNumberFormat="1" applyFont="1" applyBorder="1"/>
    <xf numFmtId="3" fontId="2" fillId="2" borderId="33" xfId="0" applyNumberFormat="1" applyFont="1" applyFill="1" applyBorder="1" applyAlignment="1">
      <alignment horizontal="left"/>
    </xf>
    <xf numFmtId="0" fontId="2" fillId="0" borderId="37" xfId="0" applyFont="1" applyBorder="1"/>
    <xf numFmtId="3" fontId="2" fillId="0" borderId="12" xfId="0" applyNumberFormat="1" applyFont="1" applyBorder="1" applyAlignment="1">
      <alignment horizontal="left"/>
    </xf>
    <xf numFmtId="0" fontId="2" fillId="0" borderId="50" xfId="0" applyFont="1" applyBorder="1"/>
    <xf numFmtId="3" fontId="10" fillId="0" borderId="51" xfId="0" applyNumberFormat="1" applyFont="1" applyBorder="1"/>
    <xf numFmtId="3" fontId="2" fillId="3" borderId="52" xfId="0" applyNumberFormat="1" applyFont="1" applyFill="1" applyBorder="1" applyAlignment="1">
      <alignment horizontal="left"/>
    </xf>
    <xf numFmtId="0" fontId="1" fillId="3" borderId="53" xfId="0" applyFont="1" applyFill="1" applyBorder="1"/>
    <xf numFmtId="3" fontId="2" fillId="3" borderId="54" xfId="0" applyNumberFormat="1" applyFont="1" applyFill="1" applyBorder="1"/>
    <xf numFmtId="3" fontId="2" fillId="2" borderId="7" xfId="0" applyNumberFormat="1" applyFont="1" applyFill="1" applyBorder="1" applyAlignment="1">
      <alignment horizontal="left"/>
    </xf>
    <xf numFmtId="0" fontId="1" fillId="2" borderId="40" xfId="0" applyFont="1" applyFill="1" applyBorder="1"/>
    <xf numFmtId="3" fontId="2" fillId="0" borderId="8" xfId="0" applyNumberFormat="1" applyFont="1" applyBorder="1" applyAlignment="1">
      <alignment horizontal="left"/>
    </xf>
    <xf numFmtId="3" fontId="2" fillId="2" borderId="9" xfId="0" applyNumberFormat="1" applyFont="1" applyFill="1" applyBorder="1" applyAlignment="1">
      <alignment horizontal="left"/>
    </xf>
    <xf numFmtId="3" fontId="2" fillId="3" borderId="55" xfId="0" applyNumberFormat="1" applyFont="1" applyFill="1" applyBorder="1" applyAlignment="1">
      <alignment horizontal="left"/>
    </xf>
    <xf numFmtId="0" fontId="1" fillId="3" borderId="56" xfId="0" applyFont="1" applyFill="1" applyBorder="1"/>
    <xf numFmtId="3" fontId="2" fillId="3" borderId="57" xfId="0" applyNumberFormat="1" applyFont="1" applyFill="1" applyBorder="1"/>
    <xf numFmtId="3" fontId="2" fillId="3" borderId="9" xfId="0" applyNumberFormat="1" applyFont="1" applyFill="1" applyBorder="1" applyAlignment="1">
      <alignment horizontal="left"/>
    </xf>
    <xf numFmtId="0" fontId="1" fillId="3" borderId="41" xfId="0" applyFont="1" applyFill="1" applyBorder="1"/>
    <xf numFmtId="3" fontId="2" fillId="3" borderId="2" xfId="0" applyNumberFormat="1" applyFont="1" applyFill="1" applyBorder="1" applyAlignment="1">
      <alignment horizontal="left"/>
    </xf>
    <xf numFmtId="3" fontId="11" fillId="0" borderId="33" xfId="0" applyNumberFormat="1" applyFont="1" applyBorder="1"/>
    <xf numFmtId="0" fontId="0" fillId="0" borderId="0" xfId="0" applyAlignment="1">
      <alignment horizontal="left" vertical="center"/>
    </xf>
    <xf numFmtId="0" fontId="1" fillId="7" borderId="21" xfId="0" applyFont="1" applyFill="1" applyBorder="1"/>
    <xf numFmtId="0" fontId="12" fillId="7" borderId="0" xfId="0" applyFont="1" applyFill="1"/>
    <xf numFmtId="0" fontId="1" fillId="7" borderId="41" xfId="0" applyFont="1" applyFill="1" applyBorder="1"/>
    <xf numFmtId="3" fontId="2" fillId="7" borderId="32" xfId="0" applyNumberFormat="1" applyFont="1" applyFill="1" applyBorder="1" applyProtection="1">
      <protection locked="0"/>
    </xf>
    <xf numFmtId="0" fontId="2" fillId="0" borderId="0" xfId="0" applyFont="1" applyBorder="1"/>
  </cellXfs>
  <cellStyles count="1">
    <cellStyle name="Normal" xfId="0" builtinId="0"/>
  </cellStyles>
  <dxfs count="9">
    <dxf>
      <font>
        <b/>
        <i val="0"/>
        <condense val="0"/>
        <extend val="0"/>
        <color indexed="48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7"/>
      </font>
    </dxf>
    <dxf>
      <font>
        <b/>
        <i val="0"/>
        <condense val="0"/>
        <extend val="0"/>
        <color indexed="48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7"/>
      </font>
    </dxf>
    <dxf>
      <font>
        <b/>
        <i val="0"/>
        <condense val="0"/>
        <extend val="0"/>
        <color indexed="48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7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99b2afa76d7dee7/BRONZ/Gesti&#243;n%20Bronz%202025%20V1%20%20-%20copia.xlsm" TargetMode="External"/><Relationship Id="rId1" Type="http://schemas.openxmlformats.org/officeDocument/2006/relationships/externalLinkPath" Target="/a99b2afa76d7dee7/BRONZ/Gesti&#243;n%20Bronz%202025%20V1%20%20-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"/>
      <sheetName val="Vaciado"/>
      <sheetName val="Ficha Financiera"/>
      <sheetName val="Inicio Panel"/>
      <sheetName val="Datos"/>
      <sheetName val="Distrib_Inventario"/>
      <sheetName val="Balance Clasificado"/>
      <sheetName val="Balance General"/>
      <sheetName val="Ventas"/>
      <sheetName val="Proyección"/>
      <sheetName val="Gestion mes"/>
      <sheetName val="BodegaTiendas"/>
      <sheetName val="resultado"/>
      <sheetName val="tabla"/>
      <sheetName val="Inventario"/>
    </sheetNames>
    <sheetDataSet>
      <sheetData sheetId="0">
        <row r="8">
          <cell r="O8">
            <v>4312492.2699219808</v>
          </cell>
        </row>
        <row r="9">
          <cell r="O9">
            <v>0</v>
          </cell>
          <cell r="P9">
            <v>0</v>
          </cell>
        </row>
        <row r="10">
          <cell r="O10">
            <v>0</v>
          </cell>
          <cell r="P10">
            <v>0</v>
          </cell>
        </row>
        <row r="11">
          <cell r="O11">
            <v>0</v>
          </cell>
          <cell r="P11">
            <v>0</v>
          </cell>
        </row>
        <row r="12">
          <cell r="O12">
            <v>0</v>
          </cell>
          <cell r="P12">
            <v>0</v>
          </cell>
        </row>
        <row r="13">
          <cell r="O13">
            <v>0</v>
          </cell>
          <cell r="P13">
            <v>0</v>
          </cell>
        </row>
        <row r="14">
          <cell r="O14">
            <v>0</v>
          </cell>
          <cell r="P14">
            <v>0</v>
          </cell>
        </row>
        <row r="15">
          <cell r="O15">
            <v>0</v>
          </cell>
          <cell r="P15">
            <v>0</v>
          </cell>
        </row>
        <row r="16">
          <cell r="O16">
            <v>1403110</v>
          </cell>
          <cell r="P16">
            <v>0</v>
          </cell>
        </row>
        <row r="17">
          <cell r="O17">
            <v>0</v>
          </cell>
          <cell r="P17">
            <v>0</v>
          </cell>
        </row>
        <row r="18">
          <cell r="O18">
            <v>0</v>
          </cell>
          <cell r="P18">
            <v>0</v>
          </cell>
        </row>
        <row r="19">
          <cell r="O19">
            <v>17167942</v>
          </cell>
          <cell r="P19">
            <v>0</v>
          </cell>
        </row>
        <row r="20">
          <cell r="O20">
            <v>0</v>
          </cell>
          <cell r="P20">
            <v>0</v>
          </cell>
        </row>
        <row r="22">
          <cell r="O22">
            <v>2399058</v>
          </cell>
          <cell r="P22">
            <v>0</v>
          </cell>
        </row>
        <row r="23">
          <cell r="O23">
            <v>0</v>
          </cell>
        </row>
        <row r="24">
          <cell r="O24">
            <v>0</v>
          </cell>
          <cell r="P24">
            <v>477784</v>
          </cell>
        </row>
        <row r="25">
          <cell r="O25">
            <v>0</v>
          </cell>
          <cell r="P25">
            <v>0</v>
          </cell>
        </row>
        <row r="26">
          <cell r="O26">
            <v>0</v>
          </cell>
          <cell r="P26">
            <v>0</v>
          </cell>
        </row>
        <row r="27">
          <cell r="O27">
            <v>0</v>
          </cell>
          <cell r="P27">
            <v>0</v>
          </cell>
        </row>
        <row r="28">
          <cell r="O28">
            <v>0</v>
          </cell>
          <cell r="P28">
            <v>0</v>
          </cell>
        </row>
        <row r="29">
          <cell r="O29">
            <v>0</v>
          </cell>
          <cell r="P29">
            <v>0</v>
          </cell>
        </row>
        <row r="30">
          <cell r="O30">
            <v>0</v>
          </cell>
          <cell r="P30">
            <v>0</v>
          </cell>
        </row>
        <row r="31">
          <cell r="O31">
            <v>0</v>
          </cell>
          <cell r="P31">
            <v>0</v>
          </cell>
        </row>
        <row r="33">
          <cell r="O33">
            <v>0</v>
          </cell>
          <cell r="P33">
            <v>0</v>
          </cell>
        </row>
        <row r="34">
          <cell r="O34">
            <v>0</v>
          </cell>
        </row>
        <row r="35">
          <cell r="O35">
            <v>0</v>
          </cell>
        </row>
        <row r="36">
          <cell r="O36">
            <v>0</v>
          </cell>
        </row>
        <row r="37">
          <cell r="O37">
            <v>0</v>
          </cell>
        </row>
        <row r="38">
          <cell r="O38">
            <v>0</v>
          </cell>
        </row>
        <row r="39">
          <cell r="O39">
            <v>0</v>
          </cell>
        </row>
        <row r="40">
          <cell r="O40">
            <v>0</v>
          </cell>
        </row>
        <row r="41">
          <cell r="O41">
            <v>0</v>
          </cell>
        </row>
        <row r="42">
          <cell r="O42">
            <v>0</v>
          </cell>
          <cell r="P42">
            <v>0</v>
          </cell>
        </row>
        <row r="43">
          <cell r="O43">
            <v>0</v>
          </cell>
          <cell r="P43">
            <v>0</v>
          </cell>
        </row>
        <row r="44">
          <cell r="O44">
            <v>3417</v>
          </cell>
          <cell r="P44">
            <v>0</v>
          </cell>
        </row>
        <row r="46">
          <cell r="O46">
            <v>0</v>
          </cell>
        </row>
        <row r="47">
          <cell r="O47">
            <v>0</v>
          </cell>
        </row>
        <row r="48">
          <cell r="O48">
            <v>0</v>
          </cell>
        </row>
        <row r="49">
          <cell r="O49">
            <v>0</v>
          </cell>
        </row>
        <row r="50">
          <cell r="O50">
            <v>0</v>
          </cell>
        </row>
        <row r="51">
          <cell r="O51">
            <v>0</v>
          </cell>
        </row>
        <row r="52">
          <cell r="O52">
            <v>0</v>
          </cell>
        </row>
        <row r="53">
          <cell r="O53">
            <v>0</v>
          </cell>
        </row>
        <row r="54">
          <cell r="O54">
            <v>0</v>
          </cell>
        </row>
        <row r="55">
          <cell r="O55">
            <v>0</v>
          </cell>
          <cell r="P55">
            <v>0</v>
          </cell>
        </row>
        <row r="57">
          <cell r="M57">
            <v>0</v>
          </cell>
        </row>
        <row r="58">
          <cell r="M58">
            <v>0</v>
          </cell>
        </row>
        <row r="59">
          <cell r="M59">
            <v>0</v>
          </cell>
        </row>
        <row r="60">
          <cell r="O60">
            <v>0</v>
          </cell>
        </row>
        <row r="61">
          <cell r="M61">
            <v>0</v>
          </cell>
        </row>
        <row r="62">
          <cell r="M62">
            <v>0</v>
          </cell>
          <cell r="P62">
            <v>0</v>
          </cell>
        </row>
        <row r="73">
          <cell r="O73">
            <v>4157547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8794-E2E6-459A-A325-5E8C01D51C25}">
  <dimension ref="A1:G54"/>
  <sheetViews>
    <sheetView workbookViewId="0">
      <selection sqref="A1:C2"/>
    </sheetView>
  </sheetViews>
  <sheetFormatPr baseColWidth="10" defaultRowHeight="14.4" x14ac:dyDescent="0.3"/>
  <cols>
    <col min="1" max="1" width="11.6640625" style="16" customWidth="1"/>
    <col min="2" max="2" width="37.6640625" bestFit="1" customWidth="1"/>
    <col min="3" max="3" width="110.21875" bestFit="1" customWidth="1"/>
    <col min="4" max="4" width="16.109375" bestFit="1" customWidth="1"/>
  </cols>
  <sheetData>
    <row r="1" spans="1:7" ht="16.2" thickBot="1" x14ac:dyDescent="0.35">
      <c r="A1" s="1" t="s">
        <v>0</v>
      </c>
      <c r="B1" s="1" t="s">
        <v>1</v>
      </c>
      <c r="C1" s="31" t="s">
        <v>54</v>
      </c>
    </row>
    <row r="2" spans="1:7" ht="16.2" thickBot="1" x14ac:dyDescent="0.35">
      <c r="A2" s="2">
        <v>5</v>
      </c>
      <c r="B2" s="17" t="s">
        <v>2</v>
      </c>
      <c r="C2" s="45" t="s">
        <v>55</v>
      </c>
    </row>
    <row r="3" spans="1:7" ht="16.2" thickBot="1" x14ac:dyDescent="0.35">
      <c r="A3" s="3">
        <v>10</v>
      </c>
      <c r="B3" s="18" t="s">
        <v>3</v>
      </c>
      <c r="C3" s="32">
        <f>SUM(C4:C8)</f>
        <v>0</v>
      </c>
      <c r="G3" t="s">
        <v>53</v>
      </c>
    </row>
    <row r="4" spans="1:7" ht="15.6" x14ac:dyDescent="0.3">
      <c r="A4" s="4">
        <v>11</v>
      </c>
      <c r="B4" s="19" t="s">
        <v>4</v>
      </c>
      <c r="C4" s="33">
        <f>[1]balance!O9-[1]balance!P9</f>
        <v>0</v>
      </c>
    </row>
    <row r="5" spans="1:7" ht="15.6" x14ac:dyDescent="0.3">
      <c r="A5" s="5">
        <v>12</v>
      </c>
      <c r="B5" s="19" t="s">
        <v>5</v>
      </c>
      <c r="C5" s="33">
        <f>[1]balance!O10-[1]balance!P10</f>
        <v>0</v>
      </c>
    </row>
    <row r="6" spans="1:7" ht="15.6" x14ac:dyDescent="0.3">
      <c r="A6" s="5">
        <v>13</v>
      </c>
      <c r="B6" s="19" t="s">
        <v>6</v>
      </c>
      <c r="C6" s="33"/>
    </row>
    <row r="7" spans="1:7" ht="15.6" x14ac:dyDescent="0.3">
      <c r="A7" s="5">
        <v>14</v>
      </c>
      <c r="B7" s="19" t="s">
        <v>7</v>
      </c>
      <c r="C7" s="33">
        <f>[1]balance!O11-[1]balance!P11</f>
        <v>0</v>
      </c>
    </row>
    <row r="8" spans="1:7" ht="16.2" thickBot="1" x14ac:dyDescent="0.35">
      <c r="A8" s="6">
        <v>15</v>
      </c>
      <c r="B8" s="20" t="s">
        <v>8</v>
      </c>
      <c r="C8" s="34"/>
    </row>
    <row r="9" spans="1:7" ht="16.2" thickBot="1" x14ac:dyDescent="0.35">
      <c r="A9" s="7">
        <v>20</v>
      </c>
      <c r="B9" s="21" t="s">
        <v>9</v>
      </c>
      <c r="C9" s="35">
        <f>C10+C11+C12+C13-C14</f>
        <v>1403110</v>
      </c>
    </row>
    <row r="10" spans="1:7" ht="15.6" x14ac:dyDescent="0.3">
      <c r="A10" s="8">
        <v>21</v>
      </c>
      <c r="B10" s="22" t="s">
        <v>10</v>
      </c>
      <c r="C10" s="36">
        <f>[1]balance!O16+[1]balance!O14 -([1]balance!P16+[1]balance!P14)</f>
        <v>1403110</v>
      </c>
    </row>
    <row r="11" spans="1:7" ht="15.6" x14ac:dyDescent="0.3">
      <c r="A11" s="5">
        <v>22</v>
      </c>
      <c r="B11" s="19" t="s">
        <v>11</v>
      </c>
      <c r="C11" s="33">
        <f>[1]balance!O12+[1]balance!O13+[1]balance!O15 - ([1]balance!P12+[1]balance!P13+[1]balance!P15)</f>
        <v>0</v>
      </c>
    </row>
    <row r="12" spans="1:7" ht="15.6" x14ac:dyDescent="0.3">
      <c r="A12" s="5">
        <v>23</v>
      </c>
      <c r="B12" s="19" t="s">
        <v>12</v>
      </c>
      <c r="C12" s="33"/>
    </row>
    <row r="13" spans="1:7" ht="15.6" x14ac:dyDescent="0.3">
      <c r="A13" s="5">
        <v>24</v>
      </c>
      <c r="B13" s="19" t="s">
        <v>13</v>
      </c>
      <c r="C13" s="33">
        <f>[1]balance!O17 - [1]balance!P17</f>
        <v>0</v>
      </c>
    </row>
    <row r="14" spans="1:7" ht="16.2" thickBot="1" x14ac:dyDescent="0.35">
      <c r="A14" s="6">
        <v>25</v>
      </c>
      <c r="B14" s="23" t="s">
        <v>14</v>
      </c>
      <c r="C14" s="34"/>
    </row>
    <row r="15" spans="1:7" ht="16.2" thickBot="1" x14ac:dyDescent="0.35">
      <c r="A15" s="9">
        <v>30</v>
      </c>
      <c r="B15" s="24" t="s">
        <v>15</v>
      </c>
      <c r="C15" s="37">
        <f>SUM(C16:C17)</f>
        <v>0</v>
      </c>
    </row>
    <row r="16" spans="1:7" ht="15.6" x14ac:dyDescent="0.3">
      <c r="A16" s="10">
        <v>31</v>
      </c>
      <c r="B16" s="25" t="s">
        <v>16</v>
      </c>
      <c r="C16" s="38"/>
    </row>
    <row r="17" spans="1:3" ht="15.6" x14ac:dyDescent="0.3">
      <c r="A17" s="10">
        <v>32</v>
      </c>
      <c r="B17" s="25" t="s">
        <v>17</v>
      </c>
      <c r="C17" s="39">
        <f>[1]balance!O18 - [1]balance!P18</f>
        <v>0</v>
      </c>
    </row>
    <row r="18" spans="1:3" ht="16.2" thickBot="1" x14ac:dyDescent="0.35">
      <c r="A18" s="10">
        <v>35</v>
      </c>
      <c r="B18" s="25" t="s">
        <v>18</v>
      </c>
      <c r="C18" s="40"/>
    </row>
    <row r="19" spans="1:3" ht="16.2" thickBot="1" x14ac:dyDescent="0.35">
      <c r="A19" s="11">
        <v>40</v>
      </c>
      <c r="B19" s="26" t="s">
        <v>19</v>
      </c>
      <c r="C19" s="41">
        <f>SUM(C20:C24)</f>
        <v>17167942</v>
      </c>
    </row>
    <row r="20" spans="1:3" ht="15.6" x14ac:dyDescent="0.3">
      <c r="A20" s="10">
        <v>41</v>
      </c>
      <c r="B20" s="25" t="s">
        <v>20</v>
      </c>
      <c r="C20" s="38">
        <f>[1]balance!O20+[1]balance!O35+[1]balance!O36+[1]balance!O37+[1]balance!O38+[1]balance!O39+[1]balance!O41+[1]balance!O42+[1]balance!O43+[1]balance!O40 -( [1]balance!P20+[1]balance!P35+[1]balance!P36+[1]balance!P37+[1]balance!P38+[1]balance!P39+[1]balance!P41+[1]balance!P42+[1]balance!P43+[1]balance!P40)</f>
        <v>0</v>
      </c>
    </row>
    <row r="21" spans="1:3" ht="15.6" x14ac:dyDescent="0.3">
      <c r="A21" s="10">
        <v>42</v>
      </c>
      <c r="B21" s="25" t="s">
        <v>21</v>
      </c>
      <c r="C21" s="39"/>
    </row>
    <row r="22" spans="1:3" ht="15.6" x14ac:dyDescent="0.3">
      <c r="A22" s="10">
        <v>43</v>
      </c>
      <c r="B22" s="25" t="s">
        <v>22</v>
      </c>
      <c r="C22" s="39">
        <f>[1]balance!O19-[1]balance!P19</f>
        <v>17167942</v>
      </c>
    </row>
    <row r="23" spans="1:3" ht="15.6" x14ac:dyDescent="0.3">
      <c r="A23" s="10">
        <v>44</v>
      </c>
      <c r="B23" s="25" t="s">
        <v>23</v>
      </c>
      <c r="C23" s="39"/>
    </row>
    <row r="24" spans="1:3" ht="15.6" x14ac:dyDescent="0.3">
      <c r="A24" s="10">
        <v>45</v>
      </c>
      <c r="B24" s="25" t="s">
        <v>24</v>
      </c>
      <c r="C24" s="39">
        <f>[1]balance!O33+[1]balance!O34- ([1]balance!P33+[1]balance!P34)</f>
        <v>0</v>
      </c>
    </row>
    <row r="25" spans="1:3" ht="15.6" x14ac:dyDescent="0.3">
      <c r="A25" s="10">
        <v>50</v>
      </c>
      <c r="B25" s="25" t="s">
        <v>25</v>
      </c>
      <c r="C25" s="39">
        <f>[1]balance!O55+[1]balance!O22+[1]balance!O44 -([1]balance!P55+[1]balance!P22+[1]balance!P44)</f>
        <v>2402475</v>
      </c>
    </row>
    <row r="26" spans="1:3" ht="15.6" x14ac:dyDescent="0.3">
      <c r="A26" s="10">
        <v>55</v>
      </c>
      <c r="B26" s="25" t="s">
        <v>26</v>
      </c>
      <c r="C26" s="39">
        <f>[1]balance!O23+[1]balance!O24+[1]balance!O25+[1]balance!O26+[1]balance!O27+[1]balance!O28 +[1]balance!O29+[1]balance!O30+[1]balance!O31-([1]balance!P23+[1]balance!P24+[1]balance!P25+[1]balance!P26+[1]balance!P27+[1]balance!P28+[1]balance!P29+[1]balance!P30+[1]balance!P31)</f>
        <v>-477784</v>
      </c>
    </row>
    <row r="27" spans="1:3" ht="16.2" thickBot="1" x14ac:dyDescent="0.35">
      <c r="A27" s="10">
        <v>60</v>
      </c>
      <c r="B27" s="25" t="s">
        <v>27</v>
      </c>
      <c r="C27" s="40">
        <f>[1]balance!O46+[1]balance!O47+[1]balance!O48+[1]balance!O49+[1]balance!O50+[1]balance!O51+[1]balance!O55-[1]balance!L55+ [1]balance!O52+[1]balance!O53+[1]balance!O54</f>
        <v>0</v>
      </c>
    </row>
    <row r="28" spans="1:3" ht="16.2" thickBot="1" x14ac:dyDescent="0.35">
      <c r="A28" s="12">
        <v>65</v>
      </c>
      <c r="B28" s="27" t="s">
        <v>28</v>
      </c>
      <c r="C28" s="42">
        <f>SUM(C2,C3,C9,C15,C18,C19,C25,C26,C27)</f>
        <v>20495743</v>
      </c>
    </row>
    <row r="29" spans="1:3" ht="16.2" thickBot="1" x14ac:dyDescent="0.35">
      <c r="A29" s="13"/>
      <c r="B29" s="28"/>
      <c r="C29" s="43"/>
    </row>
    <row r="30" spans="1:3" ht="16.2" thickBot="1" x14ac:dyDescent="0.35">
      <c r="A30" s="11">
        <v>70</v>
      </c>
      <c r="B30" s="26" t="s">
        <v>29</v>
      </c>
      <c r="C30" s="41">
        <f>SUM(C31:C36)</f>
        <v>0</v>
      </c>
    </row>
    <row r="31" spans="1:3" ht="15.6" x14ac:dyDescent="0.3">
      <c r="A31" s="14">
        <v>71</v>
      </c>
      <c r="B31" s="29" t="s">
        <v>30</v>
      </c>
      <c r="C31" s="38">
        <f>[1]balance!M57+[1]balance!M58+[1]balance!M59+[1]balance!M61+[1]balance!M62</f>
        <v>0</v>
      </c>
    </row>
    <row r="32" spans="1:3" ht="15.6" x14ac:dyDescent="0.3">
      <c r="A32" s="10">
        <v>72</v>
      </c>
      <c r="B32" s="25" t="s">
        <v>31</v>
      </c>
      <c r="C32" s="39"/>
    </row>
    <row r="33" spans="1:3" ht="15.6" x14ac:dyDescent="0.3">
      <c r="A33" s="10">
        <v>73</v>
      </c>
      <c r="B33" s="25" t="s">
        <v>32</v>
      </c>
      <c r="C33" s="39"/>
    </row>
    <row r="34" spans="1:3" ht="15.6" x14ac:dyDescent="0.3">
      <c r="A34" s="10">
        <v>74</v>
      </c>
      <c r="B34" s="25" t="s">
        <v>33</v>
      </c>
      <c r="C34" s="39">
        <f>[1]balance!O60</f>
        <v>0</v>
      </c>
    </row>
    <row r="35" spans="1:3" ht="15.6" x14ac:dyDescent="0.3">
      <c r="A35" s="10">
        <v>75</v>
      </c>
      <c r="B35" s="25" t="s">
        <v>34</v>
      </c>
      <c r="C35" s="39"/>
    </row>
    <row r="36" spans="1:3" ht="15.6" x14ac:dyDescent="0.3">
      <c r="A36" s="10">
        <v>80</v>
      </c>
      <c r="B36" s="25" t="s">
        <v>35</v>
      </c>
      <c r="C36" s="39"/>
    </row>
    <row r="37" spans="1:3" ht="15.6" x14ac:dyDescent="0.3">
      <c r="A37" s="10">
        <v>85</v>
      </c>
      <c r="B37" s="25" t="s">
        <v>36</v>
      </c>
      <c r="C37" s="39">
        <f>[1]balance!P62</f>
        <v>0</v>
      </c>
    </row>
    <row r="38" spans="1:3" ht="16.2" thickBot="1" x14ac:dyDescent="0.35">
      <c r="A38" s="10">
        <v>90</v>
      </c>
      <c r="B38" s="25" t="s">
        <v>37</v>
      </c>
      <c r="C38" s="40"/>
    </row>
    <row r="39" spans="1:3" ht="16.2" thickBot="1" x14ac:dyDescent="0.35">
      <c r="A39" s="11">
        <v>95</v>
      </c>
      <c r="B39" s="26" t="s">
        <v>38</v>
      </c>
      <c r="C39" s="41">
        <f>SUM(C40:C41)</f>
        <v>0</v>
      </c>
    </row>
    <row r="40" spans="1:3" ht="15.6" x14ac:dyDescent="0.3">
      <c r="A40" s="14">
        <v>96</v>
      </c>
      <c r="B40" s="29" t="s">
        <v>11</v>
      </c>
      <c r="C40" s="38"/>
    </row>
    <row r="41" spans="1:3" ht="15.6" x14ac:dyDescent="0.3">
      <c r="A41" s="10">
        <v>97</v>
      </c>
      <c r="B41" s="25" t="s">
        <v>39</v>
      </c>
      <c r="C41" s="39"/>
    </row>
    <row r="42" spans="1:3" ht="16.2" thickBot="1" x14ac:dyDescent="0.35">
      <c r="A42" s="10">
        <v>100</v>
      </c>
      <c r="B42" s="25" t="s">
        <v>40</v>
      </c>
      <c r="C42" s="40"/>
    </row>
    <row r="43" spans="1:3" ht="16.2" thickBot="1" x14ac:dyDescent="0.35">
      <c r="A43" s="11">
        <v>105</v>
      </c>
      <c r="B43" s="26" t="s">
        <v>41</v>
      </c>
      <c r="C43" s="41">
        <f>SUM(C44:C45)</f>
        <v>0</v>
      </c>
    </row>
    <row r="44" spans="1:3" ht="15.6" x14ac:dyDescent="0.3">
      <c r="A44" s="10">
        <v>106</v>
      </c>
      <c r="B44" s="25" t="s">
        <v>42</v>
      </c>
      <c r="C44" s="38"/>
    </row>
    <row r="45" spans="1:3" ht="16.2" thickBot="1" x14ac:dyDescent="0.35">
      <c r="A45" s="10">
        <v>107</v>
      </c>
      <c r="B45" s="25" t="s">
        <v>43</v>
      </c>
      <c r="C45" s="40"/>
    </row>
    <row r="46" spans="1:3" ht="16.2" thickBot="1" x14ac:dyDescent="0.35">
      <c r="A46" s="11">
        <v>110</v>
      </c>
      <c r="B46" s="26" t="s">
        <v>44</v>
      </c>
      <c r="C46" s="41">
        <f>SUM(C47:C48)</f>
        <v>0</v>
      </c>
    </row>
    <row r="47" spans="1:3" ht="15.6" x14ac:dyDescent="0.3">
      <c r="A47" s="10">
        <v>111</v>
      </c>
      <c r="B47" s="25" t="s">
        <v>45</v>
      </c>
      <c r="C47" s="38"/>
    </row>
    <row r="48" spans="1:3" ht="16.2" thickBot="1" x14ac:dyDescent="0.35">
      <c r="A48" s="10">
        <v>112</v>
      </c>
      <c r="B48" s="25" t="s">
        <v>46</v>
      </c>
      <c r="C48" s="40"/>
    </row>
    <row r="49" spans="1:3" ht="16.2" thickBot="1" x14ac:dyDescent="0.35">
      <c r="A49" s="11">
        <v>120</v>
      </c>
      <c r="B49" s="26" t="s">
        <v>47</v>
      </c>
      <c r="C49" s="41">
        <f>SUM(C50:C52)</f>
        <v>4157547</v>
      </c>
    </row>
    <row r="50" spans="1:3" ht="15.6" x14ac:dyDescent="0.3">
      <c r="A50" s="10">
        <v>121</v>
      </c>
      <c r="B50" s="25" t="s">
        <v>48</v>
      </c>
      <c r="C50" s="38"/>
    </row>
    <row r="51" spans="1:3" ht="15.6" x14ac:dyDescent="0.3">
      <c r="A51" s="10">
        <v>122</v>
      </c>
      <c r="B51" s="25" t="s">
        <v>49</v>
      </c>
      <c r="C51" s="39"/>
    </row>
    <row r="52" spans="1:3" ht="16.2" thickBot="1" x14ac:dyDescent="0.35">
      <c r="A52" s="10">
        <v>123</v>
      </c>
      <c r="B52" s="25" t="s">
        <v>50</v>
      </c>
      <c r="C52" s="40">
        <f>[1]balance!O73</f>
        <v>4157547</v>
      </c>
    </row>
    <row r="53" spans="1:3" ht="16.2" thickBot="1" x14ac:dyDescent="0.35">
      <c r="A53" s="12">
        <v>125</v>
      </c>
      <c r="B53" s="27" t="s">
        <v>51</v>
      </c>
      <c r="C53" s="42">
        <f>+C30-C37-C38+C39+C43+C46+C49</f>
        <v>4157547</v>
      </c>
    </row>
    <row r="54" spans="1:3" ht="18.600000000000001" thickBot="1" x14ac:dyDescent="0.4">
      <c r="A54" s="15"/>
      <c r="B54" s="30" t="s">
        <v>52</v>
      </c>
      <c r="C54" s="44">
        <f>SUM(C53,C28)+C42</f>
        <v>24653290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167B1-D42F-4166-900D-28781E20155A}">
  <dimension ref="A1:J128"/>
  <sheetViews>
    <sheetView tabSelected="1" workbookViewId="0">
      <selection sqref="A1:C128"/>
    </sheetView>
  </sheetViews>
  <sheetFormatPr baseColWidth="10" defaultRowHeight="14.4" x14ac:dyDescent="0.3"/>
  <cols>
    <col min="1" max="1" width="6.109375" style="16" bestFit="1" customWidth="1"/>
    <col min="2" max="2" width="37.6640625" bestFit="1" customWidth="1"/>
    <col min="3" max="3" width="171.6640625" bestFit="1" customWidth="1"/>
    <col min="4" max="4" width="95.77734375" style="16" customWidth="1"/>
    <col min="5" max="5" width="22.33203125" style="16" bestFit="1" customWidth="1"/>
    <col min="6" max="8" width="22.33203125" bestFit="1" customWidth="1"/>
  </cols>
  <sheetData>
    <row r="1" spans="1:8" ht="16.2" thickBot="1" x14ac:dyDescent="0.35">
      <c r="A1" s="1" t="s">
        <v>0</v>
      </c>
      <c r="B1" s="1" t="s">
        <v>1</v>
      </c>
      <c r="C1" s="1"/>
      <c r="D1" s="16" t="s">
        <v>58</v>
      </c>
    </row>
    <row r="2" spans="1:8" ht="16.2" thickBot="1" x14ac:dyDescent="0.35">
      <c r="A2" s="2">
        <v>5</v>
      </c>
      <c r="B2" s="17" t="s">
        <v>2</v>
      </c>
      <c r="C2" s="118" t="str">
        <f>D2&amp;E2&amp;F2&amp;G2&amp;H2&amp;J2&amp;J2&amp;K2&amp;L2&amp;M2</f>
        <v xml:space="preserve"> (A:1010100 - P:1010100) </v>
      </c>
      <c r="D2" s="16" t="s">
        <v>56</v>
      </c>
    </row>
    <row r="3" spans="1:8" ht="16.2" thickBot="1" x14ac:dyDescent="0.35">
      <c r="A3" s="3">
        <v>10</v>
      </c>
      <c r="B3" s="18" t="s">
        <v>3</v>
      </c>
      <c r="C3" s="118" t="str">
        <f t="shared" ref="C3:C66" si="0">D3&amp;E3&amp;F3&amp;G3&amp;H3&amp;J3&amp;J3&amp;K3&amp;L3&amp;M3</f>
        <v>11+12+13+14+15</v>
      </c>
      <c r="D3" s="16" t="s">
        <v>60</v>
      </c>
    </row>
    <row r="4" spans="1:8" ht="15.6" x14ac:dyDescent="0.3">
      <c r="A4" s="4">
        <v>11</v>
      </c>
      <c r="B4" s="19" t="s">
        <v>4</v>
      </c>
      <c r="C4" s="118" t="str">
        <f t="shared" si="0"/>
        <v xml:space="preserve"> (A:1010200- P:1010200) </v>
      </c>
      <c r="D4" s="16" t="s">
        <v>59</v>
      </c>
    </row>
    <row r="5" spans="1:8" ht="15.6" x14ac:dyDescent="0.3">
      <c r="A5" s="5">
        <v>12</v>
      </c>
      <c r="B5" s="19" t="s">
        <v>5</v>
      </c>
      <c r="C5" s="118" t="str">
        <f t="shared" si="0"/>
        <v/>
      </c>
    </row>
    <row r="6" spans="1:8" ht="15.6" x14ac:dyDescent="0.3">
      <c r="A6" s="5">
        <v>13</v>
      </c>
      <c r="B6" s="19" t="s">
        <v>6</v>
      </c>
      <c r="C6" s="118" t="str">
        <f t="shared" si="0"/>
        <v/>
      </c>
    </row>
    <row r="7" spans="1:8" ht="15.6" x14ac:dyDescent="0.3">
      <c r="A7" s="5">
        <v>14</v>
      </c>
      <c r="B7" s="19" t="s">
        <v>7</v>
      </c>
      <c r="C7" s="118" t="str">
        <f t="shared" si="0"/>
        <v/>
      </c>
    </row>
    <row r="8" spans="1:8" ht="16.2" thickBot="1" x14ac:dyDescent="0.35">
      <c r="A8" s="6">
        <v>15</v>
      </c>
      <c r="B8" s="20" t="s">
        <v>8</v>
      </c>
      <c r="C8" s="118" t="str">
        <f t="shared" si="0"/>
        <v xml:space="preserve"> (A:1010300- P:1010300) </v>
      </c>
      <c r="D8" s="16" t="s">
        <v>57</v>
      </c>
    </row>
    <row r="9" spans="1:8" ht="16.2" thickBot="1" x14ac:dyDescent="0.35">
      <c r="A9" s="7">
        <v>20</v>
      </c>
      <c r="B9" s="21" t="s">
        <v>9</v>
      </c>
      <c r="C9" s="118" t="str">
        <f t="shared" si="0"/>
        <v>21+22+23+24+25</v>
      </c>
      <c r="D9" s="16" t="s">
        <v>61</v>
      </c>
    </row>
    <row r="10" spans="1:8" ht="15.6" x14ac:dyDescent="0.3">
      <c r="A10" s="8">
        <v>21</v>
      </c>
      <c r="B10" s="22" t="s">
        <v>10</v>
      </c>
      <c r="C10" s="118" t="str">
        <f t="shared" si="0"/>
        <v/>
      </c>
    </row>
    <row r="11" spans="1:8" ht="15.6" x14ac:dyDescent="0.3">
      <c r="A11" s="5">
        <v>22</v>
      </c>
      <c r="B11" s="19" t="s">
        <v>11</v>
      </c>
      <c r="C11" s="118" t="str">
        <f t="shared" si="0"/>
        <v xml:space="preserve"> (A:1010400- P:1010400) + (A:1010500- P:1010500) + (A:1010501- P:1010501) + (A:1010502- P:1010502) + (A:1010503- P:1010503) +</v>
      </c>
      <c r="D11" s="16" t="s">
        <v>62</v>
      </c>
      <c r="E11" s="16" t="s">
        <v>63</v>
      </c>
      <c r="F11" t="s">
        <v>65</v>
      </c>
      <c r="G11" t="s">
        <v>66</v>
      </c>
      <c r="H11" t="s">
        <v>64</v>
      </c>
    </row>
    <row r="12" spans="1:8" ht="15.6" x14ac:dyDescent="0.3">
      <c r="A12" s="5">
        <v>23</v>
      </c>
      <c r="B12" s="19" t="s">
        <v>12</v>
      </c>
      <c r="C12" s="118" t="str">
        <f t="shared" si="0"/>
        <v/>
      </c>
    </row>
    <row r="13" spans="1:8" ht="15.6" x14ac:dyDescent="0.3">
      <c r="A13" s="5">
        <v>24</v>
      </c>
      <c r="B13" s="19" t="s">
        <v>13</v>
      </c>
      <c r="C13" s="118" t="str">
        <f t="shared" si="0"/>
        <v/>
      </c>
    </row>
    <row r="14" spans="1:8" ht="16.2" thickBot="1" x14ac:dyDescent="0.35">
      <c r="A14" s="6">
        <v>25</v>
      </c>
      <c r="B14" s="23" t="s">
        <v>14</v>
      </c>
      <c r="C14" s="118" t="str">
        <f t="shared" si="0"/>
        <v/>
      </c>
    </row>
    <row r="15" spans="1:8" ht="16.2" thickBot="1" x14ac:dyDescent="0.35">
      <c r="A15" s="9">
        <v>30</v>
      </c>
      <c r="B15" s="24" t="s">
        <v>15</v>
      </c>
      <c r="C15" s="118" t="str">
        <f t="shared" si="0"/>
        <v>31+32+35</v>
      </c>
      <c r="D15" s="16" t="s">
        <v>67</v>
      </c>
    </row>
    <row r="16" spans="1:8" ht="15.6" x14ac:dyDescent="0.3">
      <c r="A16" s="10">
        <v>31</v>
      </c>
      <c r="B16" s="25" t="s">
        <v>16</v>
      </c>
      <c r="C16" s="118" t="str">
        <f t="shared" si="0"/>
        <v xml:space="preserve"> (A:1010800- P:1010800) </v>
      </c>
      <c r="D16" s="16" t="s">
        <v>68</v>
      </c>
    </row>
    <row r="17" spans="1:10" ht="15.6" x14ac:dyDescent="0.3">
      <c r="A17" s="10">
        <v>32</v>
      </c>
      <c r="B17" s="25" t="s">
        <v>17</v>
      </c>
      <c r="C17" s="118" t="str">
        <f t="shared" si="0"/>
        <v/>
      </c>
    </row>
    <row r="18" spans="1:10" ht="16.2" thickBot="1" x14ac:dyDescent="0.35">
      <c r="A18" s="10">
        <v>35</v>
      </c>
      <c r="B18" s="25" t="s">
        <v>18</v>
      </c>
      <c r="C18" s="118" t="str">
        <f t="shared" si="0"/>
        <v/>
      </c>
    </row>
    <row r="19" spans="1:10" ht="16.2" thickBot="1" x14ac:dyDescent="0.35">
      <c r="A19" s="11">
        <v>40</v>
      </c>
      <c r="B19" s="26" t="s">
        <v>19</v>
      </c>
      <c r="C19" s="118" t="str">
        <f t="shared" si="0"/>
        <v>41+42+43+44+45</v>
      </c>
      <c r="D19" s="16" t="s">
        <v>69</v>
      </c>
    </row>
    <row r="20" spans="1:10" ht="15.6" x14ac:dyDescent="0.3">
      <c r="A20" s="10">
        <v>41</v>
      </c>
      <c r="B20" s="25" t="s">
        <v>20</v>
      </c>
      <c r="C20" s="118" t="str">
        <f t="shared" si="0"/>
        <v xml:space="preserve"> (A:1010300- P:1010300) + (A:1010301- P:1010301) + (A:1010302- P:1010302) + (A:1010303- P:1010303) + (A:1010304- P:1010304) + (A:1010306- P:1010306) + (A:1010306- P:1010306) +</v>
      </c>
      <c r="D20" s="16" t="s">
        <v>70</v>
      </c>
      <c r="E20" s="16" t="s">
        <v>71</v>
      </c>
      <c r="F20" t="s">
        <v>72</v>
      </c>
      <c r="G20" t="s">
        <v>73</v>
      </c>
      <c r="H20" t="s">
        <v>74</v>
      </c>
      <c r="I20" t="s">
        <v>75</v>
      </c>
      <c r="J20" t="s">
        <v>76</v>
      </c>
    </row>
    <row r="21" spans="1:10" ht="15.6" x14ac:dyDescent="0.3">
      <c r="A21" s="10">
        <v>42</v>
      </c>
      <c r="B21" s="25" t="s">
        <v>21</v>
      </c>
      <c r="C21" s="118" t="str">
        <f t="shared" si="0"/>
        <v/>
      </c>
    </row>
    <row r="22" spans="1:10" ht="15.6" x14ac:dyDescent="0.3">
      <c r="A22" s="10">
        <v>43</v>
      </c>
      <c r="B22" s="25" t="s">
        <v>22</v>
      </c>
      <c r="C22" s="118" t="str">
        <f t="shared" si="0"/>
        <v xml:space="preserve"> (A:1010900- P:1010900) +</v>
      </c>
      <c r="D22" s="16" t="s">
        <v>77</v>
      </c>
    </row>
    <row r="23" spans="1:10" ht="15.6" x14ac:dyDescent="0.3">
      <c r="A23" s="10">
        <v>44</v>
      </c>
      <c r="B23" s="25" t="s">
        <v>23</v>
      </c>
      <c r="C23" s="118" t="str">
        <f t="shared" si="0"/>
        <v xml:space="preserve"> (A:1010500- P:1010500) +</v>
      </c>
      <c r="D23" s="16" t="s">
        <v>63</v>
      </c>
    </row>
    <row r="24" spans="1:10" ht="15.6" x14ac:dyDescent="0.3">
      <c r="A24" s="10">
        <v>45</v>
      </c>
      <c r="B24" s="25" t="s">
        <v>24</v>
      </c>
      <c r="C24" s="118" t="str">
        <f t="shared" si="0"/>
        <v xml:space="preserve"> (A:1010901- P:1010901) +</v>
      </c>
      <c r="D24" s="16" t="s">
        <v>78</v>
      </c>
    </row>
    <row r="25" spans="1:10" ht="15.6" x14ac:dyDescent="0.3">
      <c r="A25" s="10">
        <v>50</v>
      </c>
      <c r="B25" s="25" t="s">
        <v>25</v>
      </c>
      <c r="C25" s="118" t="str">
        <f t="shared" si="0"/>
        <v xml:space="preserve"> (A:1011000- P:101000) + (A:1011501- P:1011501) +</v>
      </c>
      <c r="D25" s="16" t="s">
        <v>79</v>
      </c>
      <c r="E25" s="16" t="s">
        <v>84</v>
      </c>
    </row>
    <row r="26" spans="1:10" ht="15.6" x14ac:dyDescent="0.3">
      <c r="A26" s="10">
        <v>55</v>
      </c>
      <c r="B26" s="25" t="s">
        <v>26</v>
      </c>
      <c r="C26" s="118" t="str">
        <f t="shared" si="0"/>
        <v xml:space="preserve"> (A:1011100- P:101100) + (A:1011101- P:101101) + (A:1011102- P:101102) + (A:1011103- P:101103) +</v>
      </c>
      <c r="D26" s="16" t="s">
        <v>80</v>
      </c>
      <c r="E26" s="16" t="s">
        <v>81</v>
      </c>
      <c r="F26" t="s">
        <v>82</v>
      </c>
      <c r="G26" t="s">
        <v>83</v>
      </c>
    </row>
    <row r="27" spans="1:10" ht="16.2" thickBot="1" x14ac:dyDescent="0.35">
      <c r="A27" s="10">
        <v>60</v>
      </c>
      <c r="B27" s="25" t="s">
        <v>27</v>
      </c>
      <c r="C27" s="118" t="str">
        <f t="shared" si="0"/>
        <v xml:space="preserve"> (A:120300- P:1020300) + (A:120301- P:1020301) + (A:120302- P:1020302) + (A:120303- P:1020303) +</v>
      </c>
      <c r="D27" s="16" t="s">
        <v>85</v>
      </c>
      <c r="E27" s="16" t="s">
        <v>86</v>
      </c>
      <c r="F27" t="s">
        <v>87</v>
      </c>
      <c r="G27" t="s">
        <v>88</v>
      </c>
    </row>
    <row r="28" spans="1:10" ht="16.2" thickBot="1" x14ac:dyDescent="0.35">
      <c r="A28" s="12">
        <v>65</v>
      </c>
      <c r="B28" s="27" t="s">
        <v>28</v>
      </c>
      <c r="C28" s="118" t="str">
        <f t="shared" si="0"/>
        <v>10+20+30+40+50+55+60</v>
      </c>
      <c r="D28" s="16" t="s">
        <v>89</v>
      </c>
    </row>
    <row r="29" spans="1:10" ht="16.2" thickBot="1" x14ac:dyDescent="0.35">
      <c r="A29" s="13"/>
      <c r="B29" s="28"/>
      <c r="C29" s="118" t="str">
        <f t="shared" si="0"/>
        <v/>
      </c>
    </row>
    <row r="30" spans="1:10" ht="16.2" thickBot="1" x14ac:dyDescent="0.35">
      <c r="A30" s="11">
        <v>70</v>
      </c>
      <c r="B30" s="26" t="s">
        <v>29</v>
      </c>
      <c r="C30" s="118" t="str">
        <f t="shared" si="0"/>
        <v>71+72+73+74+75</v>
      </c>
      <c r="D30" s="16" t="s">
        <v>90</v>
      </c>
    </row>
    <row r="31" spans="1:10" ht="15.6" x14ac:dyDescent="0.3">
      <c r="A31" s="14">
        <v>71</v>
      </c>
      <c r="B31" s="29" t="s">
        <v>30</v>
      </c>
      <c r="C31" s="118" t="str">
        <f t="shared" si="0"/>
        <v/>
      </c>
    </row>
    <row r="32" spans="1:10" ht="15.6" x14ac:dyDescent="0.3">
      <c r="A32" s="10">
        <v>72</v>
      </c>
      <c r="B32" s="25" t="s">
        <v>31</v>
      </c>
      <c r="C32" s="118" t="str">
        <f t="shared" si="0"/>
        <v xml:space="preserve"> (A:120380- P:1020380) +</v>
      </c>
      <c r="D32" s="16" t="s">
        <v>96</v>
      </c>
    </row>
    <row r="33" spans="1:4" ht="15.6" x14ac:dyDescent="0.3">
      <c r="A33" s="10">
        <v>73</v>
      </c>
      <c r="B33" s="25" t="s">
        <v>32</v>
      </c>
      <c r="C33" s="118" t="str">
        <f t="shared" si="0"/>
        <v xml:space="preserve"> (A:120400- P:1020400) +</v>
      </c>
      <c r="D33" s="16" t="s">
        <v>97</v>
      </c>
    </row>
    <row r="34" spans="1:4" ht="15.6" x14ac:dyDescent="0.3">
      <c r="A34" s="10">
        <v>74</v>
      </c>
      <c r="B34" s="25" t="s">
        <v>33</v>
      </c>
      <c r="C34" s="118" t="str">
        <f t="shared" si="0"/>
        <v xml:space="preserve"> (A:120370- P:1020370) +</v>
      </c>
      <c r="D34" s="16" t="s">
        <v>95</v>
      </c>
    </row>
    <row r="35" spans="1:4" ht="15.6" x14ac:dyDescent="0.3">
      <c r="A35" s="10">
        <v>75</v>
      </c>
      <c r="B35" s="25" t="s">
        <v>34</v>
      </c>
      <c r="C35" s="118" t="str">
        <f t="shared" si="0"/>
        <v/>
      </c>
    </row>
    <row r="36" spans="1:4" ht="15.6" x14ac:dyDescent="0.3">
      <c r="A36" s="10">
        <v>80</v>
      </c>
      <c r="B36" s="25" t="s">
        <v>35</v>
      </c>
      <c r="C36" s="118" t="str">
        <f t="shared" si="0"/>
        <v xml:space="preserve"> (A:1010600- P:1010600 +</v>
      </c>
      <c r="D36" s="16" t="s">
        <v>92</v>
      </c>
    </row>
    <row r="37" spans="1:4" ht="15.6" x14ac:dyDescent="0.3">
      <c r="A37" s="10">
        <v>85</v>
      </c>
      <c r="B37" s="25" t="s">
        <v>36</v>
      </c>
      <c r="C37" s="118" t="str">
        <f t="shared" si="0"/>
        <v xml:space="preserve"> (A:1020350- P:1020350 +</v>
      </c>
      <c r="D37" s="16" t="s">
        <v>93</v>
      </c>
    </row>
    <row r="38" spans="1:4" ht="16.2" thickBot="1" x14ac:dyDescent="0.35">
      <c r="A38" s="10">
        <v>90</v>
      </c>
      <c r="B38" s="25" t="s">
        <v>37</v>
      </c>
      <c r="C38" s="118" t="str">
        <f t="shared" si="0"/>
        <v xml:space="preserve"> (A:1010500- P:1010500 +</v>
      </c>
      <c r="D38" s="16" t="s">
        <v>91</v>
      </c>
    </row>
    <row r="39" spans="1:4" ht="16.2" thickBot="1" x14ac:dyDescent="0.35">
      <c r="A39" s="11">
        <v>95</v>
      </c>
      <c r="B39" s="26" t="s">
        <v>38</v>
      </c>
      <c r="C39" s="118" t="str">
        <f t="shared" si="0"/>
        <v>96+97+98</v>
      </c>
      <c r="D39" s="16" t="s">
        <v>94</v>
      </c>
    </row>
    <row r="40" spans="1:4" ht="15.6" x14ac:dyDescent="0.3">
      <c r="A40" s="14">
        <v>96</v>
      </c>
      <c r="B40" s="29" t="s">
        <v>11</v>
      </c>
      <c r="C40" s="118" t="str">
        <f t="shared" si="0"/>
        <v/>
      </c>
    </row>
    <row r="41" spans="1:4" ht="15.6" x14ac:dyDescent="0.3">
      <c r="A41" s="10">
        <v>97</v>
      </c>
      <c r="B41" s="25" t="s">
        <v>39</v>
      </c>
      <c r="C41" s="118" t="str">
        <f t="shared" si="0"/>
        <v/>
      </c>
    </row>
    <row r="42" spans="1:4" ht="16.2" thickBot="1" x14ac:dyDescent="0.35">
      <c r="A42" s="10">
        <v>100</v>
      </c>
      <c r="B42" s="25" t="s">
        <v>40</v>
      </c>
      <c r="C42" s="118" t="str">
        <f t="shared" si="0"/>
        <v/>
      </c>
    </row>
    <row r="43" spans="1:4" ht="16.2" thickBot="1" x14ac:dyDescent="0.35">
      <c r="A43" s="11">
        <v>105</v>
      </c>
      <c r="B43" s="26" t="s">
        <v>41</v>
      </c>
      <c r="C43" s="118" t="str">
        <f t="shared" si="0"/>
        <v>106+107</v>
      </c>
      <c r="D43" s="16" t="s">
        <v>98</v>
      </c>
    </row>
    <row r="44" spans="1:4" ht="15.6" x14ac:dyDescent="0.3">
      <c r="A44" s="10">
        <v>106</v>
      </c>
      <c r="B44" s="25" t="s">
        <v>42</v>
      </c>
      <c r="C44" s="118" t="str">
        <f t="shared" si="0"/>
        <v/>
      </c>
    </row>
    <row r="45" spans="1:4" ht="16.2" thickBot="1" x14ac:dyDescent="0.35">
      <c r="A45" s="10">
        <v>107</v>
      </c>
      <c r="B45" s="25" t="s">
        <v>43</v>
      </c>
      <c r="C45" s="118" t="str">
        <f t="shared" si="0"/>
        <v/>
      </c>
    </row>
    <row r="46" spans="1:4" ht="16.2" thickBot="1" x14ac:dyDescent="0.35">
      <c r="A46" s="11">
        <v>110</v>
      </c>
      <c r="B46" s="26" t="s">
        <v>44</v>
      </c>
      <c r="C46" s="118" t="str">
        <f t="shared" si="0"/>
        <v>111+112</v>
      </c>
      <c r="D46" s="16" t="s">
        <v>99</v>
      </c>
    </row>
    <row r="47" spans="1:4" ht="15.6" x14ac:dyDescent="0.3">
      <c r="A47" s="10">
        <v>111</v>
      </c>
      <c r="B47" s="25" t="s">
        <v>45</v>
      </c>
      <c r="C47" s="118" t="str">
        <f t="shared" si="0"/>
        <v/>
      </c>
    </row>
    <row r="48" spans="1:4" ht="16.2" thickBot="1" x14ac:dyDescent="0.35">
      <c r="A48" s="10">
        <v>112</v>
      </c>
      <c r="B48" s="25" t="s">
        <v>46</v>
      </c>
      <c r="C48" s="118" t="str">
        <f t="shared" si="0"/>
        <v/>
      </c>
    </row>
    <row r="49" spans="1:5" ht="16.2" thickBot="1" x14ac:dyDescent="0.35">
      <c r="A49" s="11">
        <v>120</v>
      </c>
      <c r="B49" s="26" t="s">
        <v>47</v>
      </c>
      <c r="C49" s="118" t="str">
        <f t="shared" si="0"/>
        <v>121+122+123</v>
      </c>
      <c r="D49" s="16" t="s">
        <v>100</v>
      </c>
    </row>
    <row r="50" spans="1:5" ht="15.6" x14ac:dyDescent="0.3">
      <c r="A50" s="10">
        <v>121</v>
      </c>
      <c r="B50" s="25" t="s">
        <v>48</v>
      </c>
      <c r="C50" s="118" t="str">
        <f t="shared" si="0"/>
        <v/>
      </c>
    </row>
    <row r="51" spans="1:5" ht="15.6" x14ac:dyDescent="0.3">
      <c r="A51" s="10">
        <v>122</v>
      </c>
      <c r="B51" s="25" t="s">
        <v>49</v>
      </c>
      <c r="C51" s="118" t="str">
        <f t="shared" si="0"/>
        <v/>
      </c>
    </row>
    <row r="52" spans="1:5" ht="16.2" thickBot="1" x14ac:dyDescent="0.35">
      <c r="A52" s="10">
        <v>123</v>
      </c>
      <c r="B52" s="25" t="s">
        <v>50</v>
      </c>
      <c r="C52" s="118" t="str">
        <f t="shared" si="0"/>
        <v xml:space="preserve"> (A:1013100- P:103100) +</v>
      </c>
      <c r="D52" s="16" t="s">
        <v>141</v>
      </c>
    </row>
    <row r="53" spans="1:5" ht="16.2" thickBot="1" x14ac:dyDescent="0.35">
      <c r="A53" s="12">
        <v>125</v>
      </c>
      <c r="B53" s="27" t="s">
        <v>51</v>
      </c>
      <c r="C53" s="118" t="str">
        <f t="shared" si="0"/>
        <v>70+95+105+110+120</v>
      </c>
      <c r="D53" s="16" t="s">
        <v>101</v>
      </c>
    </row>
    <row r="54" spans="1:5" ht="16.2" thickBot="1" x14ac:dyDescent="0.35">
      <c r="A54" s="15">
        <v>126</v>
      </c>
      <c r="B54" s="30" t="s">
        <v>52</v>
      </c>
      <c r="C54" s="118" t="str">
        <f t="shared" si="0"/>
        <v>65+125</v>
      </c>
      <c r="D54" s="16" t="s">
        <v>102</v>
      </c>
    </row>
    <row r="55" spans="1:5" ht="15.6" x14ac:dyDescent="0.3">
      <c r="C55" s="118" t="str">
        <f t="shared" si="0"/>
        <v/>
      </c>
    </row>
    <row r="56" spans="1:5" ht="15.6" x14ac:dyDescent="0.3">
      <c r="C56" s="118" t="str">
        <f t="shared" si="0"/>
        <v/>
      </c>
    </row>
    <row r="57" spans="1:5" ht="16.2" thickBot="1" x14ac:dyDescent="0.35">
      <c r="A57" s="1" t="s">
        <v>0</v>
      </c>
      <c r="B57" s="46" t="s">
        <v>103</v>
      </c>
      <c r="C57" s="118" t="str">
        <f t="shared" si="0"/>
        <v>monto</v>
      </c>
      <c r="D57" s="67" t="s">
        <v>54</v>
      </c>
    </row>
    <row r="58" spans="1:5" ht="16.2" thickBot="1" x14ac:dyDescent="0.35">
      <c r="A58" s="47">
        <v>135</v>
      </c>
      <c r="B58" s="48" t="s">
        <v>104</v>
      </c>
      <c r="C58" s="118" t="str">
        <f t="shared" si="0"/>
        <v xml:space="preserve"> (P:2010100- A:2010100) +</v>
      </c>
      <c r="D58" s="68" t="s">
        <v>142</v>
      </c>
    </row>
    <row r="59" spans="1:5" ht="15.6" x14ac:dyDescent="0.3">
      <c r="A59" s="10">
        <v>145</v>
      </c>
      <c r="B59" s="50" t="s">
        <v>105</v>
      </c>
      <c r="C59" s="118" t="str">
        <f t="shared" si="0"/>
        <v xml:space="preserve"> (P:2010200- A:2010200) +</v>
      </c>
      <c r="D59" s="68" t="s">
        <v>143</v>
      </c>
    </row>
    <row r="60" spans="1:5" ht="15.6" x14ac:dyDescent="0.3">
      <c r="A60" s="10">
        <v>147</v>
      </c>
      <c r="B60" s="50" t="s">
        <v>106</v>
      </c>
      <c r="C60" s="118" t="str">
        <f t="shared" si="0"/>
        <v/>
      </c>
      <c r="D60" s="69"/>
    </row>
    <row r="61" spans="1:5" ht="16.2" thickBot="1" x14ac:dyDescent="0.35">
      <c r="A61" s="51">
        <v>150</v>
      </c>
      <c r="B61" s="52" t="s">
        <v>107</v>
      </c>
      <c r="C61" s="118" t="str">
        <f t="shared" si="0"/>
        <v xml:space="preserve"> (P:2010400- A:2010500) +</v>
      </c>
      <c r="D61" s="70" t="s">
        <v>144</v>
      </c>
    </row>
    <row r="62" spans="1:5" ht="16.2" thickBot="1" x14ac:dyDescent="0.35">
      <c r="A62" s="3">
        <v>155</v>
      </c>
      <c r="B62" s="53" t="s">
        <v>108</v>
      </c>
      <c r="C62" s="118" t="str">
        <f t="shared" si="0"/>
        <v>156+157</v>
      </c>
      <c r="D62" s="71" t="s">
        <v>145</v>
      </c>
    </row>
    <row r="63" spans="1:5" ht="15.6" x14ac:dyDescent="0.3">
      <c r="A63" s="4">
        <v>156</v>
      </c>
      <c r="B63" s="54" t="s">
        <v>109</v>
      </c>
      <c r="C63" s="118" t="str">
        <f t="shared" si="0"/>
        <v/>
      </c>
      <c r="D63" s="66"/>
      <c r="E63" s="66"/>
    </row>
    <row r="64" spans="1:5" ht="15.6" x14ac:dyDescent="0.3">
      <c r="A64" s="5">
        <v>157</v>
      </c>
      <c r="B64" s="54" t="s">
        <v>110</v>
      </c>
      <c r="C64" s="118" t="str">
        <f t="shared" si="0"/>
        <v/>
      </c>
    </row>
    <row r="65" spans="1:5" ht="15.6" x14ac:dyDescent="0.3">
      <c r="A65" s="5">
        <v>160</v>
      </c>
      <c r="B65" s="54" t="s">
        <v>111</v>
      </c>
      <c r="C65" s="118" t="str">
        <f t="shared" si="0"/>
        <v xml:space="preserve"> (P:2011400- A:2011400) +</v>
      </c>
      <c r="D65" s="66" t="s">
        <v>148</v>
      </c>
    </row>
    <row r="66" spans="1:5" ht="15.6" x14ac:dyDescent="0.3">
      <c r="A66" s="5">
        <v>165</v>
      </c>
      <c r="B66" s="54" t="s">
        <v>112</v>
      </c>
      <c r="C66" s="118" t="str">
        <f t="shared" si="0"/>
        <v xml:space="preserve"> (P:2011100- A:2011100) +</v>
      </c>
      <c r="D66" s="66" t="s">
        <v>149</v>
      </c>
    </row>
    <row r="67" spans="1:5" ht="15.6" x14ac:dyDescent="0.3">
      <c r="A67" s="5">
        <v>170</v>
      </c>
      <c r="B67" s="54" t="s">
        <v>113</v>
      </c>
      <c r="C67" s="118" t="str">
        <f t="shared" ref="C67:C128" si="1">D67&amp;E67&amp;F67&amp;G67&amp;H67&amp;J67&amp;J67&amp;K67&amp;L67&amp;M67</f>
        <v xml:space="preserve"> (P:2011310- A:2011310) +</v>
      </c>
      <c r="D67" s="66" t="s">
        <v>150</v>
      </c>
    </row>
    <row r="68" spans="1:5" ht="15.6" x14ac:dyDescent="0.3">
      <c r="A68" s="5">
        <v>175</v>
      </c>
      <c r="B68" s="54" t="s">
        <v>114</v>
      </c>
      <c r="C68" s="118" t="str">
        <f t="shared" si="1"/>
        <v xml:space="preserve"> (P:2010902- A:2010902) + (P:2010903- A:2010903) +</v>
      </c>
      <c r="D68" s="66" t="s">
        <v>146</v>
      </c>
      <c r="E68" s="16" t="s">
        <v>147</v>
      </c>
    </row>
    <row r="69" spans="1:5" ht="15.6" x14ac:dyDescent="0.3">
      <c r="A69" s="5">
        <v>180</v>
      </c>
      <c r="B69" s="54" t="s">
        <v>115</v>
      </c>
      <c r="C69" s="118" t="str">
        <f t="shared" si="1"/>
        <v/>
      </c>
    </row>
    <row r="70" spans="1:5" ht="16.2" thickBot="1" x14ac:dyDescent="0.35">
      <c r="A70" s="55">
        <v>185</v>
      </c>
      <c r="B70" s="56" t="s">
        <v>116</v>
      </c>
      <c r="C70" s="118" t="str">
        <f t="shared" si="1"/>
        <v xml:space="preserve"> (P:2011600- A:2011600) +</v>
      </c>
      <c r="D70" s="66" t="s">
        <v>151</v>
      </c>
    </row>
    <row r="71" spans="1:5" ht="16.2" thickBot="1" x14ac:dyDescent="0.35">
      <c r="A71" s="12">
        <v>190</v>
      </c>
      <c r="B71" s="57" t="s">
        <v>117</v>
      </c>
      <c r="C71" s="118" t="str">
        <f t="shared" si="1"/>
        <v>135+145+147+150+155+160+165+170+175+180+185+</v>
      </c>
      <c r="D71" s="72" t="s">
        <v>163</v>
      </c>
    </row>
    <row r="72" spans="1:5" ht="15.6" x14ac:dyDescent="0.3">
      <c r="A72" s="14">
        <v>195</v>
      </c>
      <c r="B72" s="56" t="s">
        <v>118</v>
      </c>
      <c r="C72" s="118" t="str">
        <f t="shared" si="1"/>
        <v xml:space="preserve"> (P:2020100- A:2020100) +</v>
      </c>
      <c r="D72" s="66" t="s">
        <v>152</v>
      </c>
    </row>
    <row r="73" spans="1:5" ht="15.6" x14ac:dyDescent="0.3">
      <c r="A73" s="10">
        <v>201</v>
      </c>
      <c r="B73" s="50" t="s">
        <v>119</v>
      </c>
      <c r="C73" s="118" t="str">
        <f t="shared" si="1"/>
        <v/>
      </c>
      <c r="D73" s="69"/>
    </row>
    <row r="74" spans="1:5" ht="15.6" x14ac:dyDescent="0.3">
      <c r="A74" s="10">
        <v>205</v>
      </c>
      <c r="B74" s="50" t="s">
        <v>120</v>
      </c>
      <c r="C74" s="118" t="str">
        <f t="shared" si="1"/>
        <v xml:space="preserve"> (P:2020300- A:2020300) +</v>
      </c>
      <c r="D74" s="69" t="s">
        <v>153</v>
      </c>
    </row>
    <row r="75" spans="1:5" ht="15.6" x14ac:dyDescent="0.3">
      <c r="A75" s="10">
        <v>210</v>
      </c>
      <c r="B75" s="50" t="s">
        <v>121</v>
      </c>
      <c r="C75" s="118" t="str">
        <f t="shared" si="1"/>
        <v xml:space="preserve"> (P:2020502- A:2020502) + (P:2020503- A:2020503) +</v>
      </c>
      <c r="D75" s="66" t="s">
        <v>154</v>
      </c>
      <c r="E75" s="33" t="s">
        <v>155</v>
      </c>
    </row>
    <row r="76" spans="1:5" ht="15.6" x14ac:dyDescent="0.3">
      <c r="A76" s="10">
        <v>215</v>
      </c>
      <c r="B76" s="50" t="s">
        <v>122</v>
      </c>
      <c r="C76" s="118" t="str">
        <f t="shared" si="1"/>
        <v/>
      </c>
      <c r="D76" s="69"/>
    </row>
    <row r="77" spans="1:5" ht="16.2" thickBot="1" x14ac:dyDescent="0.35">
      <c r="A77" s="51">
        <v>220</v>
      </c>
      <c r="B77" s="52" t="s">
        <v>123</v>
      </c>
      <c r="C77" s="118" t="str">
        <f t="shared" si="1"/>
        <v xml:space="preserve"> (P:2011600- A:2011600) +</v>
      </c>
      <c r="D77" s="70" t="s">
        <v>151</v>
      </c>
    </row>
    <row r="78" spans="1:5" ht="16.2" thickBot="1" x14ac:dyDescent="0.35">
      <c r="A78" s="12">
        <v>225</v>
      </c>
      <c r="B78" s="58" t="s">
        <v>124</v>
      </c>
      <c r="C78" s="118" t="str">
        <f t="shared" si="1"/>
        <v>195+201+205+210+215+220</v>
      </c>
      <c r="D78" s="73" t="s">
        <v>164</v>
      </c>
    </row>
    <row r="79" spans="1:5" ht="16.2" thickBot="1" x14ac:dyDescent="0.35">
      <c r="A79" s="59"/>
      <c r="B79" s="60"/>
      <c r="C79" s="118" t="str">
        <f t="shared" si="1"/>
        <v/>
      </c>
      <c r="D79" s="74"/>
    </row>
    <row r="80" spans="1:5" ht="16.2" thickBot="1" x14ac:dyDescent="0.35">
      <c r="A80" s="12">
        <v>230</v>
      </c>
      <c r="B80" s="58" t="s">
        <v>125</v>
      </c>
      <c r="C80" s="118" t="str">
        <f t="shared" si="1"/>
        <v>190+225</v>
      </c>
      <c r="D80" s="73" t="s">
        <v>165</v>
      </c>
    </row>
    <row r="81" spans="1:5" ht="16.2" thickBot="1" x14ac:dyDescent="0.35">
      <c r="A81" s="61"/>
      <c r="B81" s="43"/>
      <c r="C81" s="118" t="str">
        <f t="shared" si="1"/>
        <v/>
      </c>
      <c r="D81" s="75"/>
    </row>
    <row r="82" spans="1:5" ht="15.6" x14ac:dyDescent="0.3">
      <c r="A82" s="47">
        <v>232</v>
      </c>
      <c r="B82" s="48" t="s">
        <v>126</v>
      </c>
      <c r="C82" s="118" t="str">
        <f t="shared" si="1"/>
        <v/>
      </c>
      <c r="D82" s="68"/>
    </row>
    <row r="83" spans="1:5" ht="15.6" x14ac:dyDescent="0.3">
      <c r="A83" s="10">
        <v>235</v>
      </c>
      <c r="B83" s="50" t="s">
        <v>127</v>
      </c>
      <c r="C83" s="118" t="str">
        <f t="shared" si="1"/>
        <v xml:space="preserve"> (P:2030100- A:2030100) +</v>
      </c>
      <c r="D83" s="70" t="s">
        <v>156</v>
      </c>
    </row>
    <row r="84" spans="1:5" ht="15.6" x14ac:dyDescent="0.3">
      <c r="A84" s="10">
        <v>240</v>
      </c>
      <c r="B84" s="50" t="s">
        <v>128</v>
      </c>
      <c r="C84" s="118" t="str">
        <f t="shared" si="1"/>
        <v/>
      </c>
      <c r="D84" s="69"/>
    </row>
    <row r="85" spans="1:5" ht="15.6" x14ac:dyDescent="0.3">
      <c r="A85" s="10">
        <v>245</v>
      </c>
      <c r="B85" s="50" t="s">
        <v>129</v>
      </c>
      <c r="C85" s="118" t="str">
        <f t="shared" si="1"/>
        <v xml:space="preserve"> (P:2030200- A:2030200) +</v>
      </c>
      <c r="D85" s="69" t="s">
        <v>157</v>
      </c>
    </row>
    <row r="86" spans="1:5" ht="15.6" x14ac:dyDescent="0.3">
      <c r="A86" s="10">
        <v>250</v>
      </c>
      <c r="B86" s="50" t="s">
        <v>130</v>
      </c>
      <c r="C86" s="118" t="str">
        <f t="shared" si="1"/>
        <v xml:space="preserve"> (P:2030400- A:2030400) +</v>
      </c>
      <c r="D86" s="69" t="s">
        <v>158</v>
      </c>
    </row>
    <row r="87" spans="1:5" ht="15.6" x14ac:dyDescent="0.3">
      <c r="A87" s="10">
        <v>255</v>
      </c>
      <c r="B87" s="50" t="s">
        <v>131</v>
      </c>
      <c r="C87" s="118" t="str">
        <f t="shared" si="1"/>
        <v/>
      </c>
      <c r="D87" s="69"/>
    </row>
    <row r="88" spans="1:5" ht="15.6" x14ac:dyDescent="0.3">
      <c r="A88" s="10">
        <v>260</v>
      </c>
      <c r="B88" s="50" t="s">
        <v>132</v>
      </c>
      <c r="C88" s="118" t="str">
        <f t="shared" si="1"/>
        <v/>
      </c>
      <c r="D88" s="69"/>
    </row>
    <row r="89" spans="1:5" ht="15.6" x14ac:dyDescent="0.3">
      <c r="A89" s="10">
        <v>265</v>
      </c>
      <c r="B89" s="50" t="s">
        <v>133</v>
      </c>
      <c r="C89" s="118" t="str">
        <f t="shared" si="1"/>
        <v xml:space="preserve"> (P:2030600- A:2030600) +</v>
      </c>
      <c r="D89" s="69" t="s">
        <v>159</v>
      </c>
    </row>
    <row r="90" spans="1:5" ht="15.6" x14ac:dyDescent="0.3">
      <c r="A90" s="10">
        <v>270</v>
      </c>
      <c r="B90" s="50" t="s">
        <v>134</v>
      </c>
      <c r="C90" s="118" t="str">
        <f t="shared" si="1"/>
        <v>400</v>
      </c>
      <c r="D90" s="76">
        <v>400</v>
      </c>
    </row>
    <row r="91" spans="1:5" ht="15.6" x14ac:dyDescent="0.3">
      <c r="A91" s="10">
        <v>275</v>
      </c>
      <c r="B91" s="50" t="s">
        <v>135</v>
      </c>
      <c r="C91" s="118" t="str">
        <f t="shared" si="1"/>
        <v xml:space="preserve"> (P:2030402- A:2030402) + (P:2030401 A:2030401) +</v>
      </c>
      <c r="D91" s="69" t="s">
        <v>162</v>
      </c>
      <c r="E91" s="39" t="s">
        <v>161</v>
      </c>
    </row>
    <row r="92" spans="1:5" ht="15.6" x14ac:dyDescent="0.3">
      <c r="A92" s="10">
        <v>280</v>
      </c>
      <c r="B92" s="50" t="s">
        <v>136</v>
      </c>
      <c r="C92" s="118" t="str">
        <f t="shared" si="1"/>
        <v xml:space="preserve"> (P:2030800- A:2030800) +</v>
      </c>
      <c r="D92" s="69" t="s">
        <v>160</v>
      </c>
    </row>
    <row r="93" spans="1:5" ht="16.2" thickBot="1" x14ac:dyDescent="0.35">
      <c r="A93" s="10">
        <v>285</v>
      </c>
      <c r="B93" s="50" t="s">
        <v>137</v>
      </c>
      <c r="C93" s="118" t="str">
        <f t="shared" si="1"/>
        <v/>
      </c>
      <c r="D93" s="69"/>
    </row>
    <row r="94" spans="1:5" ht="16.2" thickBot="1" x14ac:dyDescent="0.35">
      <c r="A94" s="12">
        <v>290</v>
      </c>
      <c r="B94" s="58" t="s">
        <v>138</v>
      </c>
      <c r="C94" s="118" t="str">
        <f t="shared" si="1"/>
        <v>232+235+240+245+250+255+260+265+270+275+280+285</v>
      </c>
      <c r="D94" s="73" t="s">
        <v>166</v>
      </c>
    </row>
    <row r="95" spans="1:5" ht="18.600000000000001" thickBot="1" x14ac:dyDescent="0.35">
      <c r="A95" s="62">
        <v>295</v>
      </c>
      <c r="B95" s="63" t="s">
        <v>139</v>
      </c>
      <c r="C95" s="118" t="str">
        <f t="shared" si="1"/>
        <v>230+290</v>
      </c>
      <c r="D95" s="77" t="s">
        <v>167</v>
      </c>
    </row>
    <row r="96" spans="1:5" ht="18" x14ac:dyDescent="0.3">
      <c r="A96" s="64"/>
      <c r="B96" s="65" t="s">
        <v>140</v>
      </c>
      <c r="C96" s="118" t="str">
        <f t="shared" si="1"/>
        <v>126-1195</v>
      </c>
      <c r="D96" s="78" t="s">
        <v>168</v>
      </c>
    </row>
    <row r="97" spans="1:4" ht="15.6" x14ac:dyDescent="0.3">
      <c r="C97" s="118" t="str">
        <f t="shared" si="1"/>
        <v/>
      </c>
    </row>
    <row r="98" spans="1:4" ht="16.2" thickBot="1" x14ac:dyDescent="0.35">
      <c r="A98" s="79" t="s">
        <v>0</v>
      </c>
      <c r="B98" s="80" t="s">
        <v>200</v>
      </c>
      <c r="C98" s="118" t="str">
        <f t="shared" si="1"/>
        <v>monto</v>
      </c>
      <c r="D98" s="31" t="s">
        <v>54</v>
      </c>
    </row>
    <row r="99" spans="1:4" ht="15.6" x14ac:dyDescent="0.3">
      <c r="A99" s="81">
        <v>310</v>
      </c>
      <c r="B99" s="82" t="s">
        <v>169</v>
      </c>
      <c r="C99" s="118" t="str">
        <f t="shared" si="1"/>
        <v>G:3010101+G:301011</v>
      </c>
      <c r="D99" s="49" t="s">
        <v>201</v>
      </c>
    </row>
    <row r="100" spans="1:4" ht="16.2" thickBot="1" x14ac:dyDescent="0.35">
      <c r="A100" s="83">
        <v>315</v>
      </c>
      <c r="B100" s="84" t="s">
        <v>170</v>
      </c>
      <c r="C100" s="118" t="str">
        <f t="shared" si="1"/>
        <v>Pe:3010200</v>
      </c>
      <c r="D100" s="40" t="s">
        <v>209</v>
      </c>
    </row>
    <row r="101" spans="1:4" ht="16.2" thickBot="1" x14ac:dyDescent="0.35">
      <c r="A101" s="85">
        <v>320</v>
      </c>
      <c r="B101" s="86" t="s">
        <v>171</v>
      </c>
      <c r="C101" s="118" t="str">
        <f t="shared" si="1"/>
        <v>310-315</v>
      </c>
      <c r="D101" s="41" t="s">
        <v>202</v>
      </c>
    </row>
    <row r="102" spans="1:4" ht="15.6" x14ac:dyDescent="0.3">
      <c r="A102" s="87">
        <v>324</v>
      </c>
      <c r="B102" s="88" t="s">
        <v>172</v>
      </c>
      <c r="C102" s="118" t="str">
        <f t="shared" si="1"/>
        <v>Pe:3010201+Pe:3010120+Pe:3010130+Pe:3010203+Pe:3010212+Pe:3010213+Pe:3010214+Pe:3010215</v>
      </c>
      <c r="D102" s="38" t="s">
        <v>210</v>
      </c>
    </row>
    <row r="103" spans="1:4" ht="15.6" x14ac:dyDescent="0.3">
      <c r="A103" s="89">
        <v>325</v>
      </c>
      <c r="B103" s="20" t="s">
        <v>173</v>
      </c>
      <c r="C103" s="118" t="str">
        <f t="shared" si="1"/>
        <v>Pe:3010205</v>
      </c>
      <c r="D103" s="38" t="s">
        <v>211</v>
      </c>
    </row>
    <row r="104" spans="1:4" ht="15.6" x14ac:dyDescent="0.3">
      <c r="A104" s="90">
        <v>326</v>
      </c>
      <c r="B104" s="19" t="s">
        <v>174</v>
      </c>
      <c r="C104" s="118" t="str">
        <f t="shared" si="1"/>
        <v>Pe:3010211</v>
      </c>
      <c r="D104" s="91" t="s">
        <v>212</v>
      </c>
    </row>
    <row r="105" spans="1:4" ht="15.6" x14ac:dyDescent="0.3">
      <c r="A105" s="90">
        <v>327</v>
      </c>
      <c r="B105" s="19" t="s">
        <v>175</v>
      </c>
      <c r="C105" s="118" t="str">
        <f t="shared" si="1"/>
        <v>Pe:3010202</v>
      </c>
      <c r="D105" s="91" t="s">
        <v>213</v>
      </c>
    </row>
    <row r="106" spans="1:4" ht="16.2" thickBot="1" x14ac:dyDescent="0.35">
      <c r="A106" s="83">
        <v>330</v>
      </c>
      <c r="B106" s="92" t="s">
        <v>176</v>
      </c>
      <c r="C106" s="118" t="str">
        <f t="shared" si="1"/>
        <v>Pe:3010300</v>
      </c>
      <c r="D106" s="93" t="s">
        <v>220</v>
      </c>
    </row>
    <row r="107" spans="1:4" ht="16.2" thickBot="1" x14ac:dyDescent="0.35">
      <c r="A107" s="94">
        <v>335</v>
      </c>
      <c r="B107" s="114" t="s">
        <v>177</v>
      </c>
      <c r="C107" s="118" t="str">
        <f t="shared" si="1"/>
        <v>320-324-32-326-327</v>
      </c>
      <c r="D107" s="115" t="s">
        <v>203</v>
      </c>
    </row>
    <row r="108" spans="1:4" ht="15.6" x14ac:dyDescent="0.3">
      <c r="A108" s="89">
        <v>340</v>
      </c>
      <c r="B108" s="95" t="s">
        <v>178</v>
      </c>
      <c r="C108" s="118" t="str">
        <f t="shared" si="1"/>
        <v>Pe:3010216</v>
      </c>
      <c r="D108" s="38" t="s">
        <v>214</v>
      </c>
    </row>
    <row r="109" spans="1:4" ht="16.2" thickBot="1" x14ac:dyDescent="0.35">
      <c r="A109" s="96" t="s">
        <v>179</v>
      </c>
      <c r="B109" s="97" t="s">
        <v>180</v>
      </c>
      <c r="C109" s="118" t="str">
        <f t="shared" si="1"/>
        <v/>
      </c>
      <c r="D109" s="98"/>
    </row>
    <row r="110" spans="1:4" ht="16.2" thickBot="1" x14ac:dyDescent="0.35">
      <c r="A110" s="99">
        <v>350</v>
      </c>
      <c r="B110" s="100" t="s">
        <v>181</v>
      </c>
      <c r="C110" s="118" t="str">
        <f t="shared" si="1"/>
        <v>107-108-109</v>
      </c>
      <c r="D110" s="101" t="s">
        <v>204</v>
      </c>
    </row>
    <row r="111" spans="1:4" ht="16.8" thickTop="1" thickBot="1" x14ac:dyDescent="0.35">
      <c r="A111" s="102">
        <v>355</v>
      </c>
      <c r="B111" s="103" t="s">
        <v>182</v>
      </c>
      <c r="C111" s="118" t="str">
        <f t="shared" si="1"/>
        <v>G:3020300</v>
      </c>
      <c r="D111" s="37" t="s">
        <v>205</v>
      </c>
    </row>
    <row r="112" spans="1:4" ht="15.6" x14ac:dyDescent="0.3">
      <c r="A112" s="89">
        <v>356</v>
      </c>
      <c r="B112" s="20" t="s">
        <v>183</v>
      </c>
      <c r="C112" s="118" t="str">
        <f t="shared" si="1"/>
        <v/>
      </c>
      <c r="D112" s="38"/>
    </row>
    <row r="113" spans="1:4" ht="15.6" x14ac:dyDescent="0.3">
      <c r="A113" s="104">
        <v>357</v>
      </c>
      <c r="B113" s="95" t="s">
        <v>184</v>
      </c>
      <c r="C113" s="118" t="str">
        <f t="shared" si="1"/>
        <v/>
      </c>
      <c r="D113" s="39"/>
    </row>
    <row r="114" spans="1:4" ht="15.6" x14ac:dyDescent="0.3">
      <c r="A114" s="104">
        <v>358</v>
      </c>
      <c r="B114" s="95" t="s">
        <v>185</v>
      </c>
      <c r="C114" s="118" t="str">
        <f t="shared" si="1"/>
        <v>Pe:3010200</v>
      </c>
      <c r="D114" s="39" t="s">
        <v>209</v>
      </c>
    </row>
    <row r="115" spans="1:4" ht="16.2" thickBot="1" x14ac:dyDescent="0.35">
      <c r="A115" s="83">
        <v>359</v>
      </c>
      <c r="B115" s="92" t="s">
        <v>186</v>
      </c>
      <c r="C115" s="118" t="str">
        <f t="shared" si="1"/>
        <v>Pe:3020300</v>
      </c>
      <c r="D115" s="113" t="s">
        <v>215</v>
      </c>
    </row>
    <row r="116" spans="1:4" ht="16.2" thickBot="1" x14ac:dyDescent="0.35">
      <c r="A116" s="105">
        <v>360</v>
      </c>
      <c r="B116" s="116" t="s">
        <v>187</v>
      </c>
      <c r="C116" s="118" t="str">
        <f t="shared" si="1"/>
        <v>Pe:3021100</v>
      </c>
      <c r="D116" s="117" t="s">
        <v>216</v>
      </c>
    </row>
    <row r="117" spans="1:4" ht="15.6" x14ac:dyDescent="0.3">
      <c r="A117" s="89">
        <v>361</v>
      </c>
      <c r="B117" s="20" t="s">
        <v>188</v>
      </c>
      <c r="C117" s="118" t="str">
        <f t="shared" si="1"/>
        <v>Pe:3020900</v>
      </c>
      <c r="D117" s="38" t="s">
        <v>217</v>
      </c>
    </row>
    <row r="118" spans="1:4" ht="15.6" x14ac:dyDescent="0.3">
      <c r="A118" s="104">
        <v>362</v>
      </c>
      <c r="B118" s="95" t="s">
        <v>189</v>
      </c>
      <c r="C118" s="118" t="str">
        <f t="shared" si="1"/>
        <v/>
      </c>
      <c r="D118" s="39"/>
    </row>
    <row r="119" spans="1:4" ht="15.6" x14ac:dyDescent="0.3">
      <c r="A119" s="104">
        <v>363</v>
      </c>
      <c r="B119" s="95" t="s">
        <v>190</v>
      </c>
      <c r="C119" s="118" t="str">
        <f t="shared" si="1"/>
        <v>Pe:302100</v>
      </c>
      <c r="D119" s="39" t="s">
        <v>218</v>
      </c>
    </row>
    <row r="120" spans="1:4" ht="16.2" thickBot="1" x14ac:dyDescent="0.35">
      <c r="A120" s="83">
        <v>364</v>
      </c>
      <c r="B120" s="92" t="s">
        <v>191</v>
      </c>
      <c r="C120" s="118" t="str">
        <f t="shared" si="1"/>
        <v/>
      </c>
      <c r="D120" s="40"/>
    </row>
    <row r="121" spans="1:4" ht="16.2" thickBot="1" x14ac:dyDescent="0.35">
      <c r="A121" s="106">
        <v>365</v>
      </c>
      <c r="B121" s="107" t="s">
        <v>192</v>
      </c>
      <c r="C121" s="118" t="str">
        <f t="shared" si="1"/>
        <v>350-355-356-357-358-359-360-361-362-363-364</v>
      </c>
      <c r="D121" s="108" t="s">
        <v>206</v>
      </c>
    </row>
    <row r="122" spans="1:4" ht="16.8" thickTop="1" thickBot="1" x14ac:dyDescent="0.35">
      <c r="A122" s="102">
        <v>370</v>
      </c>
      <c r="B122" s="103" t="s">
        <v>193</v>
      </c>
      <c r="C122" s="118" t="str">
        <f t="shared" si="1"/>
        <v/>
      </c>
      <c r="D122" s="37"/>
    </row>
    <row r="123" spans="1:4" ht="15.6" x14ac:dyDescent="0.3">
      <c r="A123" s="89">
        <v>371</v>
      </c>
      <c r="B123" s="20" t="s">
        <v>194</v>
      </c>
      <c r="C123" s="118" t="str">
        <f t="shared" si="1"/>
        <v/>
      </c>
      <c r="D123" s="38"/>
    </row>
    <row r="124" spans="1:4" ht="16.2" thickBot="1" x14ac:dyDescent="0.35">
      <c r="A124" s="83">
        <v>372</v>
      </c>
      <c r="B124" s="92" t="s">
        <v>195</v>
      </c>
      <c r="C124" s="118" t="str">
        <f t="shared" si="1"/>
        <v/>
      </c>
      <c r="D124" s="40"/>
    </row>
    <row r="125" spans="1:4" ht="16.2" thickBot="1" x14ac:dyDescent="0.35">
      <c r="A125" s="109">
        <v>380</v>
      </c>
      <c r="B125" s="110" t="s">
        <v>196</v>
      </c>
      <c r="C125" s="118" t="str">
        <f t="shared" si="1"/>
        <v>365-370-371-372</v>
      </c>
      <c r="D125" s="42" t="s">
        <v>207</v>
      </c>
    </row>
    <row r="126" spans="1:4" ht="15.6" x14ac:dyDescent="0.3">
      <c r="A126" s="89">
        <v>385</v>
      </c>
      <c r="B126" s="20" t="s">
        <v>197</v>
      </c>
      <c r="C126" s="118" t="str">
        <f t="shared" si="1"/>
        <v>Pe:30103100</v>
      </c>
      <c r="D126" s="38" t="s">
        <v>219</v>
      </c>
    </row>
    <row r="127" spans="1:4" ht="16.2" thickBot="1" x14ac:dyDescent="0.35">
      <c r="A127" s="83">
        <v>387</v>
      </c>
      <c r="B127" s="92" t="s">
        <v>198</v>
      </c>
      <c r="C127" s="118" t="str">
        <f t="shared" si="1"/>
        <v/>
      </c>
      <c r="D127" s="40"/>
    </row>
    <row r="128" spans="1:4" ht="18.600000000000001" thickBot="1" x14ac:dyDescent="0.4">
      <c r="A128" s="111">
        <v>400</v>
      </c>
      <c r="B128" s="58" t="s">
        <v>199</v>
      </c>
      <c r="C128" s="118" t="str">
        <f t="shared" si="1"/>
        <v>380-385-387</v>
      </c>
      <c r="D128" s="112" t="s">
        <v>208</v>
      </c>
    </row>
  </sheetData>
  <conditionalFormatting sqref="D90">
    <cfRule type="cellIs" dxfId="5" priority="4" stopIfTrue="1" operator="greaterThan">
      <formula>0</formula>
    </cfRule>
    <cfRule type="cellIs" dxfId="4" priority="5" stopIfTrue="1" operator="lessThan">
      <formula>0</formula>
    </cfRule>
    <cfRule type="cellIs" dxfId="3" priority="6" stopIfTrue="1" operator="equal">
      <formula>0</formula>
    </cfRule>
  </conditionalFormatting>
  <conditionalFormatting sqref="D128">
    <cfRule type="cellIs" dxfId="2" priority="1" stopIfTrue="1" operator="greaterThan">
      <formula>0</formula>
    </cfRule>
    <cfRule type="cellIs" dxfId="1" priority="2" stopIfTrue="1" operator="lessThan">
      <formula>0</formula>
    </cfRule>
    <cfRule type="cellIs" dxfId="0" priority="3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Corthorn</dc:creator>
  <cp:lastModifiedBy>Thomas Corthorn</cp:lastModifiedBy>
  <dcterms:created xsi:type="dcterms:W3CDTF">2025-07-03T15:31:38Z</dcterms:created>
  <dcterms:modified xsi:type="dcterms:W3CDTF">2025-07-03T23:46:07Z</dcterms:modified>
</cp:coreProperties>
</file>