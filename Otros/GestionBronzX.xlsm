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99b2afa76d7dee7/BRONZ/Django/Otros/"/>
    </mc:Choice>
  </mc:AlternateContent>
  <xr:revisionPtr revIDLastSave="95" documentId="11_135A5B2F4EF1339B741C02EB27953F45D8EC39FA" xr6:coauthVersionLast="47" xr6:coauthVersionMax="47" xr10:uidLastSave="{55258B56-828B-4688-8C8D-5754E6BE8FB0}"/>
  <bookViews>
    <workbookView xWindow="-28920" yWindow="-120" windowWidth="29040" windowHeight="15720" tabRatio="857" xr2:uid="{00000000-000D-0000-FFFF-FFFF00000000}"/>
  </bookViews>
  <sheets>
    <sheet name="balance" sheetId="1" r:id="rId1"/>
    <sheet name="Vaciado" sheetId="2" r:id="rId2"/>
    <sheet name="Ficha Financiera" sheetId="3" r:id="rId3"/>
    <sheet name="Inicio Panel" sheetId="4" r:id="rId4"/>
    <sheet name="Datos" sheetId="5" r:id="rId5"/>
    <sheet name="Distrib_Inventario" sheetId="6" r:id="rId6"/>
    <sheet name="Balance Clasificado" sheetId="7" r:id="rId7"/>
    <sheet name="Balance General" sheetId="8" r:id="rId8"/>
    <sheet name="Ventas" sheetId="9" r:id="rId9"/>
    <sheet name="Proyección" sheetId="10" r:id="rId10"/>
    <sheet name="Gestion mes" sheetId="11" r:id="rId11"/>
    <sheet name="BodegaTiendas" sheetId="12" r:id="rId12"/>
    <sheet name="resultado" sheetId="13" r:id="rId13"/>
    <sheet name="tabla" sheetId="14" r:id="rId14"/>
    <sheet name="Inventario" sheetId="15" r:id="rId15"/>
  </sheets>
  <definedNames>
    <definedName name="_xlnm._FilterDatabase" localSheetId="11" hidden="1">BodegaTiendas!$Z$2:$AF$65</definedName>
    <definedName name="_xlnm._FilterDatabase" localSheetId="5" hidden="1">Distrib_Inventario!$A$2:$N$12</definedName>
    <definedName name="_xleta.N" hidden="1" xlm="1">#NAME?</definedName>
    <definedName name="_xleta.OR" hidden="1" xlm="1">#NAME?</definedName>
    <definedName name="_xleta.T" hidden="1" xlm="1">#NAME?</definedName>
    <definedName name="_xleta.TODAY" hidden="1" xlm="1">#NAME?</definedName>
    <definedName name="_xlnm.Print_Area" localSheetId="0">balance!$H$3:$R$12</definedName>
    <definedName name="_xlnm.Print_Area" localSheetId="6">'Balance Clasificado'!$B$1:$H$70</definedName>
    <definedName name="_xlnm.Print_Area" localSheetId="2">'Ficha Financiera'!$A$2:$I$36</definedName>
    <definedName name="_xlnm.Print_Area" localSheetId="14">Inventario!$A$1:$G$47</definedName>
    <definedName name="_xlnm.Print_Area" localSheetId="1">Vaciado!$A$2:$L$54</definedName>
    <definedName name="_xlnm.Print_Titles" localSheetId="14">Inventario!$1:$4</definedName>
  </definedNames>
  <calcPr calcId="191029"/>
  <pivotCaches>
    <pivotCache cacheId="15" r:id="rId16"/>
    <pivotCache cacheId="16" r:id="rId17"/>
    <pivotCache cacheId="17" r:id="rId18"/>
    <pivotCache cacheId="18" r:id="rId19"/>
    <pivotCache cacheId="19" r:id="rId20"/>
    <pivotCache cacheId="20" r:id="rId21"/>
    <pivotCache cacheId="21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6" i="15" l="1"/>
  <c r="H386" i="15"/>
  <c r="I384" i="15" s="1"/>
  <c r="I385" i="15"/>
  <c r="H385" i="15"/>
  <c r="H384" i="15"/>
  <c r="I383" i="15"/>
  <c r="H383" i="15"/>
  <c r="I382" i="15"/>
  <c r="H382" i="15"/>
  <c r="I380" i="15" s="1"/>
  <c r="I381" i="15"/>
  <c r="H381" i="15"/>
  <c r="H380" i="15"/>
  <c r="I379" i="15"/>
  <c r="H379" i="15"/>
  <c r="I378" i="15"/>
  <c r="H378" i="15"/>
  <c r="I376" i="15" s="1"/>
  <c r="I377" i="15"/>
  <c r="H377" i="15"/>
  <c r="H376" i="15"/>
  <c r="I375" i="15"/>
  <c r="H375" i="15"/>
  <c r="I374" i="15"/>
  <c r="H374" i="15"/>
  <c r="I372" i="15" s="1"/>
  <c r="I373" i="15"/>
  <c r="H373" i="15"/>
  <c r="H372" i="15"/>
  <c r="I371" i="15"/>
  <c r="H371" i="15"/>
  <c r="I370" i="15"/>
  <c r="H370" i="15"/>
  <c r="I368" i="15" s="1"/>
  <c r="I369" i="15"/>
  <c r="H369" i="15"/>
  <c r="H368" i="15"/>
  <c r="I367" i="15"/>
  <c r="H367" i="15"/>
  <c r="I366" i="15"/>
  <c r="H366" i="15"/>
  <c r="I364" i="15" s="1"/>
  <c r="I365" i="15"/>
  <c r="H365" i="15"/>
  <c r="H364" i="15"/>
  <c r="I363" i="15"/>
  <c r="H363" i="15"/>
  <c r="I362" i="15"/>
  <c r="H362" i="15"/>
  <c r="I360" i="15" s="1"/>
  <c r="I361" i="15"/>
  <c r="H361" i="15"/>
  <c r="H360" i="15"/>
  <c r="I359" i="15"/>
  <c r="H359" i="15"/>
  <c r="I358" i="15"/>
  <c r="H358" i="15"/>
  <c r="I356" i="15" s="1"/>
  <c r="I357" i="15"/>
  <c r="H357" i="15"/>
  <c r="H356" i="15"/>
  <c r="I355" i="15"/>
  <c r="H355" i="15"/>
  <c r="I354" i="15"/>
  <c r="H354" i="15"/>
  <c r="I352" i="15" s="1"/>
  <c r="I353" i="15"/>
  <c r="H353" i="15"/>
  <c r="H352" i="15"/>
  <c r="I351" i="15"/>
  <c r="H351" i="15"/>
  <c r="I350" i="15"/>
  <c r="H350" i="15"/>
  <c r="I348" i="15" s="1"/>
  <c r="I349" i="15"/>
  <c r="H349" i="15"/>
  <c r="H348" i="15"/>
  <c r="I347" i="15"/>
  <c r="H347" i="15"/>
  <c r="I346" i="15"/>
  <c r="H346" i="15"/>
  <c r="I344" i="15" s="1"/>
  <c r="I345" i="15"/>
  <c r="H345" i="15"/>
  <c r="H344" i="15"/>
  <c r="I343" i="15"/>
  <c r="H343" i="15"/>
  <c r="I342" i="15"/>
  <c r="H342" i="15"/>
  <c r="I340" i="15" s="1"/>
  <c r="I341" i="15"/>
  <c r="H341" i="15"/>
  <c r="H340" i="15"/>
  <c r="I339" i="15"/>
  <c r="H339" i="15"/>
  <c r="I338" i="15"/>
  <c r="H338" i="15"/>
  <c r="I336" i="15" s="1"/>
  <c r="I337" i="15"/>
  <c r="H337" i="15"/>
  <c r="H336" i="15"/>
  <c r="I335" i="15"/>
  <c r="H335" i="15"/>
  <c r="I334" i="15"/>
  <c r="H334" i="15"/>
  <c r="I332" i="15" s="1"/>
  <c r="I333" i="15"/>
  <c r="H333" i="15"/>
  <c r="H332" i="15"/>
  <c r="I331" i="15"/>
  <c r="H331" i="15"/>
  <c r="I330" i="15"/>
  <c r="H330" i="15"/>
  <c r="I328" i="15" s="1"/>
  <c r="I329" i="15"/>
  <c r="H329" i="15"/>
  <c r="H328" i="15"/>
  <c r="I327" i="15"/>
  <c r="H327" i="15"/>
  <c r="I326" i="15"/>
  <c r="H326" i="15"/>
  <c r="I324" i="15" s="1"/>
  <c r="I325" i="15"/>
  <c r="H325" i="15"/>
  <c r="H324" i="15"/>
  <c r="I323" i="15"/>
  <c r="H323" i="15"/>
  <c r="I322" i="15"/>
  <c r="H322" i="15"/>
  <c r="I320" i="15" s="1"/>
  <c r="I321" i="15"/>
  <c r="H321" i="15"/>
  <c r="H320" i="15"/>
  <c r="I319" i="15"/>
  <c r="H319" i="15"/>
  <c r="I318" i="15"/>
  <c r="H318" i="15"/>
  <c r="I316" i="15" s="1"/>
  <c r="I317" i="15"/>
  <c r="H317" i="15"/>
  <c r="H316" i="15"/>
  <c r="I315" i="15"/>
  <c r="H315" i="15"/>
  <c r="I314" i="15"/>
  <c r="H314" i="15"/>
  <c r="I312" i="15" s="1"/>
  <c r="I313" i="15"/>
  <c r="H313" i="15"/>
  <c r="H312" i="15"/>
  <c r="I311" i="15"/>
  <c r="H311" i="15"/>
  <c r="I310" i="15"/>
  <c r="H310" i="15"/>
  <c r="I308" i="15" s="1"/>
  <c r="I309" i="15"/>
  <c r="H309" i="15"/>
  <c r="H308" i="15"/>
  <c r="I307" i="15"/>
  <c r="H307" i="15"/>
  <c r="I306" i="15"/>
  <c r="H306" i="15"/>
  <c r="I304" i="15" s="1"/>
  <c r="I305" i="15"/>
  <c r="H305" i="15"/>
  <c r="H304" i="15"/>
  <c r="I303" i="15"/>
  <c r="H303" i="15"/>
  <c r="I302" i="15"/>
  <c r="H302" i="15"/>
  <c r="I300" i="15" s="1"/>
  <c r="I301" i="15"/>
  <c r="H301" i="15"/>
  <c r="H300" i="15"/>
  <c r="I299" i="15"/>
  <c r="H299" i="15"/>
  <c r="I298" i="15"/>
  <c r="H298" i="15"/>
  <c r="I296" i="15" s="1"/>
  <c r="I297" i="15"/>
  <c r="H297" i="15"/>
  <c r="H296" i="15"/>
  <c r="I295" i="15"/>
  <c r="H295" i="15"/>
  <c r="I294" i="15"/>
  <c r="H294" i="15"/>
  <c r="I292" i="15" s="1"/>
  <c r="I293" i="15"/>
  <c r="H293" i="15"/>
  <c r="H292" i="15"/>
  <c r="I291" i="15"/>
  <c r="H291" i="15"/>
  <c r="I290" i="15"/>
  <c r="H290" i="15"/>
  <c r="I288" i="15" s="1"/>
  <c r="I289" i="15"/>
  <c r="H289" i="15"/>
  <c r="H288" i="15"/>
  <c r="I287" i="15"/>
  <c r="H287" i="15"/>
  <c r="I286" i="15"/>
  <c r="H286" i="15"/>
  <c r="I284" i="15" s="1"/>
  <c r="I285" i="15"/>
  <c r="H285" i="15"/>
  <c r="H284" i="15"/>
  <c r="I283" i="15"/>
  <c r="H283" i="15"/>
  <c r="H282" i="15"/>
  <c r="I280" i="15" s="1"/>
  <c r="I281" i="15"/>
  <c r="H281" i="15"/>
  <c r="H280" i="15"/>
  <c r="I279" i="15"/>
  <c r="H279" i="15"/>
  <c r="H278" i="15"/>
  <c r="I276" i="15" s="1"/>
  <c r="I277" i="15"/>
  <c r="H277" i="15"/>
  <c r="H276" i="15"/>
  <c r="I275" i="15"/>
  <c r="H275" i="15"/>
  <c r="I274" i="15"/>
  <c r="H274" i="15"/>
  <c r="I272" i="15" s="1"/>
  <c r="I273" i="15"/>
  <c r="H273" i="15"/>
  <c r="H272" i="15"/>
  <c r="I271" i="15"/>
  <c r="H271" i="15"/>
  <c r="H270" i="15"/>
  <c r="I268" i="15" s="1"/>
  <c r="I269" i="15"/>
  <c r="H269" i="15"/>
  <c r="H268" i="15"/>
  <c r="I267" i="15"/>
  <c r="H267" i="15"/>
  <c r="I266" i="15"/>
  <c r="H266" i="15"/>
  <c r="I264" i="15" s="1"/>
  <c r="I265" i="15"/>
  <c r="H265" i="15"/>
  <c r="H264" i="15"/>
  <c r="I263" i="15"/>
  <c r="H263" i="15"/>
  <c r="H262" i="15"/>
  <c r="I260" i="15" s="1"/>
  <c r="I261" i="15"/>
  <c r="H261" i="15"/>
  <c r="H260" i="15"/>
  <c r="I259" i="15"/>
  <c r="H259" i="15"/>
  <c r="I258" i="15"/>
  <c r="H258" i="15"/>
  <c r="I256" i="15" s="1"/>
  <c r="I257" i="15"/>
  <c r="H257" i="15"/>
  <c r="H256" i="15"/>
  <c r="I255" i="15"/>
  <c r="H255" i="15"/>
  <c r="H254" i="15"/>
  <c r="I252" i="15" s="1"/>
  <c r="I253" i="15"/>
  <c r="H253" i="15"/>
  <c r="H252" i="15"/>
  <c r="I251" i="15"/>
  <c r="H251" i="15"/>
  <c r="I250" i="15"/>
  <c r="H250" i="15"/>
  <c r="I248" i="15" s="1"/>
  <c r="I249" i="15"/>
  <c r="H249" i="15"/>
  <c r="H248" i="15"/>
  <c r="I247" i="15"/>
  <c r="H247" i="15"/>
  <c r="H246" i="15"/>
  <c r="I244" i="15" s="1"/>
  <c r="I245" i="15"/>
  <c r="H245" i="15"/>
  <c r="H244" i="15"/>
  <c r="I243" i="15"/>
  <c r="H243" i="15"/>
  <c r="I242" i="15"/>
  <c r="H242" i="15"/>
  <c r="I240" i="15" s="1"/>
  <c r="I241" i="15"/>
  <c r="H241" i="15"/>
  <c r="H240" i="15"/>
  <c r="I239" i="15"/>
  <c r="H239" i="15"/>
  <c r="H238" i="15"/>
  <c r="I236" i="15" s="1"/>
  <c r="I237" i="15"/>
  <c r="H237" i="15"/>
  <c r="H236" i="15"/>
  <c r="I235" i="15"/>
  <c r="H235" i="15"/>
  <c r="I234" i="15"/>
  <c r="H234" i="15"/>
  <c r="I232" i="15" s="1"/>
  <c r="I233" i="15"/>
  <c r="H233" i="15"/>
  <c r="H232" i="15"/>
  <c r="I231" i="15"/>
  <c r="H231" i="15"/>
  <c r="H230" i="15"/>
  <c r="I228" i="15" s="1"/>
  <c r="I229" i="15"/>
  <c r="H229" i="15"/>
  <c r="H228" i="15"/>
  <c r="I227" i="15"/>
  <c r="H227" i="15"/>
  <c r="I226" i="15"/>
  <c r="H226" i="15"/>
  <c r="I224" i="15" s="1"/>
  <c r="I225" i="15"/>
  <c r="H225" i="15"/>
  <c r="H224" i="15"/>
  <c r="I223" i="15"/>
  <c r="H223" i="15"/>
  <c r="H222" i="15"/>
  <c r="I220" i="15" s="1"/>
  <c r="I221" i="15"/>
  <c r="H221" i="15"/>
  <c r="H220" i="15"/>
  <c r="I219" i="15"/>
  <c r="H219" i="15"/>
  <c r="H218" i="15"/>
  <c r="I216" i="15" s="1"/>
  <c r="I217" i="15"/>
  <c r="H217" i="15"/>
  <c r="H216" i="15"/>
  <c r="I215" i="15"/>
  <c r="H215" i="15"/>
  <c r="H214" i="15"/>
  <c r="I212" i="15" s="1"/>
  <c r="I213" i="15"/>
  <c r="H213" i="15"/>
  <c r="H212" i="15"/>
  <c r="I211" i="15"/>
  <c r="H211" i="15"/>
  <c r="I210" i="15"/>
  <c r="H210" i="15"/>
  <c r="I208" i="15" s="1"/>
  <c r="I209" i="15"/>
  <c r="H209" i="15"/>
  <c r="H208" i="15"/>
  <c r="I207" i="15"/>
  <c r="H207" i="15"/>
  <c r="H206" i="15"/>
  <c r="I205" i="15"/>
  <c r="H205" i="15"/>
  <c r="H204" i="15"/>
  <c r="I203" i="15"/>
  <c r="H203" i="15"/>
  <c r="I202" i="15"/>
  <c r="H202" i="15"/>
  <c r="I200" i="15" s="1"/>
  <c r="I201" i="15"/>
  <c r="H201" i="15"/>
  <c r="H200" i="15"/>
  <c r="I199" i="15"/>
  <c r="H199" i="15"/>
  <c r="H198" i="15"/>
  <c r="I196" i="15" s="1"/>
  <c r="I197" i="15"/>
  <c r="H197" i="15"/>
  <c r="H196" i="15"/>
  <c r="I195" i="15"/>
  <c r="H195" i="15"/>
  <c r="I194" i="15"/>
  <c r="H194" i="15"/>
  <c r="I192" i="15" s="1"/>
  <c r="I193" i="15"/>
  <c r="H193" i="15"/>
  <c r="H192" i="15"/>
  <c r="I191" i="15"/>
  <c r="H191" i="15"/>
  <c r="H190" i="15"/>
  <c r="I188" i="15" s="1"/>
  <c r="I189" i="15"/>
  <c r="H189" i="15"/>
  <c r="H188" i="15"/>
  <c r="I187" i="15"/>
  <c r="H187" i="15"/>
  <c r="H186" i="15"/>
  <c r="I184" i="15" s="1"/>
  <c r="I185" i="15"/>
  <c r="H185" i="15"/>
  <c r="H184" i="15"/>
  <c r="I183" i="15"/>
  <c r="H183" i="15"/>
  <c r="H182" i="15"/>
  <c r="I180" i="15" s="1"/>
  <c r="I181" i="15"/>
  <c r="H181" i="15"/>
  <c r="H180" i="15"/>
  <c r="I179" i="15"/>
  <c r="H179" i="15"/>
  <c r="I178" i="15"/>
  <c r="H178" i="15"/>
  <c r="I176" i="15" s="1"/>
  <c r="I177" i="15"/>
  <c r="H177" i="15"/>
  <c r="H176" i="15"/>
  <c r="I175" i="15"/>
  <c r="H175" i="15"/>
  <c r="H174" i="15"/>
  <c r="I173" i="15"/>
  <c r="H173" i="15"/>
  <c r="H172" i="15"/>
  <c r="I171" i="15"/>
  <c r="H171" i="15"/>
  <c r="I170" i="15"/>
  <c r="H170" i="15"/>
  <c r="I168" i="15" s="1"/>
  <c r="I169" i="15"/>
  <c r="H169" i="15"/>
  <c r="H168" i="15"/>
  <c r="I167" i="15"/>
  <c r="H167" i="15"/>
  <c r="H166" i="15"/>
  <c r="I164" i="15" s="1"/>
  <c r="I165" i="15"/>
  <c r="H165" i="15"/>
  <c r="H164" i="15"/>
  <c r="I163" i="15"/>
  <c r="H163" i="15"/>
  <c r="I162" i="15"/>
  <c r="H162" i="15"/>
  <c r="I160" i="15" s="1"/>
  <c r="I161" i="15"/>
  <c r="H161" i="15"/>
  <c r="H160" i="15"/>
  <c r="I159" i="15"/>
  <c r="H159" i="15"/>
  <c r="H158" i="15"/>
  <c r="I156" i="15" s="1"/>
  <c r="I157" i="15"/>
  <c r="H157" i="15"/>
  <c r="H156" i="15"/>
  <c r="I155" i="15"/>
  <c r="H155" i="15"/>
  <c r="H154" i="15"/>
  <c r="I152" i="15" s="1"/>
  <c r="I153" i="15"/>
  <c r="H153" i="15"/>
  <c r="H152" i="15"/>
  <c r="I151" i="15"/>
  <c r="H151" i="15"/>
  <c r="H150" i="15"/>
  <c r="I148" i="15" s="1"/>
  <c r="I149" i="15"/>
  <c r="H149" i="15"/>
  <c r="H148" i="15"/>
  <c r="I147" i="15"/>
  <c r="H147" i="15"/>
  <c r="I146" i="15"/>
  <c r="H146" i="15"/>
  <c r="I144" i="15" s="1"/>
  <c r="I145" i="15"/>
  <c r="H145" i="15"/>
  <c r="H144" i="15"/>
  <c r="I143" i="15"/>
  <c r="H143" i="15"/>
  <c r="H142" i="15"/>
  <c r="I141" i="15"/>
  <c r="H141" i="15"/>
  <c r="H140" i="15"/>
  <c r="I139" i="15"/>
  <c r="H139" i="15"/>
  <c r="I138" i="15"/>
  <c r="H138" i="15"/>
  <c r="I136" i="15" s="1"/>
  <c r="I137" i="15"/>
  <c r="H137" i="15"/>
  <c r="H136" i="15"/>
  <c r="I135" i="15"/>
  <c r="H135" i="15"/>
  <c r="H134" i="15"/>
  <c r="I132" i="15" s="1"/>
  <c r="I133" i="15"/>
  <c r="H133" i="15"/>
  <c r="H132" i="15"/>
  <c r="I131" i="15"/>
  <c r="H131" i="15"/>
  <c r="I130" i="15"/>
  <c r="H130" i="15"/>
  <c r="I128" i="15" s="1"/>
  <c r="I129" i="15"/>
  <c r="H129" i="15"/>
  <c r="H128" i="15"/>
  <c r="I127" i="15"/>
  <c r="H127" i="15"/>
  <c r="H126" i="15"/>
  <c r="I124" i="15" s="1"/>
  <c r="I125" i="15"/>
  <c r="H125" i="15"/>
  <c r="H124" i="15"/>
  <c r="I123" i="15"/>
  <c r="H123" i="15"/>
  <c r="H122" i="15"/>
  <c r="I120" i="15" s="1"/>
  <c r="I121" i="15"/>
  <c r="H121" i="15"/>
  <c r="H120" i="15"/>
  <c r="I119" i="15"/>
  <c r="H119" i="15"/>
  <c r="H118" i="15"/>
  <c r="I116" i="15" s="1"/>
  <c r="I117" i="15"/>
  <c r="H117" i="15"/>
  <c r="H116" i="15"/>
  <c r="I115" i="15"/>
  <c r="H115" i="15"/>
  <c r="I114" i="15"/>
  <c r="H114" i="15"/>
  <c r="I112" i="15" s="1"/>
  <c r="I113" i="15"/>
  <c r="H113" i="15"/>
  <c r="H112" i="15"/>
  <c r="I111" i="15"/>
  <c r="H111" i="15"/>
  <c r="H110" i="15"/>
  <c r="I109" i="15"/>
  <c r="H109" i="15"/>
  <c r="H108" i="15"/>
  <c r="I107" i="15"/>
  <c r="H107" i="15"/>
  <c r="I106" i="15"/>
  <c r="H106" i="15"/>
  <c r="I105" i="15"/>
  <c r="H105" i="15"/>
  <c r="I103" i="15" s="1"/>
  <c r="H104" i="15"/>
  <c r="I102" i="15" s="1"/>
  <c r="H103" i="15"/>
  <c r="H102" i="15"/>
  <c r="I100" i="15" s="1"/>
  <c r="H101" i="15"/>
  <c r="H100" i="15"/>
  <c r="H99" i="15"/>
  <c r="I98" i="15"/>
  <c r="H98" i="15"/>
  <c r="I97" i="15"/>
  <c r="H97" i="15"/>
  <c r="H96" i="15"/>
  <c r="I94" i="15" s="1"/>
  <c r="I95" i="15"/>
  <c r="H95" i="15"/>
  <c r="I93" i="15" s="1"/>
  <c r="H94" i="15"/>
  <c r="I92" i="15" s="1"/>
  <c r="H93" i="15"/>
  <c r="H92" i="15"/>
  <c r="I91" i="15"/>
  <c r="H91" i="15"/>
  <c r="I90" i="15"/>
  <c r="H90" i="15"/>
  <c r="I89" i="15"/>
  <c r="H89" i="15"/>
  <c r="H88" i="15"/>
  <c r="I86" i="15" s="1"/>
  <c r="H87" i="15"/>
  <c r="H86" i="15"/>
  <c r="I84" i="15" s="1"/>
  <c r="H85" i="15"/>
  <c r="I83" i="15" s="1"/>
  <c r="H84" i="15"/>
  <c r="H83" i="15"/>
  <c r="I82" i="15"/>
  <c r="H82" i="15"/>
  <c r="I81" i="15"/>
  <c r="H81" i="15"/>
  <c r="I79" i="15" s="1"/>
  <c r="H80" i="15"/>
  <c r="H79" i="15"/>
  <c r="I77" i="15" s="1"/>
  <c r="H78" i="15"/>
  <c r="I76" i="15" s="1"/>
  <c r="H77" i="15"/>
  <c r="H76" i="15"/>
  <c r="I75" i="15"/>
  <c r="H75" i="15"/>
  <c r="I74" i="15"/>
  <c r="H74" i="15"/>
  <c r="I73" i="15"/>
  <c r="H73" i="15"/>
  <c r="I71" i="15" s="1"/>
  <c r="H72" i="15"/>
  <c r="I70" i="15" s="1"/>
  <c r="H71" i="15"/>
  <c r="H70" i="15"/>
  <c r="I68" i="15" s="1"/>
  <c r="H69" i="15"/>
  <c r="I67" i="15" s="1"/>
  <c r="H68" i="15"/>
  <c r="H67" i="15"/>
  <c r="I66" i="15"/>
  <c r="H66" i="15"/>
  <c r="I65" i="15"/>
  <c r="H65" i="15"/>
  <c r="I63" i="15" s="1"/>
  <c r="H64" i="15"/>
  <c r="I62" i="15" s="1"/>
  <c r="H63" i="15"/>
  <c r="I61" i="15" s="1"/>
  <c r="H62" i="15"/>
  <c r="I60" i="15" s="1"/>
  <c r="H61" i="15"/>
  <c r="H60" i="15"/>
  <c r="I58" i="15" s="1"/>
  <c r="I59" i="15"/>
  <c r="H59" i="15"/>
  <c r="H58" i="15"/>
  <c r="I57" i="15"/>
  <c r="H57" i="15"/>
  <c r="H56" i="15"/>
  <c r="I54" i="15" s="1"/>
  <c r="H55" i="15"/>
  <c r="H54" i="15"/>
  <c r="I52" i="15" s="1"/>
  <c r="H53" i="15"/>
  <c r="I51" i="15" s="1"/>
  <c r="H52" i="15"/>
  <c r="H51" i="15"/>
  <c r="I49" i="15" s="1"/>
  <c r="I50" i="15"/>
  <c r="H50" i="15"/>
  <c r="H49" i="15"/>
  <c r="I47" i="15" s="1"/>
  <c r="H48" i="15"/>
  <c r="H47" i="15"/>
  <c r="I45" i="15" s="1"/>
  <c r="H46" i="15"/>
  <c r="I44" i="15" s="1"/>
  <c r="H45" i="15"/>
  <c r="I43" i="15" s="1"/>
  <c r="H44" i="15"/>
  <c r="H43" i="15"/>
  <c r="I41" i="15" s="1"/>
  <c r="H42" i="15"/>
  <c r="I40" i="15" s="1"/>
  <c r="H41" i="15"/>
  <c r="I39" i="15" s="1"/>
  <c r="H40" i="15"/>
  <c r="H39" i="15"/>
  <c r="I37" i="15" s="1"/>
  <c r="H38" i="15"/>
  <c r="I36" i="15" s="1"/>
  <c r="H37" i="15"/>
  <c r="I35" i="15" s="1"/>
  <c r="H36" i="15"/>
  <c r="H35" i="15"/>
  <c r="I33" i="15" s="1"/>
  <c r="H34" i="15"/>
  <c r="I32" i="15" s="1"/>
  <c r="H33" i="15"/>
  <c r="I31" i="15" s="1"/>
  <c r="H32" i="15"/>
  <c r="H31" i="15"/>
  <c r="I29" i="15" s="1"/>
  <c r="H30" i="15"/>
  <c r="I28" i="15" s="1"/>
  <c r="H29" i="15"/>
  <c r="I27" i="15" s="1"/>
  <c r="H28" i="15"/>
  <c r="H27" i="15"/>
  <c r="I25" i="15" s="1"/>
  <c r="H26" i="15"/>
  <c r="I24" i="15" s="1"/>
  <c r="H25" i="15"/>
  <c r="I23" i="15" s="1"/>
  <c r="H24" i="15"/>
  <c r="H23" i="15"/>
  <c r="I21" i="15" s="1"/>
  <c r="H22" i="15"/>
  <c r="I20" i="15" s="1"/>
  <c r="H21" i="15"/>
  <c r="I19" i="15" s="1"/>
  <c r="H20" i="15"/>
  <c r="H19" i="15"/>
  <c r="I17" i="15" s="1"/>
  <c r="H18" i="15"/>
  <c r="I16" i="15" s="1"/>
  <c r="H17" i="15"/>
  <c r="I15" i="15" s="1"/>
  <c r="H16" i="15"/>
  <c r="H15" i="15"/>
  <c r="I13" i="15" s="1"/>
  <c r="H14" i="15"/>
  <c r="H13" i="15"/>
  <c r="H12" i="15"/>
  <c r="H11" i="15"/>
  <c r="G2" i="15"/>
  <c r="F2" i="15"/>
  <c r="E2" i="15"/>
  <c r="D2" i="15"/>
  <c r="BB8" i="12"/>
  <c r="BA8" i="12"/>
  <c r="BB7" i="12"/>
  <c r="BA7" i="12"/>
  <c r="BB6" i="12"/>
  <c r="BA6" i="12"/>
  <c r="BB5" i="12"/>
  <c r="BA5" i="12"/>
  <c r="BB4" i="12"/>
  <c r="BB9" i="12" s="1"/>
  <c r="BA4" i="12"/>
  <c r="BE2" i="12"/>
  <c r="BL1" i="12"/>
  <c r="BK1" i="12"/>
  <c r="BJ1" i="12"/>
  <c r="BI1" i="12"/>
  <c r="AV1" i="12"/>
  <c r="AU1" i="12"/>
  <c r="AN1" i="12"/>
  <c r="AM1" i="12"/>
  <c r="AL1" i="12"/>
  <c r="X1" i="12"/>
  <c r="W1" i="12"/>
  <c r="P1" i="12"/>
  <c r="O1" i="12"/>
  <c r="G1" i="12"/>
  <c r="F1" i="12"/>
  <c r="AT66" i="11"/>
  <c r="AS66" i="11"/>
  <c r="AT65" i="11"/>
  <c r="AS65" i="11"/>
  <c r="AT64" i="11"/>
  <c r="AS64" i="11"/>
  <c r="AT63" i="11"/>
  <c r="AS63" i="11"/>
  <c r="AT62" i="11"/>
  <c r="AS62" i="11"/>
  <c r="AT61" i="11"/>
  <c r="AS61" i="11"/>
  <c r="AS60" i="11"/>
  <c r="AT59" i="11"/>
  <c r="AS59" i="11"/>
  <c r="AS58" i="11"/>
  <c r="AT57" i="11"/>
  <c r="AS57" i="11"/>
  <c r="AS56" i="11"/>
  <c r="AT55" i="11"/>
  <c r="AS55" i="11"/>
  <c r="AS67" i="11" s="1"/>
  <c r="AT51" i="11"/>
  <c r="AT50" i="11"/>
  <c r="AT49" i="11"/>
  <c r="AT48" i="11"/>
  <c r="AT47" i="11"/>
  <c r="Y47" i="11"/>
  <c r="X47" i="11"/>
  <c r="V47" i="11"/>
  <c r="W47" i="11" s="1"/>
  <c r="U47" i="11"/>
  <c r="T47" i="11"/>
  <c r="R47" i="11"/>
  <c r="S47" i="11" s="1"/>
  <c r="P47" i="11"/>
  <c r="N47" i="11"/>
  <c r="M47" i="11"/>
  <c r="L47" i="11"/>
  <c r="K47" i="11"/>
  <c r="J47" i="11"/>
  <c r="AT58" i="11" s="1"/>
  <c r="H47" i="11"/>
  <c r="F47" i="11"/>
  <c r="E47" i="11"/>
  <c r="Z46" i="11"/>
  <c r="Y46" i="11"/>
  <c r="X46" i="11"/>
  <c r="V46" i="11"/>
  <c r="U46" i="11"/>
  <c r="T46" i="11"/>
  <c r="R46" i="11"/>
  <c r="S46" i="11" s="1"/>
  <c r="P46" i="11"/>
  <c r="N46" i="11"/>
  <c r="M46" i="11"/>
  <c r="L46" i="11"/>
  <c r="K46" i="11"/>
  <c r="J46" i="11"/>
  <c r="H46" i="11"/>
  <c r="F46" i="11"/>
  <c r="E46" i="11"/>
  <c r="Z45" i="11"/>
  <c r="Y45" i="11"/>
  <c r="X45" i="11"/>
  <c r="V45" i="11"/>
  <c r="W45" i="11" s="1"/>
  <c r="U45" i="11"/>
  <c r="T45" i="11"/>
  <c r="R45" i="11"/>
  <c r="S45" i="11" s="1"/>
  <c r="P45" i="11"/>
  <c r="N45" i="11"/>
  <c r="M45" i="11"/>
  <c r="L45" i="11"/>
  <c r="K45" i="11"/>
  <c r="J45" i="11"/>
  <c r="H45" i="11"/>
  <c r="F45" i="11"/>
  <c r="E45" i="11"/>
  <c r="AT44" i="11"/>
  <c r="X44" i="11"/>
  <c r="V44" i="11"/>
  <c r="U44" i="11"/>
  <c r="T44" i="11"/>
  <c r="R44" i="11"/>
  <c r="Q44" i="11"/>
  <c r="P44" i="11"/>
  <c r="N44" i="11"/>
  <c r="M44" i="11"/>
  <c r="L44" i="11"/>
  <c r="J44" i="11"/>
  <c r="K44" i="11" s="1"/>
  <c r="H44" i="11"/>
  <c r="F44" i="11"/>
  <c r="E44" i="11"/>
  <c r="X43" i="11"/>
  <c r="V43" i="11"/>
  <c r="U43" i="11"/>
  <c r="T43" i="11"/>
  <c r="R43" i="11"/>
  <c r="Q43" i="11"/>
  <c r="P43" i="11"/>
  <c r="N43" i="11"/>
  <c r="O43" i="11" s="1"/>
  <c r="M43" i="11"/>
  <c r="L43" i="11"/>
  <c r="J43" i="11"/>
  <c r="K43" i="11" s="1"/>
  <c r="H43" i="11"/>
  <c r="F43" i="11"/>
  <c r="E43" i="11"/>
  <c r="X42" i="11"/>
  <c r="V42" i="11"/>
  <c r="U42" i="11"/>
  <c r="T42" i="11"/>
  <c r="R42" i="11"/>
  <c r="Q42" i="11"/>
  <c r="P42" i="11"/>
  <c r="N42" i="11"/>
  <c r="M42" i="11"/>
  <c r="L42" i="11"/>
  <c r="J42" i="11"/>
  <c r="K42" i="11" s="1"/>
  <c r="H42" i="11"/>
  <c r="F42" i="11"/>
  <c r="E42" i="11"/>
  <c r="X41" i="11"/>
  <c r="V41" i="11"/>
  <c r="U41" i="11"/>
  <c r="T41" i="11"/>
  <c r="R41" i="11"/>
  <c r="Q41" i="11"/>
  <c r="P41" i="11"/>
  <c r="N41" i="11"/>
  <c r="O41" i="11" s="1"/>
  <c r="M41" i="11"/>
  <c r="L41" i="11"/>
  <c r="J41" i="11"/>
  <c r="K41" i="11" s="1"/>
  <c r="H41" i="11"/>
  <c r="F41" i="11"/>
  <c r="E41" i="11"/>
  <c r="AT40" i="11"/>
  <c r="X40" i="11"/>
  <c r="V40" i="11"/>
  <c r="W40" i="11" s="1"/>
  <c r="U40" i="11"/>
  <c r="T40" i="11"/>
  <c r="R40" i="11"/>
  <c r="S40" i="11" s="1"/>
  <c r="P40" i="11"/>
  <c r="N40" i="11"/>
  <c r="M40" i="11"/>
  <c r="L40" i="11"/>
  <c r="K40" i="11"/>
  <c r="J40" i="11"/>
  <c r="I40" i="11"/>
  <c r="H40" i="11"/>
  <c r="F40" i="11"/>
  <c r="E40" i="11"/>
  <c r="X39" i="11"/>
  <c r="Y39" i="11" s="1"/>
  <c r="V39" i="11"/>
  <c r="U39" i="11"/>
  <c r="T39" i="11"/>
  <c r="R39" i="11"/>
  <c r="P39" i="11"/>
  <c r="Q39" i="11" s="1"/>
  <c r="N39" i="11"/>
  <c r="M39" i="11"/>
  <c r="L39" i="11"/>
  <c r="J39" i="11"/>
  <c r="K39" i="11" s="1"/>
  <c r="H39" i="11"/>
  <c r="I39" i="11" s="1"/>
  <c r="F39" i="11"/>
  <c r="E39" i="11"/>
  <c r="X38" i="11"/>
  <c r="W38" i="11"/>
  <c r="V38" i="11"/>
  <c r="T38" i="11"/>
  <c r="U38" i="11" s="1"/>
  <c r="R38" i="11"/>
  <c r="P38" i="11"/>
  <c r="Q38" i="11" s="1"/>
  <c r="N38" i="11"/>
  <c r="L38" i="11"/>
  <c r="M38" i="11" s="1"/>
  <c r="K38" i="11"/>
  <c r="J38" i="11"/>
  <c r="I38" i="11"/>
  <c r="H38" i="11"/>
  <c r="F38" i="11"/>
  <c r="E38" i="11"/>
  <c r="X37" i="11"/>
  <c r="W37" i="11"/>
  <c r="V37" i="11"/>
  <c r="U37" i="11"/>
  <c r="T37" i="11"/>
  <c r="S37" i="11"/>
  <c r="R37" i="11"/>
  <c r="P37" i="11"/>
  <c r="Q37" i="11" s="1"/>
  <c r="N37" i="11"/>
  <c r="O37" i="11" s="1"/>
  <c r="M37" i="11"/>
  <c r="L37" i="11"/>
  <c r="J37" i="11"/>
  <c r="K37" i="11" s="1"/>
  <c r="H37" i="11"/>
  <c r="F37" i="11"/>
  <c r="E37" i="11"/>
  <c r="AT36" i="11"/>
  <c r="X36" i="11"/>
  <c r="V36" i="11"/>
  <c r="W39" i="11" s="1"/>
  <c r="U36" i="11"/>
  <c r="T36" i="11"/>
  <c r="R36" i="11"/>
  <c r="AT46" i="11" s="1"/>
  <c r="P36" i="11"/>
  <c r="Q36" i="11" s="1"/>
  <c r="O36" i="11"/>
  <c r="N36" i="11"/>
  <c r="M36" i="11"/>
  <c r="L36" i="11"/>
  <c r="K36" i="11"/>
  <c r="J36" i="11"/>
  <c r="AT43" i="11" s="1"/>
  <c r="H36" i="11"/>
  <c r="I44" i="11" s="1"/>
  <c r="F36" i="11"/>
  <c r="E36" i="11"/>
  <c r="AT35" i="11"/>
  <c r="AT34" i="11"/>
  <c r="AT33" i="11"/>
  <c r="AT32" i="11"/>
  <c r="Y32" i="11"/>
  <c r="W32" i="11"/>
  <c r="U32" i="11"/>
  <c r="S32" i="11"/>
  <c r="Q32" i="11"/>
  <c r="O32" i="11"/>
  <c r="AT31" i="11"/>
  <c r="AT30" i="11"/>
  <c r="AT29" i="11"/>
  <c r="Y29" i="11"/>
  <c r="W29" i="11"/>
  <c r="U29" i="11"/>
  <c r="S29" i="11"/>
  <c r="Q29" i="11"/>
  <c r="O29" i="11"/>
  <c r="AT28" i="11"/>
  <c r="AT27" i="11"/>
  <c r="AT26" i="11"/>
  <c r="AT25" i="11"/>
  <c r="Y25" i="11"/>
  <c r="W25" i="11"/>
  <c r="U25" i="11"/>
  <c r="S25" i="11"/>
  <c r="Q25" i="11"/>
  <c r="O25" i="11"/>
  <c r="AT21" i="11"/>
  <c r="AT20" i="11"/>
  <c r="AT19" i="11"/>
  <c r="AT18" i="11"/>
  <c r="AT17" i="11"/>
  <c r="AT16" i="11"/>
  <c r="AT15" i="11"/>
  <c r="AT14" i="11"/>
  <c r="Y14" i="11"/>
  <c r="W14" i="11"/>
  <c r="U14" i="11"/>
  <c r="S14" i="11"/>
  <c r="Q14" i="11"/>
  <c r="O14" i="11"/>
  <c r="M14" i="11"/>
  <c r="K14" i="11"/>
  <c r="I14" i="11"/>
  <c r="G14" i="11"/>
  <c r="AT13" i="11"/>
  <c r="AT12" i="11"/>
  <c r="AT11" i="11"/>
  <c r="Y11" i="11"/>
  <c r="W11" i="11"/>
  <c r="U11" i="11"/>
  <c r="S11" i="11"/>
  <c r="Q11" i="11"/>
  <c r="O11" i="11"/>
  <c r="M11" i="11"/>
  <c r="K11" i="11"/>
  <c r="I11" i="11"/>
  <c r="G11" i="11"/>
  <c r="E11" i="11"/>
  <c r="AT10" i="11"/>
  <c r="Y10" i="11"/>
  <c r="W10" i="11"/>
  <c r="U10" i="11"/>
  <c r="S10" i="11"/>
  <c r="Q10" i="11"/>
  <c r="O10" i="11"/>
  <c r="M10" i="11"/>
  <c r="K10" i="11"/>
  <c r="I10" i="11"/>
  <c r="G10" i="11"/>
  <c r="E10" i="11"/>
  <c r="Y9" i="11"/>
  <c r="W9" i="11"/>
  <c r="U9" i="11"/>
  <c r="S9" i="11"/>
  <c r="Q9" i="11"/>
  <c r="O9" i="11"/>
  <c r="M9" i="11"/>
  <c r="K9" i="11"/>
  <c r="I9" i="11"/>
  <c r="G9" i="11"/>
  <c r="E9" i="11"/>
  <c r="Y8" i="11"/>
  <c r="W8" i="11"/>
  <c r="U8" i="11"/>
  <c r="S8" i="11"/>
  <c r="Q8" i="11"/>
  <c r="O8" i="11"/>
  <c r="M8" i="11"/>
  <c r="K8" i="11"/>
  <c r="I8" i="11"/>
  <c r="G8" i="11"/>
  <c r="E8" i="11"/>
  <c r="Y7" i="11"/>
  <c r="W7" i="11"/>
  <c r="U7" i="11"/>
  <c r="S7" i="11"/>
  <c r="Q7" i="11"/>
  <c r="O7" i="11"/>
  <c r="M7" i="11"/>
  <c r="K7" i="11"/>
  <c r="I7" i="11"/>
  <c r="G7" i="11"/>
  <c r="E7" i="11"/>
  <c r="Y6" i="11"/>
  <c r="W6" i="11"/>
  <c r="U6" i="11"/>
  <c r="S6" i="11"/>
  <c r="Q6" i="11"/>
  <c r="O6" i="11"/>
  <c r="M6" i="11"/>
  <c r="K6" i="11"/>
  <c r="I6" i="11"/>
  <c r="G6" i="11"/>
  <c r="E6" i="11"/>
  <c r="AD5" i="1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Y5" i="11"/>
  <c r="W5" i="11"/>
  <c r="U5" i="11"/>
  <c r="S5" i="11"/>
  <c r="Q5" i="11"/>
  <c r="O5" i="11"/>
  <c r="M5" i="11"/>
  <c r="K5" i="11"/>
  <c r="I5" i="11"/>
  <c r="G5" i="11"/>
  <c r="E5" i="11"/>
  <c r="AN4" i="11"/>
  <c r="AM4" i="11"/>
  <c r="AL4" i="11"/>
  <c r="AK4" i="11"/>
  <c r="AJ4" i="11"/>
  <c r="AI4" i="11"/>
  <c r="AH4" i="11"/>
  <c r="AG4" i="11"/>
  <c r="AF4" i="11"/>
  <c r="AE4" i="11"/>
  <c r="AD4" i="11"/>
  <c r="AD6" i="11" s="1"/>
  <c r="Y4" i="11"/>
  <c r="W4" i="11"/>
  <c r="U4" i="11"/>
  <c r="S4" i="11"/>
  <c r="Q4" i="11"/>
  <c r="O4" i="11"/>
  <c r="M4" i="11"/>
  <c r="K4" i="11"/>
  <c r="I4" i="11"/>
  <c r="G4" i="11"/>
  <c r="E4" i="11"/>
  <c r="AN3" i="11"/>
  <c r="AM3" i="11"/>
  <c r="AL3" i="11"/>
  <c r="AK3" i="11"/>
  <c r="AJ3" i="11"/>
  <c r="AI3" i="11"/>
  <c r="AG3" i="11"/>
  <c r="AF3" i="11"/>
  <c r="AE3" i="11"/>
  <c r="AD3" i="11"/>
  <c r="Y3" i="11"/>
  <c r="W3" i="11"/>
  <c r="U3" i="11"/>
  <c r="S3" i="11"/>
  <c r="Q3" i="11"/>
  <c r="O3" i="11"/>
  <c r="M3" i="11"/>
  <c r="K3" i="11"/>
  <c r="AH3" i="11" s="1"/>
  <c r="I3" i="11"/>
  <c r="G3" i="11"/>
  <c r="E3" i="11"/>
  <c r="C64" i="10"/>
  <c r="C63" i="10"/>
  <c r="AA60" i="10"/>
  <c r="B59" i="10"/>
  <c r="B58" i="10"/>
  <c r="B55" i="10"/>
  <c r="B51" i="10"/>
  <c r="B47" i="10"/>
  <c r="B46" i="10"/>
  <c r="B48" i="10" s="1"/>
  <c r="C44" i="10"/>
  <c r="C53" i="10" s="1"/>
  <c r="B43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P41" i="10"/>
  <c r="O41" i="10"/>
  <c r="N41" i="10"/>
  <c r="M41" i="10"/>
  <c r="L41" i="10"/>
  <c r="K41" i="10"/>
  <c r="J41" i="10"/>
  <c r="I41" i="10"/>
  <c r="H41" i="10"/>
  <c r="G41" i="10"/>
  <c r="F41" i="10"/>
  <c r="B41" i="10" s="1"/>
  <c r="E41" i="10"/>
  <c r="D41" i="10"/>
  <c r="P40" i="10"/>
  <c r="L40" i="10"/>
  <c r="I40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B38" i="10" s="1"/>
  <c r="AB36" i="10"/>
  <c r="Z36" i="10"/>
  <c r="U36" i="10"/>
  <c r="U37" i="10" s="1"/>
  <c r="U44" i="10" s="1"/>
  <c r="U53" i="10" s="1"/>
  <c r="R36" i="10"/>
  <c r="P36" i="10"/>
  <c r="E36" i="10"/>
  <c r="C36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AC34" i="10"/>
  <c r="AB34" i="10"/>
  <c r="AA34" i="10"/>
  <c r="AA36" i="10" s="1"/>
  <c r="Z34" i="10"/>
  <c r="Y34" i="10"/>
  <c r="Y36" i="10" s="1"/>
  <c r="X34" i="10"/>
  <c r="X36" i="10" s="1"/>
  <c r="W34" i="10"/>
  <c r="W36" i="10" s="1"/>
  <c r="V34" i="10"/>
  <c r="V36" i="10" s="1"/>
  <c r="U34" i="10"/>
  <c r="T34" i="10"/>
  <c r="T36" i="10" s="1"/>
  <c r="S34" i="10"/>
  <c r="S36" i="10" s="1"/>
  <c r="R34" i="10"/>
  <c r="Q34" i="10"/>
  <c r="P34" i="10"/>
  <c r="O34" i="10"/>
  <c r="N34" i="10"/>
  <c r="M34" i="10"/>
  <c r="L34" i="10"/>
  <c r="K34" i="10"/>
  <c r="J34" i="10"/>
  <c r="I34" i="10"/>
  <c r="B34" i="10" s="1"/>
  <c r="H34" i="10"/>
  <c r="G34" i="10"/>
  <c r="F34" i="10"/>
  <c r="E34" i="10"/>
  <c r="D34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B33" i="10" s="1"/>
  <c r="D33" i="10"/>
  <c r="Q32" i="10"/>
  <c r="Q36" i="10" s="1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P31" i="10"/>
  <c r="O31" i="10"/>
  <c r="N31" i="10"/>
  <c r="N36" i="10" s="1"/>
  <c r="M31" i="10"/>
  <c r="M36" i="10" s="1"/>
  <c r="L31" i="10"/>
  <c r="L36" i="10" s="1"/>
  <c r="K31" i="10"/>
  <c r="J31" i="10"/>
  <c r="J36" i="10" s="1"/>
  <c r="I31" i="10"/>
  <c r="H31" i="10"/>
  <c r="H36" i="10" s="1"/>
  <c r="G31" i="10"/>
  <c r="F31" i="10"/>
  <c r="F36" i="10" s="1"/>
  <c r="E31" i="10"/>
  <c r="D31" i="10"/>
  <c r="AB30" i="10"/>
  <c r="Z30" i="10"/>
  <c r="Z55" i="10" s="1"/>
  <c r="X30" i="10"/>
  <c r="V30" i="10"/>
  <c r="V37" i="10" s="1"/>
  <c r="V44" i="10" s="1"/>
  <c r="V53" i="10" s="1"/>
  <c r="T30" i="10"/>
  <c r="R30" i="10"/>
  <c r="J30" i="10"/>
  <c r="C30" i="10"/>
  <c r="C37" i="10" s="1"/>
  <c r="AB29" i="10"/>
  <c r="AA29" i="10"/>
  <c r="Z29" i="10"/>
  <c r="Y29" i="10"/>
  <c r="X29" i="10"/>
  <c r="W29" i="10"/>
  <c r="V29" i="10"/>
  <c r="U29" i="10"/>
  <c r="T29" i="10"/>
  <c r="S29" i="10"/>
  <c r="R29" i="10"/>
  <c r="Q29" i="10"/>
  <c r="B29" i="10" s="1"/>
  <c r="P29" i="10"/>
  <c r="O29" i="10"/>
  <c r="N29" i="10"/>
  <c r="AB28" i="10"/>
  <c r="AA28" i="10"/>
  <c r="AA30" i="10" s="1"/>
  <c r="AA37" i="10" s="1"/>
  <c r="Z28" i="10"/>
  <c r="Y28" i="10"/>
  <c r="Y30" i="10" s="1"/>
  <c r="X28" i="10"/>
  <c r="W28" i="10"/>
  <c r="W30" i="10" s="1"/>
  <c r="V28" i="10"/>
  <c r="U28" i="10"/>
  <c r="U30" i="10" s="1"/>
  <c r="T28" i="10"/>
  <c r="S28" i="10"/>
  <c r="S30" i="10" s="1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Q27" i="10"/>
  <c r="Q30" i="10" s="1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P26" i="10"/>
  <c r="O26" i="10"/>
  <c r="N26" i="10"/>
  <c r="N30" i="10" s="1"/>
  <c r="M26" i="10"/>
  <c r="L26" i="10"/>
  <c r="K26" i="10"/>
  <c r="J26" i="10"/>
  <c r="I26" i="10"/>
  <c r="H26" i="10"/>
  <c r="G26" i="10"/>
  <c r="F26" i="10"/>
  <c r="F30" i="10" s="1"/>
  <c r="E26" i="10"/>
  <c r="B26" i="10" s="1"/>
  <c r="D26" i="10"/>
  <c r="P25" i="10"/>
  <c r="O25" i="10"/>
  <c r="O30" i="10" s="1"/>
  <c r="N25" i="10"/>
  <c r="M25" i="10"/>
  <c r="M30" i="10" s="1"/>
  <c r="L25" i="10"/>
  <c r="K25" i="10"/>
  <c r="K30" i="10" s="1"/>
  <c r="J25" i="10"/>
  <c r="I25" i="10"/>
  <c r="I30" i="10" s="1"/>
  <c r="H25" i="10"/>
  <c r="G25" i="10"/>
  <c r="G30" i="10" s="1"/>
  <c r="F25" i="10"/>
  <c r="E25" i="10"/>
  <c r="E30" i="10" s="1"/>
  <c r="D25" i="10"/>
  <c r="C20" i="10"/>
  <c r="C16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O40" i="10" s="1"/>
  <c r="N14" i="10"/>
  <c r="N40" i="10" s="1"/>
  <c r="M14" i="10"/>
  <c r="M40" i="10" s="1"/>
  <c r="L14" i="10"/>
  <c r="K14" i="10"/>
  <c r="K40" i="10" s="1"/>
  <c r="B40" i="10" s="1"/>
  <c r="J14" i="10"/>
  <c r="J40" i="10" s="1"/>
  <c r="I14" i="10"/>
  <c r="H14" i="10"/>
  <c r="H40" i="10" s="1"/>
  <c r="G14" i="10"/>
  <c r="G40" i="10" s="1"/>
  <c r="F14" i="10"/>
  <c r="F40" i="10" s="1"/>
  <c r="E14" i="10"/>
  <c r="E40" i="10" s="1"/>
  <c r="D14" i="10"/>
  <c r="D40" i="10" s="1"/>
  <c r="B13" i="10"/>
  <c r="B12" i="10"/>
  <c r="B11" i="10"/>
  <c r="B10" i="10"/>
  <c r="B9" i="10"/>
  <c r="O2" i="9"/>
  <c r="M2" i="9"/>
  <c r="K2" i="9"/>
  <c r="J2" i="9"/>
  <c r="L2" i="9" s="1"/>
  <c r="E174" i="8"/>
  <c r="D174" i="8"/>
  <c r="E172" i="8"/>
  <c r="D172" i="8"/>
  <c r="G171" i="8"/>
  <c r="K171" i="8" s="1"/>
  <c r="F171" i="8"/>
  <c r="J171" i="8" s="1"/>
  <c r="G170" i="8"/>
  <c r="K170" i="8" s="1"/>
  <c r="F170" i="8"/>
  <c r="J170" i="8" s="1"/>
  <c r="G169" i="8"/>
  <c r="K169" i="8" s="1"/>
  <c r="F169" i="8"/>
  <c r="J169" i="8" s="1"/>
  <c r="G167" i="8"/>
  <c r="K167" i="8" s="1"/>
  <c r="F167" i="8"/>
  <c r="J167" i="8" s="1"/>
  <c r="G166" i="8"/>
  <c r="K166" i="8" s="1"/>
  <c r="F166" i="8"/>
  <c r="J166" i="8" s="1"/>
  <c r="G165" i="8"/>
  <c r="K165" i="8" s="1"/>
  <c r="F165" i="8"/>
  <c r="J165" i="8" s="1"/>
  <c r="G164" i="8"/>
  <c r="K164" i="8" s="1"/>
  <c r="F164" i="8"/>
  <c r="J164" i="8" s="1"/>
  <c r="K163" i="8"/>
  <c r="F163" i="8"/>
  <c r="J163" i="8" s="1"/>
  <c r="K162" i="8"/>
  <c r="J162" i="8"/>
  <c r="F162" i="8"/>
  <c r="K161" i="8"/>
  <c r="J161" i="8"/>
  <c r="G161" i="8"/>
  <c r="F161" i="8"/>
  <c r="K160" i="8"/>
  <c r="J160" i="8"/>
  <c r="G160" i="8"/>
  <c r="F160" i="8"/>
  <c r="K159" i="8"/>
  <c r="J159" i="8"/>
  <c r="G159" i="8"/>
  <c r="F159" i="8"/>
  <c r="K158" i="8"/>
  <c r="J158" i="8"/>
  <c r="G158" i="8"/>
  <c r="F158" i="8"/>
  <c r="K157" i="8"/>
  <c r="J157" i="8"/>
  <c r="G157" i="8"/>
  <c r="F157" i="8"/>
  <c r="K156" i="8"/>
  <c r="J156" i="8"/>
  <c r="G156" i="8"/>
  <c r="F156" i="8"/>
  <c r="K155" i="8"/>
  <c r="J155" i="8"/>
  <c r="G155" i="8"/>
  <c r="F155" i="8"/>
  <c r="K154" i="8"/>
  <c r="J154" i="8"/>
  <c r="G154" i="8"/>
  <c r="F154" i="8"/>
  <c r="K153" i="8"/>
  <c r="J153" i="8"/>
  <c r="G153" i="8"/>
  <c r="F153" i="8"/>
  <c r="K152" i="8"/>
  <c r="J152" i="8"/>
  <c r="G152" i="8"/>
  <c r="F152" i="8"/>
  <c r="K151" i="8"/>
  <c r="J151" i="8"/>
  <c r="G151" i="8"/>
  <c r="F151" i="8"/>
  <c r="K150" i="8"/>
  <c r="J150" i="8"/>
  <c r="G150" i="8"/>
  <c r="F150" i="8"/>
  <c r="K149" i="8"/>
  <c r="J149" i="8"/>
  <c r="G149" i="8"/>
  <c r="F149" i="8"/>
  <c r="K148" i="8"/>
  <c r="J148" i="8"/>
  <c r="G148" i="8"/>
  <c r="F148" i="8"/>
  <c r="K147" i="8"/>
  <c r="J147" i="8"/>
  <c r="G147" i="8"/>
  <c r="F147" i="8"/>
  <c r="K146" i="8"/>
  <c r="G146" i="8"/>
  <c r="F146" i="8"/>
  <c r="J146" i="8" s="1"/>
  <c r="K145" i="8"/>
  <c r="J145" i="8"/>
  <c r="G145" i="8"/>
  <c r="F145" i="8"/>
  <c r="K144" i="8"/>
  <c r="G144" i="8"/>
  <c r="F144" i="8"/>
  <c r="J144" i="8" s="1"/>
  <c r="K143" i="8"/>
  <c r="J143" i="8"/>
  <c r="G143" i="8"/>
  <c r="F143" i="8"/>
  <c r="K142" i="8"/>
  <c r="F142" i="8"/>
  <c r="J142" i="8" s="1"/>
  <c r="J141" i="8"/>
  <c r="G141" i="8"/>
  <c r="K141" i="8" s="1"/>
  <c r="F141" i="8"/>
  <c r="J140" i="8"/>
  <c r="G140" i="8"/>
  <c r="K140" i="8" s="1"/>
  <c r="F140" i="8"/>
  <c r="G139" i="8"/>
  <c r="F139" i="8"/>
  <c r="J139" i="8" s="1"/>
  <c r="G138" i="8"/>
  <c r="F138" i="8"/>
  <c r="G137" i="8"/>
  <c r="F137" i="8"/>
  <c r="G136" i="8"/>
  <c r="F136" i="8"/>
  <c r="G135" i="8"/>
  <c r="F135" i="8"/>
  <c r="G134" i="8"/>
  <c r="I134" i="8" s="1"/>
  <c r="F134" i="8"/>
  <c r="H134" i="8" s="1"/>
  <c r="G133" i="8"/>
  <c r="I133" i="8" s="1"/>
  <c r="F133" i="8"/>
  <c r="H133" i="8" s="1"/>
  <c r="G132" i="8"/>
  <c r="I132" i="8" s="1"/>
  <c r="F132" i="8"/>
  <c r="H132" i="8" s="1"/>
  <c r="G131" i="8"/>
  <c r="I131" i="8" s="1"/>
  <c r="F131" i="8"/>
  <c r="H131" i="8" s="1"/>
  <c r="G130" i="8"/>
  <c r="I130" i="8" s="1"/>
  <c r="F130" i="8"/>
  <c r="H130" i="8" s="1"/>
  <c r="G129" i="8"/>
  <c r="I129" i="8" s="1"/>
  <c r="F129" i="8"/>
  <c r="H129" i="8" s="1"/>
  <c r="G128" i="8"/>
  <c r="I128" i="8" s="1"/>
  <c r="F128" i="8"/>
  <c r="H128" i="8" s="1"/>
  <c r="G127" i="8"/>
  <c r="I127" i="8" s="1"/>
  <c r="F127" i="8"/>
  <c r="H127" i="8" s="1"/>
  <c r="G126" i="8"/>
  <c r="I126" i="8" s="1"/>
  <c r="F126" i="8"/>
  <c r="H126" i="8" s="1"/>
  <c r="G125" i="8"/>
  <c r="I125" i="8" s="1"/>
  <c r="F125" i="8"/>
  <c r="H125" i="8" s="1"/>
  <c r="G124" i="8"/>
  <c r="I124" i="8" s="1"/>
  <c r="F124" i="8"/>
  <c r="H124" i="8" s="1"/>
  <c r="G123" i="8"/>
  <c r="I123" i="8" s="1"/>
  <c r="F123" i="8"/>
  <c r="H123" i="8" s="1"/>
  <c r="G122" i="8"/>
  <c r="I122" i="8" s="1"/>
  <c r="F122" i="8"/>
  <c r="H122" i="8" s="1"/>
  <c r="G121" i="8"/>
  <c r="I121" i="8" s="1"/>
  <c r="F121" i="8"/>
  <c r="H121" i="8" s="1"/>
  <c r="G120" i="8"/>
  <c r="F120" i="8"/>
  <c r="H120" i="8" s="1"/>
  <c r="I119" i="8"/>
  <c r="G119" i="8"/>
  <c r="F119" i="8"/>
  <c r="H119" i="8" s="1"/>
  <c r="I118" i="8"/>
  <c r="G118" i="8"/>
  <c r="F118" i="8"/>
  <c r="H118" i="8" s="1"/>
  <c r="I117" i="8"/>
  <c r="G117" i="8"/>
  <c r="F117" i="8"/>
  <c r="H117" i="8" s="1"/>
  <c r="I116" i="8"/>
  <c r="G116" i="8"/>
  <c r="F116" i="8"/>
  <c r="H116" i="8" s="1"/>
  <c r="G115" i="8"/>
  <c r="I115" i="8" s="1"/>
  <c r="F115" i="8"/>
  <c r="H115" i="8" s="1"/>
  <c r="I114" i="8"/>
  <c r="G114" i="8"/>
  <c r="F114" i="8"/>
  <c r="H114" i="8" s="1"/>
  <c r="G113" i="8"/>
  <c r="I113" i="8" s="1"/>
  <c r="F113" i="8"/>
  <c r="H113" i="8" s="1"/>
  <c r="I112" i="8"/>
  <c r="G112" i="8"/>
  <c r="F112" i="8"/>
  <c r="H112" i="8" s="1"/>
  <c r="G111" i="8"/>
  <c r="I111" i="8" s="1"/>
  <c r="F111" i="8"/>
  <c r="H111" i="8" s="1"/>
  <c r="I110" i="8"/>
  <c r="G110" i="8"/>
  <c r="F110" i="8"/>
  <c r="H110" i="8" s="1"/>
  <c r="G109" i="8"/>
  <c r="I109" i="8" s="1"/>
  <c r="F109" i="8"/>
  <c r="H109" i="8" s="1"/>
  <c r="H108" i="8"/>
  <c r="G108" i="8"/>
  <c r="F108" i="8"/>
  <c r="I107" i="8"/>
  <c r="G107" i="8"/>
  <c r="F107" i="8"/>
  <c r="H107" i="8" s="1"/>
  <c r="I106" i="8"/>
  <c r="H106" i="8"/>
  <c r="G106" i="8"/>
  <c r="F106" i="8"/>
  <c r="I105" i="8"/>
  <c r="G105" i="8"/>
  <c r="F105" i="8"/>
  <c r="H105" i="8" s="1"/>
  <c r="I104" i="8"/>
  <c r="H104" i="8"/>
  <c r="G104" i="8"/>
  <c r="F104" i="8"/>
  <c r="I103" i="8"/>
  <c r="G103" i="8"/>
  <c r="F103" i="8"/>
  <c r="H103" i="8" s="1"/>
  <c r="H102" i="8"/>
  <c r="G102" i="8"/>
  <c r="I102" i="8" s="1"/>
  <c r="F102" i="8"/>
  <c r="I101" i="8"/>
  <c r="G101" i="8"/>
  <c r="F101" i="8"/>
  <c r="H101" i="8" s="1"/>
  <c r="H100" i="8"/>
  <c r="G100" i="8"/>
  <c r="I100" i="8" s="1"/>
  <c r="F100" i="8"/>
  <c r="I99" i="8"/>
  <c r="G99" i="8"/>
  <c r="F99" i="8"/>
  <c r="H99" i="8" s="1"/>
  <c r="I98" i="8"/>
  <c r="H98" i="8"/>
  <c r="G98" i="8"/>
  <c r="F98" i="8"/>
  <c r="I97" i="8"/>
  <c r="G97" i="8"/>
  <c r="F97" i="8"/>
  <c r="H97" i="8" s="1"/>
  <c r="I96" i="8"/>
  <c r="H96" i="8"/>
  <c r="G96" i="8"/>
  <c r="F96" i="8"/>
  <c r="I95" i="8"/>
  <c r="G95" i="8"/>
  <c r="F95" i="8"/>
  <c r="H95" i="8" s="1"/>
  <c r="I94" i="8"/>
  <c r="H94" i="8"/>
  <c r="G94" i="8"/>
  <c r="F94" i="8"/>
  <c r="I93" i="8"/>
  <c r="G93" i="8"/>
  <c r="F93" i="8"/>
  <c r="H93" i="8" s="1"/>
  <c r="I92" i="8"/>
  <c r="H92" i="8"/>
  <c r="G92" i="8"/>
  <c r="F92" i="8"/>
  <c r="I91" i="8"/>
  <c r="G91" i="8"/>
  <c r="F91" i="8"/>
  <c r="H91" i="8" s="1"/>
  <c r="I90" i="8"/>
  <c r="H90" i="8"/>
  <c r="G90" i="8"/>
  <c r="F90" i="8"/>
  <c r="I89" i="8"/>
  <c r="G89" i="8"/>
  <c r="F89" i="8"/>
  <c r="H89" i="8" s="1"/>
  <c r="I88" i="8"/>
  <c r="H88" i="8"/>
  <c r="G88" i="8"/>
  <c r="F88" i="8"/>
  <c r="I87" i="8"/>
  <c r="G87" i="8"/>
  <c r="F87" i="8"/>
  <c r="H87" i="8" s="1"/>
  <c r="H86" i="8"/>
  <c r="G86" i="8"/>
  <c r="I86" i="8" s="1"/>
  <c r="F86" i="8"/>
  <c r="I85" i="8"/>
  <c r="G85" i="8"/>
  <c r="F85" i="8"/>
  <c r="H85" i="8" s="1"/>
  <c r="H84" i="8"/>
  <c r="G84" i="8"/>
  <c r="I84" i="8" s="1"/>
  <c r="F84" i="8"/>
  <c r="I83" i="8"/>
  <c r="G83" i="8"/>
  <c r="F83" i="8"/>
  <c r="H83" i="8" s="1"/>
  <c r="H82" i="8"/>
  <c r="G82" i="8"/>
  <c r="F82" i="8"/>
  <c r="I81" i="8"/>
  <c r="H81" i="8"/>
  <c r="G81" i="8"/>
  <c r="F81" i="8"/>
  <c r="H80" i="8"/>
  <c r="G80" i="8"/>
  <c r="I80" i="8" s="1"/>
  <c r="F80" i="8"/>
  <c r="I79" i="8"/>
  <c r="H79" i="8"/>
  <c r="G79" i="8"/>
  <c r="F79" i="8"/>
  <c r="H78" i="8"/>
  <c r="G78" i="8"/>
  <c r="I78" i="8" s="1"/>
  <c r="F78" i="8"/>
  <c r="I77" i="8"/>
  <c r="H77" i="8"/>
  <c r="G77" i="8"/>
  <c r="F77" i="8"/>
  <c r="H76" i="8"/>
  <c r="G76" i="8"/>
  <c r="I76" i="8" s="1"/>
  <c r="F76" i="8"/>
  <c r="I75" i="8"/>
  <c r="H75" i="8"/>
  <c r="G75" i="8"/>
  <c r="F75" i="8"/>
  <c r="H74" i="8"/>
  <c r="G74" i="8"/>
  <c r="I74" i="8" s="1"/>
  <c r="F74" i="8"/>
  <c r="I73" i="8"/>
  <c r="H73" i="8"/>
  <c r="G73" i="8"/>
  <c r="F73" i="8"/>
  <c r="H72" i="8"/>
  <c r="G72" i="8"/>
  <c r="I72" i="8" s="1"/>
  <c r="F72" i="8"/>
  <c r="I71" i="8"/>
  <c r="H71" i="8"/>
  <c r="G71" i="8"/>
  <c r="F71" i="8"/>
  <c r="G70" i="8"/>
  <c r="I70" i="8" s="1"/>
  <c r="F70" i="8"/>
  <c r="H70" i="8" s="1"/>
  <c r="I69" i="8"/>
  <c r="H69" i="8"/>
  <c r="G69" i="8"/>
  <c r="F69" i="8"/>
  <c r="G68" i="8"/>
  <c r="I68" i="8" s="1"/>
  <c r="F68" i="8"/>
  <c r="H68" i="8" s="1"/>
  <c r="I67" i="8"/>
  <c r="H67" i="8"/>
  <c r="G67" i="8"/>
  <c r="F67" i="8"/>
  <c r="H66" i="8"/>
  <c r="G66" i="8"/>
  <c r="I66" i="8" s="1"/>
  <c r="F66" i="8"/>
  <c r="I65" i="8"/>
  <c r="H65" i="8"/>
  <c r="G65" i="8"/>
  <c r="F65" i="8"/>
  <c r="H64" i="8"/>
  <c r="G64" i="8"/>
  <c r="I64" i="8" s="1"/>
  <c r="F64" i="8"/>
  <c r="I63" i="8"/>
  <c r="H63" i="8"/>
  <c r="G63" i="8"/>
  <c r="F63" i="8"/>
  <c r="H62" i="8"/>
  <c r="G62" i="8"/>
  <c r="I62" i="8" s="1"/>
  <c r="F62" i="8"/>
  <c r="G61" i="8"/>
  <c r="I61" i="8" s="1"/>
  <c r="F61" i="8"/>
  <c r="I60" i="8"/>
  <c r="G60" i="8"/>
  <c r="F60" i="8"/>
  <c r="H60" i="8" s="1"/>
  <c r="I59" i="8"/>
  <c r="H59" i="8"/>
  <c r="G59" i="8"/>
  <c r="F59" i="8"/>
  <c r="G58" i="8"/>
  <c r="I58" i="8" s="1"/>
  <c r="F58" i="8"/>
  <c r="H58" i="8" s="1"/>
  <c r="I57" i="8"/>
  <c r="H57" i="8"/>
  <c r="G57" i="8"/>
  <c r="F57" i="8"/>
  <c r="G56" i="8"/>
  <c r="I56" i="8" s="1"/>
  <c r="F56" i="8"/>
  <c r="H56" i="8" s="1"/>
  <c r="I55" i="8"/>
  <c r="H55" i="8"/>
  <c r="G55" i="8"/>
  <c r="F55" i="8"/>
  <c r="I54" i="8"/>
  <c r="G54" i="8"/>
  <c r="F54" i="8"/>
  <c r="H54" i="8" s="1"/>
  <c r="I53" i="8"/>
  <c r="H53" i="8"/>
  <c r="G53" i="8"/>
  <c r="F53" i="8"/>
  <c r="G52" i="8"/>
  <c r="I52" i="8" s="1"/>
  <c r="F52" i="8"/>
  <c r="H52" i="8" s="1"/>
  <c r="H51" i="8"/>
  <c r="G51" i="8"/>
  <c r="I51" i="8" s="1"/>
  <c r="F51" i="8"/>
  <c r="I50" i="8"/>
  <c r="G50" i="8"/>
  <c r="F50" i="8"/>
  <c r="H50" i="8" s="1"/>
  <c r="H49" i="8"/>
  <c r="G49" i="8"/>
  <c r="I49" i="8" s="1"/>
  <c r="F49" i="8"/>
  <c r="G48" i="8"/>
  <c r="I48" i="8" s="1"/>
  <c r="F48" i="8"/>
  <c r="H48" i="8" s="1"/>
  <c r="I47" i="8"/>
  <c r="H47" i="8"/>
  <c r="G47" i="8"/>
  <c r="F47" i="8"/>
  <c r="H46" i="8"/>
  <c r="G46" i="8"/>
  <c r="F46" i="8"/>
  <c r="H45" i="8"/>
  <c r="G45" i="8"/>
  <c r="F45" i="8"/>
  <c r="G44" i="8"/>
  <c r="F44" i="8"/>
  <c r="H44" i="8" s="1"/>
  <c r="G43" i="8"/>
  <c r="F43" i="8"/>
  <c r="H43" i="8" s="1"/>
  <c r="H42" i="8"/>
  <c r="G42" i="8"/>
  <c r="F42" i="8"/>
  <c r="H41" i="8"/>
  <c r="G41" i="8"/>
  <c r="F41" i="8"/>
  <c r="H40" i="8"/>
  <c r="G40" i="8"/>
  <c r="F40" i="8"/>
  <c r="H39" i="8"/>
  <c r="G39" i="8"/>
  <c r="F39" i="8"/>
  <c r="G38" i="8"/>
  <c r="I38" i="8" s="1"/>
  <c r="F38" i="8"/>
  <c r="H38" i="8" s="1"/>
  <c r="I37" i="8"/>
  <c r="H37" i="8"/>
  <c r="G37" i="8"/>
  <c r="F37" i="8"/>
  <c r="G36" i="8"/>
  <c r="I36" i="8" s="1"/>
  <c r="F36" i="8"/>
  <c r="H36" i="8" s="1"/>
  <c r="I35" i="8"/>
  <c r="H35" i="8"/>
  <c r="G35" i="8"/>
  <c r="F35" i="8"/>
  <c r="G34" i="8"/>
  <c r="I34" i="8" s="1"/>
  <c r="F34" i="8"/>
  <c r="H34" i="8" s="1"/>
  <c r="I33" i="8"/>
  <c r="H33" i="8"/>
  <c r="G33" i="8"/>
  <c r="F33" i="8"/>
  <c r="I32" i="8"/>
  <c r="G32" i="8"/>
  <c r="F32" i="8"/>
  <c r="H32" i="8" s="1"/>
  <c r="I31" i="8"/>
  <c r="H31" i="8"/>
  <c r="G31" i="8"/>
  <c r="F31" i="8"/>
  <c r="G30" i="8"/>
  <c r="I30" i="8" s="1"/>
  <c r="F30" i="8"/>
  <c r="H30" i="8" s="1"/>
  <c r="H29" i="8"/>
  <c r="G29" i="8"/>
  <c r="I29" i="8" s="1"/>
  <c r="F29" i="8"/>
  <c r="H28" i="8"/>
  <c r="F28" i="8"/>
  <c r="I27" i="8"/>
  <c r="H27" i="8"/>
  <c r="G27" i="8"/>
  <c r="F27" i="8"/>
  <c r="I26" i="8"/>
  <c r="H26" i="8"/>
  <c r="G26" i="8"/>
  <c r="F26" i="8"/>
  <c r="I25" i="8"/>
  <c r="G25" i="8"/>
  <c r="F25" i="8"/>
  <c r="H25" i="8" s="1"/>
  <c r="I24" i="8"/>
  <c r="H24" i="8"/>
  <c r="G24" i="8"/>
  <c r="F24" i="8"/>
  <c r="I23" i="8"/>
  <c r="G23" i="8"/>
  <c r="F23" i="8"/>
  <c r="H23" i="8" s="1"/>
  <c r="I22" i="8"/>
  <c r="H22" i="8"/>
  <c r="G22" i="8"/>
  <c r="F22" i="8"/>
  <c r="I21" i="8"/>
  <c r="G21" i="8"/>
  <c r="F21" i="8"/>
  <c r="H21" i="8" s="1"/>
  <c r="I20" i="8"/>
  <c r="H20" i="8"/>
  <c r="G20" i="8"/>
  <c r="F20" i="8"/>
  <c r="I19" i="8"/>
  <c r="G19" i="8"/>
  <c r="F19" i="8"/>
  <c r="H19" i="8" s="1"/>
  <c r="I18" i="8"/>
  <c r="H18" i="8"/>
  <c r="G18" i="8"/>
  <c r="F18" i="8"/>
  <c r="I17" i="8"/>
  <c r="G17" i="8"/>
  <c r="F17" i="8"/>
  <c r="H17" i="8" s="1"/>
  <c r="I16" i="8"/>
  <c r="H16" i="8"/>
  <c r="G16" i="8"/>
  <c r="F16" i="8"/>
  <c r="I15" i="8"/>
  <c r="G15" i="8"/>
  <c r="F15" i="8"/>
  <c r="H15" i="8" s="1"/>
  <c r="I14" i="8"/>
  <c r="H14" i="8"/>
  <c r="G14" i="8"/>
  <c r="F14" i="8"/>
  <c r="I13" i="8"/>
  <c r="G13" i="8"/>
  <c r="F13" i="8"/>
  <c r="K12" i="8"/>
  <c r="J12" i="8"/>
  <c r="E61" i="7"/>
  <c r="E57" i="7"/>
  <c r="E56" i="7"/>
  <c r="E55" i="7"/>
  <c r="E54" i="7"/>
  <c r="E53" i="7"/>
  <c r="C45" i="7"/>
  <c r="H1" i="7"/>
  <c r="O12" i="6"/>
  <c r="M12" i="6"/>
  <c r="J12" i="6" s="1"/>
  <c r="K12" i="6"/>
  <c r="O11" i="6"/>
  <c r="L11" i="6"/>
  <c r="M11" i="6" s="1"/>
  <c r="K11" i="6"/>
  <c r="J11" i="6" s="1"/>
  <c r="N11" i="6" s="1"/>
  <c r="O10" i="6"/>
  <c r="L10" i="6"/>
  <c r="M10" i="6" s="1"/>
  <c r="J10" i="6" s="1"/>
  <c r="N10" i="6" s="1"/>
  <c r="K10" i="6"/>
  <c r="O9" i="6"/>
  <c r="O1" i="6" s="1"/>
  <c r="N9" i="6"/>
  <c r="L9" i="6"/>
  <c r="M9" i="6" s="1"/>
  <c r="J9" i="6" s="1"/>
  <c r="K9" i="6"/>
  <c r="O8" i="6"/>
  <c r="M8" i="6"/>
  <c r="J8" i="6" s="1"/>
  <c r="N8" i="6" s="1"/>
  <c r="L8" i="6"/>
  <c r="K8" i="6"/>
  <c r="O7" i="6"/>
  <c r="L7" i="6"/>
  <c r="M7" i="6" s="1"/>
  <c r="J7" i="6" s="1"/>
  <c r="N7" i="6" s="1"/>
  <c r="K7" i="6"/>
  <c r="O6" i="6"/>
  <c r="L6" i="6"/>
  <c r="M6" i="6" s="1"/>
  <c r="J6" i="6" s="1"/>
  <c r="N6" i="6" s="1"/>
  <c r="O5" i="6"/>
  <c r="M5" i="6"/>
  <c r="L5" i="6"/>
  <c r="K5" i="6"/>
  <c r="O4" i="6"/>
  <c r="L4" i="6"/>
  <c r="K4" i="6"/>
  <c r="O3" i="6"/>
  <c r="M3" i="6"/>
  <c r="L3" i="6"/>
  <c r="K3" i="6"/>
  <c r="J3" i="6"/>
  <c r="I1" i="6"/>
  <c r="H1" i="6"/>
  <c r="G1" i="6"/>
  <c r="F1" i="6"/>
  <c r="E1" i="6"/>
  <c r="Q8" i="5"/>
  <c r="P8" i="5"/>
  <c r="AG5" i="5"/>
  <c r="AG4" i="5"/>
  <c r="AG3" i="5"/>
  <c r="T3" i="5"/>
  <c r="S3" i="5"/>
  <c r="Q3" i="5"/>
  <c r="P3" i="5"/>
  <c r="I1" i="5"/>
  <c r="H7" i="7" s="1"/>
  <c r="Q33" i="3"/>
  <c r="C31" i="3"/>
  <c r="C36" i="3" s="1"/>
  <c r="Q29" i="3"/>
  <c r="D29" i="3"/>
  <c r="C28" i="3"/>
  <c r="L21" i="3"/>
  <c r="K21" i="3"/>
  <c r="H16" i="3"/>
  <c r="H21" i="3" s="1"/>
  <c r="D16" i="3"/>
  <c r="D15" i="3"/>
  <c r="Q13" i="3"/>
  <c r="I12" i="3"/>
  <c r="H11" i="3"/>
  <c r="I9" i="3"/>
  <c r="Q8" i="3"/>
  <c r="Q7" i="3"/>
  <c r="H5" i="3"/>
  <c r="C5" i="3"/>
  <c r="B1" i="3"/>
  <c r="A1" i="3"/>
  <c r="D51" i="2"/>
  <c r="D50" i="2"/>
  <c r="D49" i="2" s="1"/>
  <c r="D48" i="2"/>
  <c r="D47" i="2"/>
  <c r="D46" i="2" s="1"/>
  <c r="C46" i="2"/>
  <c r="D45" i="2"/>
  <c r="D44" i="2"/>
  <c r="D43" i="2" s="1"/>
  <c r="C43" i="2"/>
  <c r="D42" i="2"/>
  <c r="D41" i="2"/>
  <c r="D40" i="2"/>
  <c r="D39" i="2"/>
  <c r="C39" i="2"/>
  <c r="D14" i="3" s="1"/>
  <c r="D38" i="2"/>
  <c r="D36" i="2"/>
  <c r="D35" i="2"/>
  <c r="D33" i="2"/>
  <c r="D32" i="2"/>
  <c r="M29" i="2"/>
  <c r="M26" i="2"/>
  <c r="M25" i="2"/>
  <c r="L25" i="2"/>
  <c r="M24" i="2"/>
  <c r="D23" i="2"/>
  <c r="M22" i="2"/>
  <c r="D21" i="2"/>
  <c r="M20" i="2"/>
  <c r="D18" i="2"/>
  <c r="M16" i="2"/>
  <c r="D16" i="2"/>
  <c r="M15" i="2"/>
  <c r="D15" i="2"/>
  <c r="M14" i="2"/>
  <c r="D14" i="2"/>
  <c r="M13" i="2"/>
  <c r="D12" i="2"/>
  <c r="M10" i="2"/>
  <c r="D8" i="2"/>
  <c r="H6" i="2"/>
  <c r="D6" i="2"/>
  <c r="C1" i="2"/>
  <c r="H1" i="2" s="1"/>
  <c r="L169" i="1"/>
  <c r="K169" i="1"/>
  <c r="L167" i="1"/>
  <c r="K167" i="1"/>
  <c r="Q166" i="1"/>
  <c r="N166" i="1"/>
  <c r="R166" i="1" s="1"/>
  <c r="M166" i="1"/>
  <c r="R165" i="1"/>
  <c r="N165" i="1"/>
  <c r="M165" i="1"/>
  <c r="Q165" i="1" s="1"/>
  <c r="N164" i="1"/>
  <c r="R164" i="1" s="1"/>
  <c r="M164" i="1"/>
  <c r="Q164" i="1" s="1"/>
  <c r="L29" i="2" s="1"/>
  <c r="Q162" i="1"/>
  <c r="N162" i="1"/>
  <c r="R162" i="1" s="1"/>
  <c r="M162" i="1"/>
  <c r="Q161" i="1"/>
  <c r="N161" i="1"/>
  <c r="R161" i="1" s="1"/>
  <c r="M161" i="1"/>
  <c r="N160" i="1"/>
  <c r="R160" i="1" s="1"/>
  <c r="M160" i="1"/>
  <c r="Q160" i="1" s="1"/>
  <c r="N159" i="1"/>
  <c r="R159" i="1" s="1"/>
  <c r="M159" i="1"/>
  <c r="Q159" i="1" s="1"/>
  <c r="N158" i="1"/>
  <c r="R158" i="1" s="1"/>
  <c r="M158" i="1"/>
  <c r="Q158" i="1" s="1"/>
  <c r="N157" i="1"/>
  <c r="R157" i="1" s="1"/>
  <c r="M157" i="1"/>
  <c r="Q157" i="1" s="1"/>
  <c r="R156" i="1"/>
  <c r="Q156" i="1"/>
  <c r="N156" i="1"/>
  <c r="M156" i="1"/>
  <c r="Q155" i="1"/>
  <c r="N155" i="1"/>
  <c r="R155" i="1" s="1"/>
  <c r="M155" i="1"/>
  <c r="Q154" i="1"/>
  <c r="L22" i="2" s="1"/>
  <c r="M21" i="2" s="1"/>
  <c r="N154" i="1"/>
  <c r="R154" i="1" s="1"/>
  <c r="G59" i="7" s="1"/>
  <c r="M154" i="1"/>
  <c r="N153" i="1"/>
  <c r="R153" i="1" s="1"/>
  <c r="M153" i="1"/>
  <c r="Q153" i="1" s="1"/>
  <c r="N152" i="1"/>
  <c r="R152" i="1" s="1"/>
  <c r="M152" i="1"/>
  <c r="Q152" i="1" s="1"/>
  <c r="N151" i="1"/>
  <c r="R151" i="1" s="1"/>
  <c r="M151" i="1"/>
  <c r="Q151" i="1" s="1"/>
  <c r="L12" i="2" s="1"/>
  <c r="N150" i="1"/>
  <c r="R150" i="1" s="1"/>
  <c r="M150" i="1"/>
  <c r="Q150" i="1" s="1"/>
  <c r="Q149" i="1"/>
  <c r="AW1" i="12" s="1"/>
  <c r="BC8" i="12" s="1"/>
  <c r="N149" i="1"/>
  <c r="R149" i="1" s="1"/>
  <c r="M149" i="1"/>
  <c r="N148" i="1"/>
  <c r="R148" i="1" s="1"/>
  <c r="M148" i="1"/>
  <c r="Q148" i="1" s="1"/>
  <c r="Y1" i="12" s="1"/>
  <c r="BC7" i="12" s="1"/>
  <c r="N147" i="1"/>
  <c r="R147" i="1" s="1"/>
  <c r="M147" i="1"/>
  <c r="Q147" i="1" s="1"/>
  <c r="AG1" i="12" s="1"/>
  <c r="N146" i="1"/>
  <c r="R146" i="1" s="1"/>
  <c r="M146" i="1"/>
  <c r="Q146" i="1" s="1"/>
  <c r="H1" i="12" s="1"/>
  <c r="BC6" i="12" s="1"/>
  <c r="N145" i="1"/>
  <c r="R145" i="1" s="1"/>
  <c r="M145" i="1"/>
  <c r="Q145" i="1" s="1"/>
  <c r="Q1" i="12" s="1"/>
  <c r="BC5" i="12" s="1"/>
  <c r="N144" i="1"/>
  <c r="R144" i="1" s="1"/>
  <c r="M144" i="1"/>
  <c r="Q144" i="1" s="1"/>
  <c r="Q143" i="1"/>
  <c r="P28" i="3" s="1"/>
  <c r="Q28" i="3" s="1"/>
  <c r="N143" i="1"/>
  <c r="R143" i="1" s="1"/>
  <c r="M143" i="1"/>
  <c r="R142" i="1"/>
  <c r="N142" i="1"/>
  <c r="M142" i="1"/>
  <c r="Q142" i="1" s="1"/>
  <c r="Q141" i="1"/>
  <c r="L8" i="2" s="1"/>
  <c r="N141" i="1"/>
  <c r="R141" i="1" s="1"/>
  <c r="M141" i="1"/>
  <c r="N140" i="1"/>
  <c r="R140" i="1" s="1"/>
  <c r="M140" i="1"/>
  <c r="Q140" i="1" s="1"/>
  <c r="N139" i="1"/>
  <c r="R139" i="1" s="1"/>
  <c r="M139" i="1"/>
  <c r="Q139" i="1" s="1"/>
  <c r="P25" i="3" s="1"/>
  <c r="Q25" i="3" s="1"/>
  <c r="R138" i="1"/>
  <c r="N138" i="1"/>
  <c r="M138" i="1"/>
  <c r="Q138" i="1" s="1"/>
  <c r="R137" i="1"/>
  <c r="P26" i="3" s="1"/>
  <c r="Q26" i="3" s="1"/>
  <c r="M137" i="1"/>
  <c r="Q137" i="1" s="1"/>
  <c r="N136" i="1"/>
  <c r="R136" i="1" s="1"/>
  <c r="P24" i="3" s="1"/>
  <c r="M136" i="1"/>
  <c r="Q136" i="1" s="1"/>
  <c r="N135" i="1"/>
  <c r="R135" i="1" s="1"/>
  <c r="M135" i="1"/>
  <c r="Q135" i="1" s="1"/>
  <c r="N134" i="1"/>
  <c r="M134" i="1"/>
  <c r="Q134" i="1" s="1"/>
  <c r="N133" i="1"/>
  <c r="M133" i="1"/>
  <c r="N132" i="1"/>
  <c r="M132" i="1"/>
  <c r="N131" i="1"/>
  <c r="M131" i="1"/>
  <c r="N130" i="1"/>
  <c r="M130" i="1"/>
  <c r="N129" i="1"/>
  <c r="P129" i="1" s="1"/>
  <c r="M129" i="1"/>
  <c r="O129" i="1" s="1"/>
  <c r="O128" i="1"/>
  <c r="H37" i="2" s="1"/>
  <c r="H40" i="7" s="1"/>
  <c r="N128" i="1"/>
  <c r="P128" i="1" s="1"/>
  <c r="M128" i="1"/>
  <c r="O127" i="1"/>
  <c r="N127" i="1"/>
  <c r="P127" i="1" s="1"/>
  <c r="M127" i="1"/>
  <c r="N126" i="1"/>
  <c r="P126" i="1" s="1"/>
  <c r="M126" i="1"/>
  <c r="H36" i="2" s="1"/>
  <c r="I20" i="3" s="1"/>
  <c r="N125" i="1"/>
  <c r="P125" i="1" s="1"/>
  <c r="M125" i="1"/>
  <c r="O125" i="1" s="1"/>
  <c r="N124" i="1"/>
  <c r="P124" i="1" s="1"/>
  <c r="H33" i="2" s="1"/>
  <c r="M124" i="1"/>
  <c r="O124" i="1" s="1"/>
  <c r="O123" i="1"/>
  <c r="N123" i="1"/>
  <c r="P123" i="1" s="1"/>
  <c r="M123" i="1"/>
  <c r="N122" i="1"/>
  <c r="P122" i="1" s="1"/>
  <c r="M122" i="1"/>
  <c r="O122" i="1" s="1"/>
  <c r="N121" i="1"/>
  <c r="P121" i="1" s="1"/>
  <c r="M121" i="1"/>
  <c r="O121" i="1" s="1"/>
  <c r="O120" i="1"/>
  <c r="N120" i="1"/>
  <c r="P120" i="1" s="1"/>
  <c r="M120" i="1"/>
  <c r="O119" i="1"/>
  <c r="N119" i="1"/>
  <c r="P119" i="1" s="1"/>
  <c r="M119" i="1"/>
  <c r="N118" i="1"/>
  <c r="P118" i="1" s="1"/>
  <c r="M118" i="1"/>
  <c r="O118" i="1" s="1"/>
  <c r="N117" i="1"/>
  <c r="P117" i="1" s="1"/>
  <c r="M117" i="1"/>
  <c r="O117" i="1" s="1"/>
  <c r="O116" i="1"/>
  <c r="N116" i="1"/>
  <c r="P116" i="1" s="1"/>
  <c r="H27" i="2" s="1"/>
  <c r="M116" i="1"/>
  <c r="N115" i="1"/>
  <c r="M115" i="1"/>
  <c r="O115" i="1" s="1"/>
  <c r="P114" i="1"/>
  <c r="H21" i="2" s="1"/>
  <c r="I14" i="3" s="1"/>
  <c r="N114" i="1"/>
  <c r="M114" i="1"/>
  <c r="O114" i="1" s="1"/>
  <c r="N113" i="1"/>
  <c r="P113" i="1" s="1"/>
  <c r="M113" i="1"/>
  <c r="O113" i="1" s="1"/>
  <c r="N112" i="1"/>
  <c r="P112" i="1" s="1"/>
  <c r="M112" i="1"/>
  <c r="O112" i="1" s="1"/>
  <c r="N111" i="1"/>
  <c r="P111" i="1" s="1"/>
  <c r="P16" i="3" s="1"/>
  <c r="Q16" i="3" s="1"/>
  <c r="M111" i="1"/>
  <c r="O111" i="1" s="1"/>
  <c r="N110" i="1"/>
  <c r="P110" i="1" s="1"/>
  <c r="P17" i="3" s="1"/>
  <c r="Q17" i="3" s="1"/>
  <c r="M110" i="1"/>
  <c r="O110" i="1" s="1"/>
  <c r="N109" i="1"/>
  <c r="P109" i="1" s="1"/>
  <c r="M109" i="1"/>
  <c r="O109" i="1" s="1"/>
  <c r="P108" i="1"/>
  <c r="N108" i="1"/>
  <c r="M108" i="1"/>
  <c r="O108" i="1" s="1"/>
  <c r="N107" i="1"/>
  <c r="P107" i="1" s="1"/>
  <c r="M107" i="1"/>
  <c r="O107" i="1" s="1"/>
  <c r="P106" i="1"/>
  <c r="N106" i="1"/>
  <c r="M106" i="1"/>
  <c r="O106" i="1" s="1"/>
  <c r="N105" i="1"/>
  <c r="P105" i="1" s="1"/>
  <c r="M105" i="1"/>
  <c r="O105" i="1" s="1"/>
  <c r="N104" i="1"/>
  <c r="P104" i="1" s="1"/>
  <c r="M104" i="1"/>
  <c r="O104" i="1" s="1"/>
  <c r="N103" i="1"/>
  <c r="M103" i="1"/>
  <c r="O103" i="1" s="1"/>
  <c r="O102" i="1"/>
  <c r="N102" i="1"/>
  <c r="P102" i="1" s="1"/>
  <c r="M102" i="1"/>
  <c r="N101" i="1"/>
  <c r="P101" i="1" s="1"/>
  <c r="M101" i="1"/>
  <c r="O101" i="1" s="1"/>
  <c r="N100" i="1"/>
  <c r="P100" i="1" s="1"/>
  <c r="M100" i="1"/>
  <c r="O100" i="1" s="1"/>
  <c r="N99" i="1"/>
  <c r="P99" i="1" s="1"/>
  <c r="M99" i="1"/>
  <c r="O99" i="1" s="1"/>
  <c r="N98" i="1"/>
  <c r="P98" i="1" s="1"/>
  <c r="M98" i="1"/>
  <c r="O98" i="1" s="1"/>
  <c r="P97" i="1"/>
  <c r="N97" i="1"/>
  <c r="M97" i="1"/>
  <c r="O97" i="1" s="1"/>
  <c r="N96" i="1"/>
  <c r="P96" i="1" s="1"/>
  <c r="P15" i="3" s="1"/>
  <c r="Q15" i="3" s="1"/>
  <c r="M96" i="1"/>
  <c r="O96" i="1" s="1"/>
  <c r="P95" i="1"/>
  <c r="N95" i="1"/>
  <c r="M95" i="1"/>
  <c r="O95" i="1" s="1"/>
  <c r="P94" i="1"/>
  <c r="H12" i="2" s="1"/>
  <c r="O94" i="1"/>
  <c r="N94" i="1"/>
  <c r="M94" i="1"/>
  <c r="N93" i="1"/>
  <c r="P93" i="1" s="1"/>
  <c r="M93" i="1"/>
  <c r="O93" i="1" s="1"/>
  <c r="N92" i="1"/>
  <c r="P92" i="1" s="1"/>
  <c r="M92" i="1"/>
  <c r="O92" i="1" s="1"/>
  <c r="N91" i="1"/>
  <c r="P91" i="1" s="1"/>
  <c r="M91" i="1"/>
  <c r="O91" i="1" s="1"/>
  <c r="N90" i="1"/>
  <c r="P90" i="1" s="1"/>
  <c r="M90" i="1"/>
  <c r="O90" i="1" s="1"/>
  <c r="P89" i="1"/>
  <c r="N89" i="1"/>
  <c r="M89" i="1"/>
  <c r="O89" i="1" s="1"/>
  <c r="P88" i="1"/>
  <c r="N88" i="1"/>
  <c r="M88" i="1"/>
  <c r="O88" i="1" s="1"/>
  <c r="P87" i="1"/>
  <c r="N87" i="1"/>
  <c r="M87" i="1"/>
  <c r="O87" i="1" s="1"/>
  <c r="O86" i="1"/>
  <c r="N86" i="1"/>
  <c r="P86" i="1" s="1"/>
  <c r="M86" i="1"/>
  <c r="N85" i="1"/>
  <c r="P85" i="1" s="1"/>
  <c r="M85" i="1"/>
  <c r="O85" i="1" s="1"/>
  <c r="N84" i="1"/>
  <c r="P84" i="1" s="1"/>
  <c r="M84" i="1"/>
  <c r="O84" i="1" s="1"/>
  <c r="N83" i="1"/>
  <c r="P83" i="1" s="1"/>
  <c r="M83" i="1"/>
  <c r="O83" i="1" s="1"/>
  <c r="P82" i="1"/>
  <c r="N82" i="1"/>
  <c r="M82" i="1"/>
  <c r="O82" i="1" s="1"/>
  <c r="N81" i="1"/>
  <c r="P81" i="1" s="1"/>
  <c r="M81" i="1"/>
  <c r="O81" i="1" s="1"/>
  <c r="N80" i="1"/>
  <c r="P80" i="1" s="1"/>
  <c r="M80" i="1"/>
  <c r="O80" i="1" s="1"/>
  <c r="N79" i="1"/>
  <c r="P79" i="1" s="1"/>
  <c r="M79" i="1"/>
  <c r="O79" i="1" s="1"/>
  <c r="P78" i="1"/>
  <c r="N78" i="1"/>
  <c r="M78" i="1"/>
  <c r="O78" i="1" s="1"/>
  <c r="O77" i="1"/>
  <c r="N77" i="1"/>
  <c r="M77" i="1"/>
  <c r="O76" i="1"/>
  <c r="N76" i="1"/>
  <c r="P76" i="1" s="1"/>
  <c r="M76" i="1"/>
  <c r="P75" i="1"/>
  <c r="O75" i="1"/>
  <c r="N75" i="1"/>
  <c r="M75" i="1"/>
  <c r="O74" i="1"/>
  <c r="N74" i="1"/>
  <c r="P74" i="1" s="1"/>
  <c r="M74" i="1"/>
  <c r="P73" i="1"/>
  <c r="N73" i="1"/>
  <c r="M73" i="1"/>
  <c r="O73" i="1" s="1"/>
  <c r="C52" i="2" s="1"/>
  <c r="C49" i="2" s="1"/>
  <c r="O72" i="1"/>
  <c r="N72" i="1"/>
  <c r="P72" i="1" s="1"/>
  <c r="M72" i="1"/>
  <c r="P71" i="1"/>
  <c r="O71" i="1"/>
  <c r="N71" i="1"/>
  <c r="M71" i="1"/>
  <c r="O70" i="1"/>
  <c r="N70" i="1"/>
  <c r="P70" i="1" s="1"/>
  <c r="M70" i="1"/>
  <c r="P69" i="1"/>
  <c r="O69" i="1"/>
  <c r="N69" i="1"/>
  <c r="M69" i="1"/>
  <c r="O68" i="1"/>
  <c r="N68" i="1"/>
  <c r="P68" i="1" s="1"/>
  <c r="M68" i="1"/>
  <c r="P67" i="1"/>
  <c r="O67" i="1"/>
  <c r="N67" i="1"/>
  <c r="M67" i="1"/>
  <c r="O66" i="1"/>
  <c r="N66" i="1"/>
  <c r="P66" i="1" s="1"/>
  <c r="M66" i="1"/>
  <c r="P65" i="1"/>
  <c r="O65" i="1"/>
  <c r="N65" i="1"/>
  <c r="M65" i="1"/>
  <c r="O64" i="1"/>
  <c r="N64" i="1"/>
  <c r="P64" i="1" s="1"/>
  <c r="M64" i="1"/>
  <c r="P63" i="1"/>
  <c r="O63" i="1"/>
  <c r="N63" i="1"/>
  <c r="M63" i="1"/>
  <c r="O62" i="1"/>
  <c r="N62" i="1"/>
  <c r="P62" i="1" s="1"/>
  <c r="C37" i="2" s="1"/>
  <c r="D37" i="2" s="1"/>
  <c r="M62" i="1"/>
  <c r="P61" i="1"/>
  <c r="O61" i="1"/>
  <c r="N61" i="1"/>
  <c r="M61" i="1"/>
  <c r="O60" i="1"/>
  <c r="C34" i="2" s="1"/>
  <c r="N60" i="1"/>
  <c r="P60" i="1" s="1"/>
  <c r="M60" i="1"/>
  <c r="P59" i="1"/>
  <c r="O59" i="1"/>
  <c r="N59" i="1"/>
  <c r="M59" i="1"/>
  <c r="O58" i="1"/>
  <c r="N58" i="1"/>
  <c r="P58" i="1" s="1"/>
  <c r="M58" i="1"/>
  <c r="P57" i="1"/>
  <c r="O57" i="1"/>
  <c r="N57" i="1"/>
  <c r="M57" i="1"/>
  <c r="C31" i="2" s="1"/>
  <c r="N56" i="1"/>
  <c r="P56" i="1" s="1"/>
  <c r="M56" i="1"/>
  <c r="N55" i="1"/>
  <c r="P55" i="1" s="1"/>
  <c r="M55" i="1"/>
  <c r="O55" i="1" s="1"/>
  <c r="O54" i="1"/>
  <c r="N54" i="1"/>
  <c r="P54" i="1" s="1"/>
  <c r="M54" i="1"/>
  <c r="N53" i="1"/>
  <c r="P53" i="1" s="1"/>
  <c r="M53" i="1"/>
  <c r="O53" i="1" s="1"/>
  <c r="N52" i="1"/>
  <c r="P52" i="1" s="1"/>
  <c r="M52" i="1"/>
  <c r="O52" i="1" s="1"/>
  <c r="O51" i="1"/>
  <c r="N51" i="1"/>
  <c r="P51" i="1" s="1"/>
  <c r="M51" i="1"/>
  <c r="O50" i="1"/>
  <c r="N50" i="1"/>
  <c r="P50" i="1" s="1"/>
  <c r="M50" i="1"/>
  <c r="O49" i="1"/>
  <c r="N49" i="1"/>
  <c r="P49" i="1" s="1"/>
  <c r="M49" i="1"/>
  <c r="N48" i="1"/>
  <c r="P48" i="1" s="1"/>
  <c r="M48" i="1"/>
  <c r="O48" i="1" s="1"/>
  <c r="N47" i="1"/>
  <c r="P47" i="1" s="1"/>
  <c r="M47" i="1"/>
  <c r="O47" i="1" s="1"/>
  <c r="O46" i="1"/>
  <c r="N46" i="1"/>
  <c r="P46" i="1" s="1"/>
  <c r="M46" i="1"/>
  <c r="N45" i="1"/>
  <c r="P45" i="1" s="1"/>
  <c r="M45" i="1"/>
  <c r="O45" i="1" s="1"/>
  <c r="N44" i="1"/>
  <c r="P44" i="1" s="1"/>
  <c r="M44" i="1"/>
  <c r="O44" i="1" s="1"/>
  <c r="P10" i="3" s="1"/>
  <c r="Q10" i="3" s="1"/>
  <c r="O43" i="1"/>
  <c r="N43" i="1"/>
  <c r="P43" i="1" s="1"/>
  <c r="M43" i="1"/>
  <c r="O42" i="1"/>
  <c r="N42" i="1"/>
  <c r="P42" i="1" s="1"/>
  <c r="M42" i="1"/>
  <c r="N41" i="1"/>
  <c r="M41" i="1"/>
  <c r="O41" i="1" s="1"/>
  <c r="N40" i="1"/>
  <c r="M40" i="1"/>
  <c r="O40" i="1" s="1"/>
  <c r="N39" i="1"/>
  <c r="M39" i="1"/>
  <c r="O39" i="1" s="1"/>
  <c r="N38" i="1"/>
  <c r="M38" i="1"/>
  <c r="O38" i="1" s="1"/>
  <c r="N37" i="1"/>
  <c r="M37" i="1"/>
  <c r="O37" i="1" s="1"/>
  <c r="N36" i="1"/>
  <c r="M36" i="1"/>
  <c r="O36" i="1" s="1"/>
  <c r="N35" i="1"/>
  <c r="M35" i="1"/>
  <c r="O35" i="1" s="1"/>
  <c r="O34" i="1"/>
  <c r="N34" i="1"/>
  <c r="M34" i="1"/>
  <c r="N33" i="1"/>
  <c r="P33" i="1" s="1"/>
  <c r="M33" i="1"/>
  <c r="O33" i="1" s="1"/>
  <c r="N32" i="1"/>
  <c r="P32" i="1" s="1"/>
  <c r="M32" i="1"/>
  <c r="O32" i="1" s="1"/>
  <c r="O31" i="1"/>
  <c r="N31" i="1"/>
  <c r="P31" i="1" s="1"/>
  <c r="M31" i="1"/>
  <c r="O30" i="1"/>
  <c r="N30" i="1"/>
  <c r="P30" i="1" s="1"/>
  <c r="M30" i="1"/>
  <c r="O29" i="1"/>
  <c r="N29" i="1"/>
  <c r="P29" i="1" s="1"/>
  <c r="M29" i="1"/>
  <c r="N28" i="1"/>
  <c r="P28" i="1" s="1"/>
  <c r="M28" i="1"/>
  <c r="O28" i="1" s="1"/>
  <c r="N27" i="1"/>
  <c r="P27" i="1" s="1"/>
  <c r="M27" i="1"/>
  <c r="O27" i="1" s="1"/>
  <c r="O26" i="1"/>
  <c r="N26" i="1"/>
  <c r="P26" i="1" s="1"/>
  <c r="M26" i="1"/>
  <c r="N25" i="1"/>
  <c r="P25" i="1" s="1"/>
  <c r="M25" i="1"/>
  <c r="O25" i="1" s="1"/>
  <c r="N24" i="1"/>
  <c r="P24" i="1" s="1"/>
  <c r="M24" i="1"/>
  <c r="O24" i="1" s="1"/>
  <c r="M23" i="1"/>
  <c r="O23" i="1" s="1"/>
  <c r="N22" i="1"/>
  <c r="P22" i="1" s="1"/>
  <c r="M22" i="1"/>
  <c r="O22" i="1" s="1"/>
  <c r="P9" i="3" s="1"/>
  <c r="Q9" i="3" s="1"/>
  <c r="N21" i="1"/>
  <c r="P21" i="1" s="1"/>
  <c r="M21" i="1"/>
  <c r="O21" i="1" s="1"/>
  <c r="P20" i="1"/>
  <c r="N20" i="1"/>
  <c r="M20" i="1"/>
  <c r="O20" i="1" s="1"/>
  <c r="N19" i="1"/>
  <c r="P19" i="1" s="1"/>
  <c r="M19" i="1"/>
  <c r="O19" i="1" s="1"/>
  <c r="P6" i="3" s="1"/>
  <c r="Q6" i="3" s="1"/>
  <c r="P18" i="1"/>
  <c r="O18" i="1"/>
  <c r="C17" i="2" s="1"/>
  <c r="N18" i="1"/>
  <c r="M18" i="1"/>
  <c r="O17" i="1"/>
  <c r="N17" i="1"/>
  <c r="P17" i="1" s="1"/>
  <c r="M17" i="1"/>
  <c r="O16" i="1"/>
  <c r="N16" i="1"/>
  <c r="P16" i="1" s="1"/>
  <c r="M16" i="1"/>
  <c r="N15" i="1"/>
  <c r="P15" i="1" s="1"/>
  <c r="M15" i="1"/>
  <c r="O15" i="1" s="1"/>
  <c r="P14" i="1"/>
  <c r="O14" i="1"/>
  <c r="N14" i="1"/>
  <c r="M14" i="1"/>
  <c r="N13" i="1"/>
  <c r="P13" i="1" s="1"/>
  <c r="M13" i="1"/>
  <c r="O13" i="1" s="1"/>
  <c r="P12" i="1"/>
  <c r="H10" i="2" s="1"/>
  <c r="O12" i="1"/>
  <c r="N12" i="1"/>
  <c r="M12" i="1"/>
  <c r="O11" i="1"/>
  <c r="N11" i="1"/>
  <c r="P11" i="1" s="1"/>
  <c r="M11" i="1"/>
  <c r="P10" i="1"/>
  <c r="O10" i="1"/>
  <c r="C5" i="2" s="1"/>
  <c r="D5" i="2" s="1"/>
  <c r="N10" i="1"/>
  <c r="M10" i="1"/>
  <c r="O9" i="1"/>
  <c r="N9" i="1"/>
  <c r="P9" i="1" s="1"/>
  <c r="M9" i="1"/>
  <c r="O8" i="1"/>
  <c r="N8" i="1"/>
  <c r="P8" i="1" s="1"/>
  <c r="M8" i="1"/>
  <c r="R7" i="1"/>
  <c r="Q7" i="1"/>
  <c r="N1" i="1"/>
  <c r="C10" i="2" l="1"/>
  <c r="L170" i="1"/>
  <c r="C2" i="2"/>
  <c r="D2" i="2" s="1"/>
  <c r="C7" i="2"/>
  <c r="D7" i="2" s="1"/>
  <c r="C4" i="2"/>
  <c r="L18" i="2"/>
  <c r="H14" i="2"/>
  <c r="N167" i="1"/>
  <c r="N169" i="1" s="1"/>
  <c r="P35" i="3"/>
  <c r="Q35" i="3" s="1"/>
  <c r="P30" i="3"/>
  <c r="Q30" i="3" s="1"/>
  <c r="C27" i="2"/>
  <c r="D27" i="2" s="1"/>
  <c r="P167" i="1"/>
  <c r="H35" i="2"/>
  <c r="C11" i="2"/>
  <c r="D15" i="7" s="1"/>
  <c r="C13" i="2"/>
  <c r="D13" i="2" s="1"/>
  <c r="M167" i="1"/>
  <c r="M169" i="1" s="1"/>
  <c r="O126" i="1"/>
  <c r="O167" i="1" s="1"/>
  <c r="V18" i="1"/>
  <c r="D24" i="3"/>
  <c r="Z9" i="11"/>
  <c r="AO1" i="12"/>
  <c r="BC4" i="12" s="1"/>
  <c r="BC9" i="12" s="1"/>
  <c r="P32" i="3"/>
  <c r="Q32" i="3" s="1"/>
  <c r="L7" i="2"/>
  <c r="H15" i="7"/>
  <c r="P31" i="3"/>
  <c r="Q31" i="3" s="1"/>
  <c r="L3" i="2"/>
  <c r="D34" i="3"/>
  <c r="M28" i="2"/>
  <c r="H2" i="2"/>
  <c r="D29" i="7"/>
  <c r="D30" i="7" s="1"/>
  <c r="D34" i="2"/>
  <c r="H19" i="2"/>
  <c r="L5" i="2"/>
  <c r="P27" i="3"/>
  <c r="Q27" i="3" s="1"/>
  <c r="D21" i="7"/>
  <c r="C20" i="2"/>
  <c r="Q167" i="1"/>
  <c r="C25" i="2"/>
  <c r="P34" i="3"/>
  <c r="Q34" i="3" s="1"/>
  <c r="L9" i="2"/>
  <c r="M17" i="2"/>
  <c r="L14" i="2"/>
  <c r="D32" i="3" s="1"/>
  <c r="D30" i="3"/>
  <c r="M11" i="2"/>
  <c r="G58" i="7"/>
  <c r="H16" i="7"/>
  <c r="I8" i="3"/>
  <c r="D6" i="3"/>
  <c r="D13" i="7"/>
  <c r="D10" i="2"/>
  <c r="D14" i="7"/>
  <c r="C15" i="2"/>
  <c r="D17" i="2"/>
  <c r="D9" i="3"/>
  <c r="H5" i="2"/>
  <c r="H11" i="2"/>
  <c r="H14" i="7" s="1"/>
  <c r="I17" i="3"/>
  <c r="H36" i="7"/>
  <c r="H38" i="7"/>
  <c r="C3" i="2"/>
  <c r="D7" i="3" s="1"/>
  <c r="C30" i="2"/>
  <c r="C53" i="2" s="1"/>
  <c r="P23" i="3"/>
  <c r="Q23" i="3" s="1"/>
  <c r="R167" i="1"/>
  <c r="C26" i="2"/>
  <c r="D11" i="3" s="1"/>
  <c r="L22" i="3"/>
  <c r="H12" i="7"/>
  <c r="D12" i="7"/>
  <c r="G52" i="7"/>
  <c r="N3" i="6"/>
  <c r="J5" i="6"/>
  <c r="N5" i="6" s="1"/>
  <c r="F37" i="10"/>
  <c r="F44" i="10" s="1"/>
  <c r="F53" i="10" s="1"/>
  <c r="F55" i="10"/>
  <c r="N55" i="10"/>
  <c r="N37" i="10"/>
  <c r="N44" i="10" s="1"/>
  <c r="N53" i="10" s="1"/>
  <c r="N56" i="10" s="1"/>
  <c r="Q55" i="10"/>
  <c r="Q37" i="10"/>
  <c r="Q44" i="10" s="1"/>
  <c r="Q53" i="10" s="1"/>
  <c r="Q56" i="10" s="1"/>
  <c r="S37" i="10"/>
  <c r="S44" i="10" s="1"/>
  <c r="S53" i="10" s="1"/>
  <c r="S56" i="10" s="1"/>
  <c r="S55" i="10"/>
  <c r="P18" i="3"/>
  <c r="Q18" i="3" s="1"/>
  <c r="J4" i="15"/>
  <c r="L4" i="15" s="1"/>
  <c r="H2" i="15"/>
  <c r="H3" i="15"/>
  <c r="D4" i="2"/>
  <c r="D3" i="2" s="1"/>
  <c r="L20" i="2"/>
  <c r="D52" i="2"/>
  <c r="F172" i="8"/>
  <c r="F174" i="8" s="1"/>
  <c r="H13" i="8"/>
  <c r="H172" i="8" s="1"/>
  <c r="R37" i="10"/>
  <c r="R44" i="10" s="1"/>
  <c r="R53" i="10" s="1"/>
  <c r="R55" i="10"/>
  <c r="L2" i="2"/>
  <c r="D31" i="2"/>
  <c r="D13" i="3"/>
  <c r="D20" i="3"/>
  <c r="N12" i="6"/>
  <c r="G37" i="10"/>
  <c r="G44" i="10" s="1"/>
  <c r="G53" i="10" s="1"/>
  <c r="BD6" i="12"/>
  <c r="BE6" i="12" s="1"/>
  <c r="K1" i="6"/>
  <c r="I172" i="8"/>
  <c r="H30" i="2"/>
  <c r="K4" i="15"/>
  <c r="C22" i="2"/>
  <c r="C24" i="2"/>
  <c r="L1" i="2"/>
  <c r="L6" i="2"/>
  <c r="P5" i="3"/>
  <c r="L1" i="6"/>
  <c r="M4" i="6"/>
  <c r="M1" i="6" s="1"/>
  <c r="I55" i="10"/>
  <c r="I37" i="10"/>
  <c r="I44" i="10" s="1"/>
  <c r="I53" i="10" s="1"/>
  <c r="I56" i="10" s="1"/>
  <c r="Y55" i="10"/>
  <c r="Y37" i="10"/>
  <c r="Y44" i="10" s="1"/>
  <c r="Y53" i="10" s="1"/>
  <c r="V55" i="10"/>
  <c r="V56" i="10" s="1"/>
  <c r="Y36" i="11"/>
  <c r="Y43" i="11"/>
  <c r="Y41" i="11"/>
  <c r="Y38" i="11"/>
  <c r="Y44" i="11"/>
  <c r="Y42" i="11"/>
  <c r="Y40" i="11"/>
  <c r="BD5" i="12"/>
  <c r="BE5" i="12" s="1"/>
  <c r="G172" i="8"/>
  <c r="G174" i="8" s="1"/>
  <c r="J172" i="8"/>
  <c r="N2" i="9"/>
  <c r="B25" i="10"/>
  <c r="B30" i="10" s="1"/>
  <c r="D30" i="10"/>
  <c r="L30" i="10"/>
  <c r="B42" i="10"/>
  <c r="AT41" i="11"/>
  <c r="G39" i="11"/>
  <c r="G38" i="11"/>
  <c r="G36" i="11"/>
  <c r="G37" i="11"/>
  <c r="I4" i="3"/>
  <c r="I24" i="3" s="1"/>
  <c r="E55" i="10"/>
  <c r="E37" i="10"/>
  <c r="E44" i="10" s="1"/>
  <c r="E53" i="10" s="1"/>
  <c r="E56" i="10" s="1"/>
  <c r="M55" i="10"/>
  <c r="M37" i="10"/>
  <c r="M44" i="10" s="1"/>
  <c r="M53" i="10" s="1"/>
  <c r="B28" i="10"/>
  <c r="U55" i="10"/>
  <c r="U56" i="10" s="1"/>
  <c r="G45" i="11"/>
  <c r="G46" i="11"/>
  <c r="AT56" i="11"/>
  <c r="G47" i="11"/>
  <c r="B27" i="10"/>
  <c r="K172" i="8"/>
  <c r="G55" i="10"/>
  <c r="O37" i="10"/>
  <c r="O44" i="10" s="1"/>
  <c r="O53" i="10" s="1"/>
  <c r="O56" i="10" s="1"/>
  <c r="W55" i="10"/>
  <c r="W37" i="10"/>
  <c r="W44" i="10" s="1"/>
  <c r="W53" i="10" s="1"/>
  <c r="I36" i="10"/>
  <c r="I108" i="15"/>
  <c r="I110" i="15"/>
  <c r="H30" i="10"/>
  <c r="P30" i="10"/>
  <c r="J55" i="10"/>
  <c r="J37" i="10"/>
  <c r="J44" i="10" s="1"/>
  <c r="J53" i="10" s="1"/>
  <c r="D36" i="10"/>
  <c r="B31" i="10"/>
  <c r="Z37" i="10"/>
  <c r="Z44" i="10" s="1"/>
  <c r="Z53" i="10" s="1"/>
  <c r="Z56" i="10" s="1"/>
  <c r="Z60" i="10" s="1"/>
  <c r="BD8" i="12"/>
  <c r="BE8" i="12" s="1"/>
  <c r="T37" i="10"/>
  <c r="T44" i="10" s="1"/>
  <c r="T53" i="10" s="1"/>
  <c r="T55" i="10"/>
  <c r="AB37" i="10"/>
  <c r="S39" i="11"/>
  <c r="G40" i="11"/>
  <c r="S41" i="11"/>
  <c r="O42" i="11"/>
  <c r="S43" i="11"/>
  <c r="O44" i="11"/>
  <c r="I45" i="11"/>
  <c r="W46" i="11"/>
  <c r="I47" i="11"/>
  <c r="I18" i="15"/>
  <c r="I26" i="15"/>
  <c r="I34" i="15"/>
  <c r="I42" i="15"/>
  <c r="I69" i="15"/>
  <c r="K36" i="10"/>
  <c r="K37" i="10" s="1"/>
  <c r="K44" i="10" s="1"/>
  <c r="K53" i="10" s="1"/>
  <c r="B39" i="10"/>
  <c r="AT45" i="11"/>
  <c r="O39" i="11"/>
  <c r="W36" i="11"/>
  <c r="I37" i="11"/>
  <c r="Q40" i="11"/>
  <c r="G42" i="11"/>
  <c r="G44" i="11"/>
  <c r="O46" i="11"/>
  <c r="BA9" i="12"/>
  <c r="AX4" i="12" s="1"/>
  <c r="I101" i="15"/>
  <c r="I99" i="15"/>
  <c r="I140" i="15"/>
  <c r="I142" i="15"/>
  <c r="O38" i="11"/>
  <c r="W41" i="11"/>
  <c r="I42" i="11"/>
  <c r="W43" i="11"/>
  <c r="Q46" i="11"/>
  <c r="BD4" i="12"/>
  <c r="X37" i="10"/>
  <c r="X44" i="10" s="1"/>
  <c r="X53" i="10" s="1"/>
  <c r="X56" i="10" s="1"/>
  <c r="X55" i="10"/>
  <c r="AT42" i="11"/>
  <c r="I36" i="11"/>
  <c r="S42" i="11"/>
  <c r="S44" i="11"/>
  <c r="I46" i="11"/>
  <c r="I14" i="15"/>
  <c r="I22" i="15"/>
  <c r="I30" i="15"/>
  <c r="I38" i="15"/>
  <c r="I46" i="15"/>
  <c r="I55" i="15"/>
  <c r="I53" i="15"/>
  <c r="I78" i="15"/>
  <c r="I172" i="15"/>
  <c r="I174" i="15"/>
  <c r="G36" i="10"/>
  <c r="O36" i="10"/>
  <c r="O55" i="10" s="1"/>
  <c r="S36" i="11"/>
  <c r="G41" i="11"/>
  <c r="G43" i="11"/>
  <c r="O45" i="11"/>
  <c r="AT60" i="11"/>
  <c r="O47" i="11"/>
  <c r="I87" i="15"/>
  <c r="I85" i="15"/>
  <c r="B32" i="10"/>
  <c r="B35" i="10"/>
  <c r="Y37" i="11"/>
  <c r="S38" i="11"/>
  <c r="O40" i="11"/>
  <c r="I41" i="11"/>
  <c r="W42" i="11"/>
  <c r="I43" i="11"/>
  <c r="W44" i="11"/>
  <c r="Q45" i="11"/>
  <c r="Q47" i="11"/>
  <c r="BD7" i="12"/>
  <c r="BE7" i="12" s="1"/>
  <c r="I204" i="15"/>
  <c r="I206" i="15"/>
  <c r="I56" i="15"/>
  <c r="I88" i="15"/>
  <c r="I126" i="15"/>
  <c r="I158" i="15"/>
  <c r="I190" i="15"/>
  <c r="I222" i="15"/>
  <c r="I254" i="15"/>
  <c r="I122" i="15"/>
  <c r="I154" i="15"/>
  <c r="I186" i="15"/>
  <c r="I218" i="15"/>
  <c r="I282" i="15"/>
  <c r="I48" i="15"/>
  <c r="I80" i="15"/>
  <c r="I118" i="15"/>
  <c r="I150" i="15"/>
  <c r="I182" i="15"/>
  <c r="I214" i="15"/>
  <c r="I246" i="15"/>
  <c r="I278" i="15"/>
  <c r="I72" i="15"/>
  <c r="I104" i="15"/>
  <c r="I238" i="15"/>
  <c r="I270" i="15"/>
  <c r="I64" i="15"/>
  <c r="I96" i="15"/>
  <c r="I134" i="15"/>
  <c r="I166" i="15"/>
  <c r="I198" i="15"/>
  <c r="I230" i="15"/>
  <c r="I262" i="15"/>
  <c r="P168" i="1" l="1"/>
  <c r="P169" i="1" s="1"/>
  <c r="N170" i="1"/>
  <c r="C9" i="2"/>
  <c r="D8" i="3"/>
  <c r="D11" i="2"/>
  <c r="D9" i="2" s="1"/>
  <c r="D12" i="3"/>
  <c r="V60" i="10"/>
  <c r="V57" i="10"/>
  <c r="U57" i="10"/>
  <c r="U60" i="10"/>
  <c r="O57" i="10"/>
  <c r="O60" i="10" s="1"/>
  <c r="I57" i="10"/>
  <c r="I60" i="10" s="1"/>
  <c r="P37" i="10"/>
  <c r="P44" i="10" s="1"/>
  <c r="P53" i="10" s="1"/>
  <c r="P56" i="10" s="1"/>
  <c r="P55" i="10"/>
  <c r="R56" i="10"/>
  <c r="H37" i="10"/>
  <c r="H44" i="10" s="1"/>
  <c r="H53" i="10" s="1"/>
  <c r="H55" i="10"/>
  <c r="H37" i="7"/>
  <c r="I18" i="3"/>
  <c r="H174" i="8"/>
  <c r="H173" i="8"/>
  <c r="D16" i="7"/>
  <c r="C19" i="2"/>
  <c r="C28" i="2" s="1"/>
  <c r="C54" i="2" s="1"/>
  <c r="D20" i="2"/>
  <c r="D19" i="2" s="1"/>
  <c r="D28" i="2" s="1"/>
  <c r="M56" i="10"/>
  <c r="J174" i="8"/>
  <c r="J173" i="8"/>
  <c r="I173" i="8"/>
  <c r="I174" i="8" s="1"/>
  <c r="K55" i="10"/>
  <c r="K56" i="10" s="1"/>
  <c r="I6" i="3"/>
  <c r="H15" i="2"/>
  <c r="X60" i="10"/>
  <c r="X57" i="10"/>
  <c r="Q5" i="3"/>
  <c r="J4" i="6"/>
  <c r="S60" i="10"/>
  <c r="S57" i="10"/>
  <c r="D20" i="7"/>
  <c r="D26" i="2"/>
  <c r="P11" i="3"/>
  <c r="Q11" i="3" s="1"/>
  <c r="Z8" i="11"/>
  <c r="N7" i="2"/>
  <c r="P7" i="2" s="1"/>
  <c r="D37" i="10"/>
  <c r="D44" i="10" s="1"/>
  <c r="D53" i="10" s="1"/>
  <c r="D55" i="10"/>
  <c r="C62" i="10" s="1"/>
  <c r="D17" i="7"/>
  <c r="D22" i="2"/>
  <c r="D10" i="3"/>
  <c r="D5" i="3" s="1"/>
  <c r="G56" i="10"/>
  <c r="Q168" i="1"/>
  <c r="P36" i="3" s="1"/>
  <c r="Q36" i="3" s="1"/>
  <c r="K173" i="8"/>
  <c r="K174" i="8" s="1"/>
  <c r="BE4" i="12"/>
  <c r="BD9" i="12"/>
  <c r="B36" i="10"/>
  <c r="B37" i="10" s="1"/>
  <c r="B44" i="10" s="1"/>
  <c r="E57" i="10"/>
  <c r="E60" i="10"/>
  <c r="Z7" i="11"/>
  <c r="G56" i="7"/>
  <c r="N6" i="2"/>
  <c r="P6" i="2" s="1"/>
  <c r="M5" i="2"/>
  <c r="D35" i="3"/>
  <c r="M19" i="2"/>
  <c r="M18" i="2" s="1"/>
  <c r="L19" i="2"/>
  <c r="G60" i="7" s="1"/>
  <c r="Q57" i="10"/>
  <c r="Q60" i="10"/>
  <c r="R168" i="1"/>
  <c r="R169" i="1" s="1"/>
  <c r="T56" i="10"/>
  <c r="F56" i="10"/>
  <c r="W56" i="10"/>
  <c r="AT67" i="11"/>
  <c r="Y56" i="10"/>
  <c r="O168" i="1"/>
  <c r="O169" i="1" s="1"/>
  <c r="D30" i="2"/>
  <c r="D53" i="2" s="1"/>
  <c r="D54" i="2" s="1"/>
  <c r="Z10" i="11"/>
  <c r="G57" i="7"/>
  <c r="N9" i="2"/>
  <c r="P9" i="2" s="1"/>
  <c r="M8" i="2"/>
  <c r="Z4" i="11"/>
  <c r="D27" i="3"/>
  <c r="M3" i="2"/>
  <c r="G54" i="7"/>
  <c r="N3" i="2"/>
  <c r="P3" i="2" s="1"/>
  <c r="BB10" i="12"/>
  <c r="AX5" i="12"/>
  <c r="BE9" i="12"/>
  <c r="AX8" i="12"/>
  <c r="AX7" i="12"/>
  <c r="J56" i="10"/>
  <c r="L37" i="10"/>
  <c r="L44" i="10" s="1"/>
  <c r="L53" i="10" s="1"/>
  <c r="L56" i="10" s="1"/>
  <c r="L55" i="10"/>
  <c r="D24" i="2"/>
  <c r="D18" i="7"/>
  <c r="AX6" i="12"/>
  <c r="G53" i="7"/>
  <c r="Z3" i="11"/>
  <c r="AA9" i="11" s="1"/>
  <c r="D26" i="3"/>
  <c r="L4" i="2"/>
  <c r="N11" i="2"/>
  <c r="M2" i="2"/>
  <c r="O3" i="2"/>
  <c r="N57" i="10"/>
  <c r="N60" i="10" s="1"/>
  <c r="Z6" i="11"/>
  <c r="G55" i="7"/>
  <c r="N5" i="2"/>
  <c r="P5" i="2" s="1"/>
  <c r="N8" i="2"/>
  <c r="P8" i="2" s="1"/>
  <c r="H13" i="7"/>
  <c r="H23" i="7" s="1"/>
  <c r="I7" i="3"/>
  <c r="N12" i="2"/>
  <c r="D25" i="2"/>
  <c r="D19" i="7"/>
  <c r="P14" i="3"/>
  <c r="H29" i="7"/>
  <c r="H30" i="7" s="1"/>
  <c r="I13" i="3"/>
  <c r="I11" i="3" s="1"/>
  <c r="H22" i="2"/>
  <c r="I10" i="3"/>
  <c r="Z42" i="11"/>
  <c r="D28" i="3" l="1"/>
  <c r="Q169" i="1"/>
  <c r="H24" i="2"/>
  <c r="P12" i="3"/>
  <c r="Q12" i="3" s="1"/>
  <c r="M4" i="2"/>
  <c r="M9" i="2" s="1"/>
  <c r="M12" i="2" s="1"/>
  <c r="M23" i="2" s="1"/>
  <c r="M27" i="2" s="1"/>
  <c r="M30" i="2" s="1"/>
  <c r="D23" i="7"/>
  <c r="D45" i="7" s="1"/>
  <c r="K57" i="10"/>
  <c r="K60" i="10" s="1"/>
  <c r="AA4" i="11"/>
  <c r="Z37" i="11"/>
  <c r="Y57" i="10"/>
  <c r="Y60" i="10" s="1"/>
  <c r="H56" i="7"/>
  <c r="D56" i="10"/>
  <c r="B53" i="10"/>
  <c r="I5" i="3"/>
  <c r="I28" i="3" s="1"/>
  <c r="H56" i="10"/>
  <c r="G61" i="7"/>
  <c r="H61" i="7" s="1"/>
  <c r="H53" i="7"/>
  <c r="M57" i="10"/>
  <c r="M60" i="10"/>
  <c r="H57" i="7"/>
  <c r="AA7" i="11"/>
  <c r="Z40" i="11"/>
  <c r="R57" i="10"/>
  <c r="R60" i="10"/>
  <c r="P19" i="3"/>
  <c r="Q14" i="3"/>
  <c r="AA10" i="11"/>
  <c r="Z43" i="11"/>
  <c r="W60" i="10"/>
  <c r="W57" i="10"/>
  <c r="AA8" i="11"/>
  <c r="Z41" i="11"/>
  <c r="N4" i="6"/>
  <c r="N1" i="6" s="1"/>
  <c r="S19" i="1" s="1"/>
  <c r="T19" i="1" s="1"/>
  <c r="J1" i="6"/>
  <c r="Z5" i="11"/>
  <c r="I26" i="3"/>
  <c r="L10" i="2"/>
  <c r="N4" i="2"/>
  <c r="L57" i="10"/>
  <c r="L60" i="10" s="1"/>
  <c r="H54" i="7"/>
  <c r="I31" i="3"/>
  <c r="F57" i="10"/>
  <c r="F60" i="10"/>
  <c r="G60" i="10"/>
  <c r="G57" i="10"/>
  <c r="AA6" i="11"/>
  <c r="Z39" i="11"/>
  <c r="I27" i="3"/>
  <c r="D31" i="3"/>
  <c r="D36" i="3" s="1"/>
  <c r="J57" i="10"/>
  <c r="J60" i="10" s="1"/>
  <c r="T57" i="10"/>
  <c r="T60" i="10" s="1"/>
  <c r="I30" i="3"/>
  <c r="P57" i="10"/>
  <c r="P60" i="10" s="1"/>
  <c r="H55" i="7"/>
  <c r="AA3" i="11"/>
  <c r="AO3" i="11"/>
  <c r="Z36" i="11"/>
  <c r="AA42" i="11" s="1"/>
  <c r="D21" i="3"/>
  <c r="AA41" i="11" l="1"/>
  <c r="AA46" i="11"/>
  <c r="AA36" i="11"/>
  <c r="AA45" i="11"/>
  <c r="AA40" i="11"/>
  <c r="H57" i="10"/>
  <c r="H60" i="10" s="1"/>
  <c r="AA37" i="11"/>
  <c r="AA43" i="11"/>
  <c r="Z11" i="11"/>
  <c r="L13" i="2"/>
  <c r="N10" i="2"/>
  <c r="Z38" i="11"/>
  <c r="AA38" i="11" s="1"/>
  <c r="AA5" i="11"/>
  <c r="D57" i="10"/>
  <c r="C56" i="10"/>
  <c r="I25" i="3"/>
  <c r="I29" i="3"/>
  <c r="AA39" i="11"/>
  <c r="Q19" i="3"/>
  <c r="AA11" i="11" l="1"/>
  <c r="Z44" i="11"/>
  <c r="AA44" i="11" s="1"/>
  <c r="Z14" i="11"/>
  <c r="L24" i="2"/>
  <c r="N13" i="2"/>
  <c r="B57" i="10"/>
  <c r="D60" i="10"/>
  <c r="B60" i="10" s="1"/>
  <c r="Z25" i="11" l="1"/>
  <c r="AA25" i="11" s="1"/>
  <c r="L28" i="2"/>
  <c r="AA14" i="11"/>
  <c r="Z47" i="11"/>
  <c r="AA47" i="11" s="1"/>
  <c r="Z29" i="11" l="1"/>
  <c r="AA29" i="11" s="1"/>
  <c r="L31" i="2"/>
  <c r="Z32" i="11" l="1"/>
  <c r="H34" i="2"/>
  <c r="N30" i="2"/>
  <c r="H39" i="7" l="1"/>
  <c r="H42" i="7" s="1"/>
  <c r="H45" i="7" s="1"/>
  <c r="I19" i="3"/>
  <c r="I16" i="3" s="1"/>
  <c r="H38" i="2"/>
  <c r="AA32" i="11"/>
  <c r="AO4" i="11"/>
  <c r="AO5" i="11" s="1"/>
  <c r="H39" i="2" l="1"/>
  <c r="H40" i="2" s="1"/>
  <c r="P20" i="3"/>
  <c r="N31" i="2"/>
  <c r="I21" i="3"/>
  <c r="I35" i="3"/>
  <c r="I36" i="3"/>
  <c r="J22" i="3" l="1"/>
  <c r="J21" i="3"/>
  <c r="Q20" i="3"/>
  <c r="P21" i="3"/>
  <c r="Q2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cisalgado</author>
    <author>Denisse Paola Loaiza Ortega</author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cisalgado:
-efectivo
-depósito a la vista (cuenta cte)
- se excluyen cheques a fecha</t>
        </r>
      </text>
    </comment>
    <comment ref="H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cisalgado:
-prestamos bancarios
-líneas de crédito
-cartas de crédito (negociadas)
-No incluye boletas de garantía</t>
        </r>
      </text>
    </comment>
    <comment ref="H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cisalgado:
-deudas financieras con con vencimiento en c/p
-se incluyen los bonos </t>
        </r>
      </text>
    </comment>
    <comment ref="C4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cisalgado:
-depósitos liquidables dentro de un año
- se excluyen aquellos otorgados en garantía</t>
        </r>
      </text>
    </comment>
    <comment ref="H4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cisalgado:
-leasing financiero</t>
        </r>
      </text>
    </comment>
    <comment ref="H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cisalgado:
-proveedores nacionales o extranjeros
-retenciones constructoras
-contratos por pagar</t>
        </r>
      </text>
    </comment>
    <comment ref="C8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cisalgado:
-bonos</t>
        </r>
      </text>
    </comment>
    <comment ref="H8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cisalgado:
-cuentas ctes accionistas (pasivo-patrimonio)</t>
        </r>
      </text>
    </comment>
    <comment ref="H9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 xml:space="preserve">cisalgado:
-garantias de clientes
-promesa compra venta
</t>
        </r>
      </text>
    </comment>
    <comment ref="C10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cisalgado:
-crédito hipotecario
-subsidio</t>
        </r>
      </text>
    </comment>
    <comment ref="H10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cisalgado:
-afp, isapre, inp por pagar, entre otras
-retenciones pequeñas</t>
        </r>
      </text>
    </comment>
    <comment ref="C11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cisalgado:
-facturas
-ahorro previo</t>
        </r>
      </text>
    </comment>
    <comment ref="H11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cisalgado:
-impuesto diferido c/p</t>
        </r>
      </text>
    </comment>
    <comment ref="C13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cisalgado:
-pago por aplicar
-cuentas x cobrar</t>
        </r>
      </text>
    </comment>
    <comment ref="H14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cisalgado:
-acreedores varios</t>
        </r>
      </text>
    </comment>
    <comment ref="H16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cisalgado:
-prestamos bancarios lp
-líneas de crédito lp
-se incluyen bonos</t>
        </r>
      </text>
    </comment>
    <comment ref="L17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C18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cisalgado:
-anticipo renumeración
-anticipo honorarios
-fondos por rendir</t>
        </r>
      </text>
    </comment>
    <comment ref="H18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cisalgado:
-repactaciones con proveedores</t>
        </r>
      </text>
    </comment>
    <comment ref="H19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cisalgado:
-deficit patrimonial</t>
        </r>
      </text>
    </comment>
    <comment ref="C20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cisalgado:
-terrenos en proceso</t>
        </r>
      </text>
    </comment>
    <comment ref="H20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cisalgado:
-indemnizaciones por trabajadores despedidos</t>
        </r>
      </text>
    </comment>
    <comment ref="H21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cisalgado:
-impuesto diferido l/p
-derechos de aduana diferidos</t>
        </r>
      </text>
    </comment>
    <comment ref="C2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cisalgado:
-pago previsional mensual</t>
        </r>
      </text>
    </comment>
    <comment ref="C26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cisalgado:
-anticipo arriendo
-anticipo seguros 
-anticipo proveedores
-otros gastos anticipados</t>
        </r>
      </text>
    </comment>
    <comment ref="C27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cisalgado:
-cuenta cte personal
-garantías
-impuesto diferido</t>
        </r>
      </text>
    </comment>
    <comment ref="H28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cisalgado:
-aportes por enterar socios</t>
        </r>
      </text>
    </comment>
    <comment ref="L29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C34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cisalgado:
-vehiculos menores
-instalaciones
-equipos oficina
-embarcaciones
-plantaciones</t>
        </r>
      </text>
    </comment>
    <comment ref="C3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cisalgado:
-leasing financiero</t>
        </r>
      </text>
    </comment>
    <comment ref="C36" authorId="1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 xml:space="preserve">mayor o menor valor de activo fijo
</t>
        </r>
      </text>
    </comment>
    <comment ref="H3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cisalgado:
- cuenta cte de algún socio (activo)</t>
        </r>
      </text>
    </comment>
    <comment ref="H3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cisalgado:
-deudores incobrables (positivos en activo)</t>
        </r>
      </text>
    </comment>
    <comment ref="C44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cisalgado:
-terrenos y obras que serán puestas a la venta en plazo mayor a un año</t>
        </r>
      </text>
    </comment>
    <comment ref="C45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cisalgado:
-aportes reembolsables por recuperar
-intereses diferidos por prestamos bancarios
-impuesto diferido
-pertenencias mineras
-garantias de arriendo
-otros 
-propiedad de inversión</t>
        </r>
      </text>
    </comment>
    <comment ref="C51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cisalgado:
-ingresar con signo negativo</t>
        </r>
      </text>
    </comment>
    <comment ref="C5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cisalgado:
-software
-estudio de propuesta, inversión, investigación o desarrollo
-derechos
-gastos de organización y puesta en marcha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cisalgado</author>
  </authors>
  <commentList>
    <comment ref="C17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cisalgado:
-efectivo
-depósito a la vista (cuenta cte)
- se excluyen cheques a fecha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cisalgado</author>
  </authors>
  <commentList>
    <comment ref="BB5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C51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D51" authorId="0" shapeId="0" xr:uid="{00000000-0006-0000-0A00-000003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E51" authorId="0" shapeId="0" xr:uid="{00000000-0006-0000-0A00-000004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F51" authorId="0" shapeId="0" xr:uid="{00000000-0006-0000-0A00-000005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G51" authorId="0" shapeId="0" xr:uid="{00000000-0006-0000-0A00-000006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H51" authorId="0" shapeId="0" xr:uid="{00000000-0006-0000-0A00-000007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I51" authorId="0" shapeId="0" xr:uid="{00000000-0006-0000-0A00-000008000000}">
      <text>
        <r>
          <rPr>
            <sz val="11"/>
            <color theme="1"/>
            <rFont val="Calibri"/>
            <family val="2"/>
            <scheme val="minor"/>
          </rPr>
          <t>cisalgado:
-intereses y reajustes
-utilidades en inversiones</t>
        </r>
      </text>
    </comment>
    <comment ref="BB63" authorId="0" shapeId="0" xr:uid="{00000000-0006-0000-0A00-000009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C63" authorId="0" shapeId="0" xr:uid="{00000000-0006-0000-0A00-00000A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D63" authorId="0" shapeId="0" xr:uid="{00000000-0006-0000-0A00-00000B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E63" authorId="0" shapeId="0" xr:uid="{00000000-0006-0000-0A00-00000C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F63" authorId="0" shapeId="0" xr:uid="{00000000-0006-0000-0A00-00000D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G63" authorId="0" shapeId="0" xr:uid="{00000000-0006-0000-0A00-00000E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H63" authorId="0" shapeId="0" xr:uid="{00000000-0006-0000-0A00-00000F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  <comment ref="BI63" authorId="0" shapeId="0" xr:uid="{00000000-0006-0000-0A00-000010000000}">
      <text>
        <r>
          <rPr>
            <sz val="11"/>
            <color theme="1"/>
            <rFont val="Calibri"/>
            <family val="2"/>
            <scheme val="minor"/>
          </rPr>
          <t>cisalgado:
-provisiones por impuesto</t>
        </r>
      </text>
    </comment>
  </commentList>
</comments>
</file>

<file path=xl/sharedStrings.xml><?xml version="1.0" encoding="utf-8"?>
<sst xmlns="http://schemas.openxmlformats.org/spreadsheetml/2006/main" count="5133" uniqueCount="1225">
  <si>
    <t>Fecha</t>
  </si>
  <si>
    <t>BALANCE año 2024</t>
  </si>
  <si>
    <t>N°</t>
  </si>
  <si>
    <t>Nombre de la Cuenta según registros contables</t>
  </si>
  <si>
    <t>Débitos</t>
  </si>
  <si>
    <t xml:space="preserve">Créditos </t>
  </si>
  <si>
    <t>Saldo Deudor</t>
  </si>
  <si>
    <t>Saldo Acreedor</t>
  </si>
  <si>
    <t>Activo</t>
  </si>
  <si>
    <t>Pasivo</t>
  </si>
  <si>
    <t>Pérdidas</t>
  </si>
  <si>
    <t>Ganancias</t>
  </si>
  <si>
    <t>1010100</t>
  </si>
  <si>
    <t>1010501</t>
  </si>
  <si>
    <t>1.00.00.00</t>
  </si>
  <si>
    <t xml:space="preserve"> Activos</t>
  </si>
  <si>
    <t>1010503</t>
  </si>
  <si>
    <t>1.01.00.00</t>
  </si>
  <si>
    <t>Activos Circulantes</t>
  </si>
  <si>
    <t>1010600</t>
  </si>
  <si>
    <t>1.01.01.00</t>
  </si>
  <si>
    <t>Disponible</t>
  </si>
  <si>
    <t>1010900</t>
  </si>
  <si>
    <t>1010200</t>
  </si>
  <si>
    <t>1.01.02.00</t>
  </si>
  <si>
    <t>Depósitos a plazo</t>
  </si>
  <si>
    <t>1011001</t>
  </si>
  <si>
    <t>1010300</t>
  </si>
  <si>
    <t>1.01.03.00</t>
  </si>
  <si>
    <t>Valores negociables</t>
  </si>
  <si>
    <t>1011100</t>
  </si>
  <si>
    <t>1010400</t>
  </si>
  <si>
    <t>1.01.04.00</t>
  </si>
  <si>
    <t>Deudores Ventas Online</t>
  </si>
  <si>
    <t>1011501</t>
  </si>
  <si>
    <t>1010500</t>
  </si>
  <si>
    <t>1.01.05.00</t>
  </si>
  <si>
    <t xml:space="preserve">Deudores por venta </t>
  </si>
  <si>
    <t>1031000</t>
  </si>
  <si>
    <t>1.01.05.01</t>
  </si>
  <si>
    <t xml:space="preserve">Cuentas por Cobrar </t>
  </si>
  <si>
    <t>2010902</t>
  </si>
  <si>
    <t>1010502</t>
  </si>
  <si>
    <t>1.01.05.02</t>
  </si>
  <si>
    <t>Facturado Falabella</t>
  </si>
  <si>
    <t>2011200</t>
  </si>
  <si>
    <t>1.01.05.03</t>
  </si>
  <si>
    <t>2011310</t>
  </si>
  <si>
    <t>1.01.06.00</t>
  </si>
  <si>
    <t>Documentos por cobrar Bronz</t>
  </si>
  <si>
    <t>2020502</t>
  </si>
  <si>
    <t>1010700</t>
  </si>
  <si>
    <t>1.01.07.00</t>
  </si>
  <si>
    <t>Deudores varios</t>
  </si>
  <si>
    <t>2020503</t>
  </si>
  <si>
    <t>1010800</t>
  </si>
  <si>
    <t>1.01.08.00</t>
  </si>
  <si>
    <t>Doc y cuentas por cobrar EERR (cuenta corrientes mercantil)</t>
  </si>
  <si>
    <t>Inventario s/IVA</t>
  </si>
  <si>
    <t>diferencia</t>
  </si>
  <si>
    <t xml:space="preserve">al </t>
  </si>
  <si>
    <t>2030100</t>
  </si>
  <si>
    <t>1.01.09.00</t>
  </si>
  <si>
    <t>Existencias Productos para venta</t>
  </si>
  <si>
    <t>2030600</t>
  </si>
  <si>
    <t>1010901</t>
  </si>
  <si>
    <t>1.01.09.01</t>
  </si>
  <si>
    <t>Existencias otros</t>
  </si>
  <si>
    <t>2030800</t>
  </si>
  <si>
    <t>3010101</t>
  </si>
  <si>
    <t>1011000</t>
  </si>
  <si>
    <t>1.01.10.00</t>
  </si>
  <si>
    <t>Impuestos por recuperar</t>
  </si>
  <si>
    <t>3010200</t>
  </si>
  <si>
    <t>3010111</t>
  </si>
  <si>
    <t>1.01.10.01</t>
  </si>
  <si>
    <t>IVA Créditos (por recuperar de las compras con Facturas)</t>
  </si>
  <si>
    <t>3010201</t>
  </si>
  <si>
    <t>1.11.11.00</t>
  </si>
  <si>
    <t>Anticipo Rita Qiao</t>
  </si>
  <si>
    <t>3010205</t>
  </si>
  <si>
    <t>1011101</t>
  </si>
  <si>
    <t>1.01.11.01</t>
  </si>
  <si>
    <t>Anticipo Crema Bronceante</t>
  </si>
  <si>
    <t>3010211</t>
  </si>
  <si>
    <t>1011102</t>
  </si>
  <si>
    <t>1.01.11.02</t>
  </si>
  <si>
    <t xml:space="preserve">Anticipo </t>
  </si>
  <si>
    <t>3010212</t>
  </si>
  <si>
    <t>1011103</t>
  </si>
  <si>
    <t>1.01.11.03</t>
  </si>
  <si>
    <t>Anticipo</t>
  </si>
  <si>
    <t>3010300</t>
  </si>
  <si>
    <t>1011104</t>
  </si>
  <si>
    <t>1.01.11.04</t>
  </si>
  <si>
    <t>1011105</t>
  </si>
  <si>
    <t>1,01,11,05</t>
  </si>
  <si>
    <t>1011106</t>
  </si>
  <si>
    <t>1,01,11,06</t>
  </si>
  <si>
    <t>1011107</t>
  </si>
  <si>
    <t>1,01,11,07</t>
  </si>
  <si>
    <t>1011108</t>
  </si>
  <si>
    <t>1011200</t>
  </si>
  <si>
    <t>1.01.12.00</t>
  </si>
  <si>
    <t>Impuestos diferidos</t>
  </si>
  <si>
    <t>1011300</t>
  </si>
  <si>
    <t>1.01.13.00</t>
  </si>
  <si>
    <t xml:space="preserve">Existencias Bolsas </t>
  </si>
  <si>
    <t>1011301</t>
  </si>
  <si>
    <t>1.01.13.01</t>
  </si>
  <si>
    <t xml:space="preserve">Cajas </t>
  </si>
  <si>
    <t>1011302</t>
  </si>
  <si>
    <t>1.01.13.02</t>
  </si>
  <si>
    <t>Etiqueta interna</t>
  </si>
  <si>
    <t>1011303</t>
  </si>
  <si>
    <t>1.01.13.03</t>
  </si>
  <si>
    <t>Etiqueta externa</t>
  </si>
  <si>
    <t>1011304</t>
  </si>
  <si>
    <t>1.01.13.04</t>
  </si>
  <si>
    <t>Papel envolver</t>
  </si>
  <si>
    <t>1011305</t>
  </si>
  <si>
    <t>1.01.13.05</t>
  </si>
  <si>
    <t>Sticker interno</t>
  </si>
  <si>
    <t>1011306</t>
  </si>
  <si>
    <t>1.01.13.06</t>
  </si>
  <si>
    <t>Sticker externo</t>
  </si>
  <si>
    <t>1011307</t>
  </si>
  <si>
    <t>1.01.13.07</t>
  </si>
  <si>
    <t>Tarjeta comprada</t>
  </si>
  <si>
    <t>1011308</t>
  </si>
  <si>
    <t>1.01.13.08</t>
  </si>
  <si>
    <t>Tarjeta impresa (papel impresora)</t>
  </si>
  <si>
    <t>1011400</t>
  </si>
  <si>
    <t>1.01.14.00</t>
  </si>
  <si>
    <t>Insumos del producto</t>
  </si>
  <si>
    <t>1011500</t>
  </si>
  <si>
    <t>1.01.15.00</t>
  </si>
  <si>
    <t>Productos en tránsito</t>
  </si>
  <si>
    <t>1.01.15.01</t>
  </si>
  <si>
    <t>Pago provisional mensual  (PPM)</t>
  </si>
  <si>
    <t>1020300</t>
  </si>
  <si>
    <t>1.02.03.00</t>
  </si>
  <si>
    <t>Maquinarias y equipos</t>
  </si>
  <si>
    <t>1020301</t>
  </si>
  <si>
    <t>1.02.03.01</t>
  </si>
  <si>
    <t>1020302</t>
  </si>
  <si>
    <t>1.02.03.02</t>
  </si>
  <si>
    <t>1020303</t>
  </si>
  <si>
    <t>1.02.03.03</t>
  </si>
  <si>
    <t>1020304</t>
  </si>
  <si>
    <t>1.02.03.04</t>
  </si>
  <si>
    <t>1020305</t>
  </si>
  <si>
    <t>1.02.03.05</t>
  </si>
  <si>
    <t>1020306</t>
  </si>
  <si>
    <t>1.02.03.06</t>
  </si>
  <si>
    <t>1020307</t>
  </si>
  <si>
    <t>1.02.03.07</t>
  </si>
  <si>
    <t>1020308</t>
  </si>
  <si>
    <t>1.02.03.08</t>
  </si>
  <si>
    <t>1020309</t>
  </si>
  <si>
    <t>1.02.03.09</t>
  </si>
  <si>
    <t>1020350</t>
  </si>
  <si>
    <t>1.02.03.50</t>
  </si>
  <si>
    <t>Depreciación equipos del ejercicio (menos)</t>
  </si>
  <si>
    <t>1.02.03.60</t>
  </si>
  <si>
    <t xml:space="preserve"> Activos Fijos</t>
  </si>
  <si>
    <t>1020370</t>
  </si>
  <si>
    <t>1.02.03.70</t>
  </si>
  <si>
    <t>Terrenos</t>
  </si>
  <si>
    <t>1020380</t>
  </si>
  <si>
    <t>1.02.03.80</t>
  </si>
  <si>
    <t>Construcción y obras de infraestructura</t>
  </si>
  <si>
    <t>1020400</t>
  </si>
  <si>
    <t>1.02.04.00</t>
  </si>
  <si>
    <t>Otros activos fijos</t>
  </si>
  <si>
    <t>1020401</t>
  </si>
  <si>
    <t>1,02,04,01</t>
  </si>
  <si>
    <t>1020500</t>
  </si>
  <si>
    <t>1.02.05.00</t>
  </si>
  <si>
    <t>Mayor valor por retasación técnica del activo fijo</t>
  </si>
  <si>
    <t>1020600</t>
  </si>
  <si>
    <t>1.02.06.00</t>
  </si>
  <si>
    <t>Depreciación acumulada (menos)</t>
  </si>
  <si>
    <t>1.03.00.00</t>
  </si>
  <si>
    <t xml:space="preserve"> Otros Activos</t>
  </si>
  <si>
    <t>1030100</t>
  </si>
  <si>
    <t>1.03.01.00</t>
  </si>
  <si>
    <t>Inversiones en empresas relacionadas</t>
  </si>
  <si>
    <t>1030200</t>
  </si>
  <si>
    <t>1.03.02.00</t>
  </si>
  <si>
    <t>Inversiones en otras sociedades</t>
  </si>
  <si>
    <t>1030300</t>
  </si>
  <si>
    <t>1.03.03.00</t>
  </si>
  <si>
    <t>Menor valor de inversiones</t>
  </si>
  <si>
    <t>1030400</t>
  </si>
  <si>
    <t>1.03.04.00</t>
  </si>
  <si>
    <t>Mayor valor de inversiones (menos)</t>
  </si>
  <si>
    <t>1030500</t>
  </si>
  <si>
    <t>1.03.05.00</t>
  </si>
  <si>
    <t>Deudores a largo plazo</t>
  </si>
  <si>
    <t>1030600</t>
  </si>
  <si>
    <t>1.03.06.00</t>
  </si>
  <si>
    <t>Documentos y cuentas por cobrar EERR largo plazo</t>
  </si>
  <si>
    <t>1030700</t>
  </si>
  <si>
    <t>1.03.07.00</t>
  </si>
  <si>
    <t>Impuestos diferidos a largo plazo</t>
  </si>
  <si>
    <t>1030800</t>
  </si>
  <si>
    <t>1.03.08.00</t>
  </si>
  <si>
    <t>Intangibles</t>
  </si>
  <si>
    <t>1030900</t>
  </si>
  <si>
    <t>1.03.09.00</t>
  </si>
  <si>
    <t>Amortización (menos)</t>
  </si>
  <si>
    <t>1.03.10.00</t>
  </si>
  <si>
    <t>Inversión Inicial</t>
  </si>
  <si>
    <t>1031100</t>
  </si>
  <si>
    <t>1.03.11.00</t>
  </si>
  <si>
    <t>Contratos de leasing largo plazo (neto)</t>
  </si>
  <si>
    <t>1040000</t>
  </si>
  <si>
    <t>1.04.00.00</t>
  </si>
  <si>
    <t>Cuentas de Orden de Activos</t>
  </si>
  <si>
    <t>2.00.00.00</t>
  </si>
  <si>
    <t>Pasivos</t>
  </si>
  <si>
    <t>2.01.00.00</t>
  </si>
  <si>
    <t xml:space="preserve"> Pasivos Circulantes</t>
  </si>
  <si>
    <t>2010100</t>
  </si>
  <si>
    <t>2.01.01.00</t>
  </si>
  <si>
    <t>Obligaciones con bancos e inst financieras a corto plazo</t>
  </si>
  <si>
    <t>2010200</t>
  </si>
  <si>
    <t>2.01.02.00</t>
  </si>
  <si>
    <t>Oblig con bancos e inst fin largo plazo, porción corto plazo</t>
  </si>
  <si>
    <t>2010300</t>
  </si>
  <si>
    <t>2.01.03.00</t>
  </si>
  <si>
    <t>Obligaciones con el público (pagarés)</t>
  </si>
  <si>
    <t>2010400</t>
  </si>
  <si>
    <t>2.01.04.00</t>
  </si>
  <si>
    <t>Obligaciones con el público - porción corto plazo (bonos)</t>
  </si>
  <si>
    <t>2010500</t>
  </si>
  <si>
    <t>2.01.05.00</t>
  </si>
  <si>
    <t>Obligaciones largo plazo con vencimiento dentro un año</t>
  </si>
  <si>
    <t>2010600</t>
  </si>
  <si>
    <t>2.01.06.00</t>
  </si>
  <si>
    <t>Dividendos por pagar</t>
  </si>
  <si>
    <t>2010700</t>
  </si>
  <si>
    <t>2.01.07.00</t>
  </si>
  <si>
    <t>Cuentas por pagar</t>
  </si>
  <si>
    <t>2010701</t>
  </si>
  <si>
    <t>2.01.07.01</t>
  </si>
  <si>
    <t>2010702</t>
  </si>
  <si>
    <t>2.01.07.02</t>
  </si>
  <si>
    <t>2010703</t>
  </si>
  <si>
    <t>2.01.07.03</t>
  </si>
  <si>
    <t xml:space="preserve">Cuentas por pagar </t>
  </si>
  <si>
    <t>2010704</t>
  </si>
  <si>
    <t>2.01.07.04</t>
  </si>
  <si>
    <t>2010800</t>
  </si>
  <si>
    <t>2.01.08.00</t>
  </si>
  <si>
    <t>Documentos por pagar</t>
  </si>
  <si>
    <t>2010900</t>
  </si>
  <si>
    <t>2.01.09.00</t>
  </si>
  <si>
    <t>Acreedores varios</t>
  </si>
  <si>
    <t>2010901</t>
  </si>
  <si>
    <t>2.01.09.01</t>
  </si>
  <si>
    <t>Cuenta por pagar Beatriz</t>
  </si>
  <si>
    <t>2.01.09.02</t>
  </si>
  <si>
    <t>Cuenta por pagar Tuti</t>
  </si>
  <si>
    <t>2010903</t>
  </si>
  <si>
    <t>2.01.09.03</t>
  </si>
  <si>
    <t>Cuenta por pagar TCP</t>
  </si>
  <si>
    <t>2011000</t>
  </si>
  <si>
    <t>2.01.10.00</t>
  </si>
  <si>
    <t>Doc y cuentas por pagar EERR (cuenta corrientes mercantil)</t>
  </si>
  <si>
    <t>2011100</t>
  </si>
  <si>
    <t>2.01.11.00</t>
  </si>
  <si>
    <t>Provisiones</t>
  </si>
  <si>
    <t>2.01.12.00</t>
  </si>
  <si>
    <t>Retenciones</t>
  </si>
  <si>
    <t>2011300</t>
  </si>
  <si>
    <t>2.01.13.00</t>
  </si>
  <si>
    <t>Impuesto a la renta</t>
  </si>
  <si>
    <t>2.01.13.10</t>
  </si>
  <si>
    <t>IVA por pagar (por las boletas y facturas de ventas emitidas)</t>
  </si>
  <si>
    <t>2011311</t>
  </si>
  <si>
    <t>2.01.13.11</t>
  </si>
  <si>
    <t>Provisión IVA a pagar de Cuentas por Cobrar de ventas</t>
  </si>
  <si>
    <t>2011400</t>
  </si>
  <si>
    <t>2.01.14.00</t>
  </si>
  <si>
    <t>Ingresos percibidos por adelantado</t>
  </si>
  <si>
    <t>2011500</t>
  </si>
  <si>
    <t>2.01.15.00</t>
  </si>
  <si>
    <t>2011600</t>
  </si>
  <si>
    <t>2.01.16.00</t>
  </si>
  <si>
    <t>Otros pasivos circulantes</t>
  </si>
  <si>
    <t>2.02.00.00</t>
  </si>
  <si>
    <t xml:space="preserve"> Pasivos a Largo Plazo</t>
  </si>
  <si>
    <t>2020100</t>
  </si>
  <si>
    <t>2.02.01.00</t>
  </si>
  <si>
    <t>Obligaciones con bancos e instituciones financieras</t>
  </si>
  <si>
    <t>2020200</t>
  </si>
  <si>
    <t>2.02.02.00</t>
  </si>
  <si>
    <t>Obligaciones con el público largo plazo (bonos)</t>
  </si>
  <si>
    <t>2020300</t>
  </si>
  <si>
    <t>2.02.03.00</t>
  </si>
  <si>
    <t>Documentos por pagar largo plazo</t>
  </si>
  <si>
    <t>2020400</t>
  </si>
  <si>
    <t>2.02.04.00</t>
  </si>
  <si>
    <t>Acreedores varios largo plazo</t>
  </si>
  <si>
    <t>2020500</t>
  </si>
  <si>
    <t>2.02.05.00</t>
  </si>
  <si>
    <t>Doc y cuentas por pagar empresas relacionadas largo plazo</t>
  </si>
  <si>
    <t>2020501</t>
  </si>
  <si>
    <t>2.02.05.01</t>
  </si>
  <si>
    <t>Prestamo a Borangora</t>
  </si>
  <si>
    <t>2.02.05.02</t>
  </si>
  <si>
    <t>Documentos y cuentas por pagar María Jesús</t>
  </si>
  <si>
    <t>Documentos y cuentas por pagar Thomas</t>
  </si>
  <si>
    <t>2020600</t>
  </si>
  <si>
    <t>2.02.06.00</t>
  </si>
  <si>
    <t>Provisiones largo plazo</t>
  </si>
  <si>
    <t>2020700</t>
  </si>
  <si>
    <t>2.02.07.00</t>
  </si>
  <si>
    <t>2020800</t>
  </si>
  <si>
    <t>2.02.08.00</t>
  </si>
  <si>
    <t>Otros pasivos a largo plazo</t>
  </si>
  <si>
    <t>2.03.00.00</t>
  </si>
  <si>
    <t>Patrimonio</t>
  </si>
  <si>
    <t>2.03.01.00</t>
  </si>
  <si>
    <t>Capital pagado</t>
  </si>
  <si>
    <t>2030200</t>
  </si>
  <si>
    <t>2.03.02.00</t>
  </si>
  <si>
    <t>Reserva revalorización capital</t>
  </si>
  <si>
    <t>2030300</t>
  </si>
  <si>
    <t>2.03.03.00</t>
  </si>
  <si>
    <t>Sobreprecio en venta de acciones propias</t>
  </si>
  <si>
    <t>2030400</t>
  </si>
  <si>
    <t>2.03.04.00</t>
  </si>
  <si>
    <t>Otras reservas</t>
  </si>
  <si>
    <t>2030401</t>
  </si>
  <si>
    <t>2.03.04.01</t>
  </si>
  <si>
    <t>Ajustes patrimonio</t>
  </si>
  <si>
    <t>2030402</t>
  </si>
  <si>
    <t>2.03.04.02</t>
  </si>
  <si>
    <t>Ajuste Inventario</t>
  </si>
  <si>
    <t>2030500</t>
  </si>
  <si>
    <t>2.03.05.00</t>
  </si>
  <si>
    <t>Reservas futuros dividendos</t>
  </si>
  <si>
    <t>2030501</t>
  </si>
  <si>
    <t>2.03.05.01</t>
  </si>
  <si>
    <t>Condonación deuda relacionada</t>
  </si>
  <si>
    <t>2.03.06.00</t>
  </si>
  <si>
    <t>Utilidades acumuladas</t>
  </si>
  <si>
    <t>2030700</t>
  </si>
  <si>
    <t>2.03.07.00</t>
  </si>
  <si>
    <t>Pérdidas acumuladas</t>
  </si>
  <si>
    <t>2.03.08.00</t>
  </si>
  <si>
    <t>Dividendos provisorios</t>
  </si>
  <si>
    <t>2030900</t>
  </si>
  <si>
    <t>2.03.09.00</t>
  </si>
  <si>
    <t>Déficit acumulado período de desarrollo</t>
  </si>
  <si>
    <t>2031000</t>
  </si>
  <si>
    <t>2.03.10.00</t>
  </si>
  <si>
    <t>Otros ajustes patrimoniales</t>
  </si>
  <si>
    <t>2040000</t>
  </si>
  <si>
    <t>2.04.00.00</t>
  </si>
  <si>
    <t>Cuentas de Orden de Pasivos</t>
  </si>
  <si>
    <t>Estado de Resultados</t>
  </si>
  <si>
    <t>3.01.00.00</t>
  </si>
  <si>
    <t>Resultado De Explotacion</t>
  </si>
  <si>
    <t>3.01.01.00</t>
  </si>
  <si>
    <t>Ingresos de explotación</t>
  </si>
  <si>
    <t>3.01.01.01</t>
  </si>
  <si>
    <t>Ingresos neto por ventas</t>
  </si>
  <si>
    <t>3.01.01.11</t>
  </si>
  <si>
    <t>Ingresos por envíos</t>
  </si>
  <si>
    <t>3010120</t>
  </si>
  <si>
    <t>3.01.01.20</t>
  </si>
  <si>
    <t>Devoluciones</t>
  </si>
  <si>
    <t>3010130</t>
  </si>
  <si>
    <t>Costo Devoluciones (mas)</t>
  </si>
  <si>
    <t>3.01.02.00</t>
  </si>
  <si>
    <t>Costos directos de ventas (menos)</t>
  </si>
  <si>
    <t>3.01.02.01</t>
  </si>
  <si>
    <t>Gastos de comercialización</t>
  </si>
  <si>
    <t>3010202</t>
  </si>
  <si>
    <t>3.01.02.02</t>
  </si>
  <si>
    <t>Gastos de envío propios</t>
  </si>
  <si>
    <t>3010203</t>
  </si>
  <si>
    <t>3.01.02.03</t>
  </si>
  <si>
    <t>Gastos Reverso</t>
  </si>
  <si>
    <t>3,01,02,03</t>
  </si>
  <si>
    <t>Marketing y Publicidad</t>
  </si>
  <si>
    <t>3.01,10,11</t>
  </si>
  <si>
    <t>Gastos de comercialización Ventas Online</t>
  </si>
  <si>
    <t>3.01,10,12</t>
  </si>
  <si>
    <t>Costo comisiones plataformas de pago</t>
  </si>
  <si>
    <t>3010213</t>
  </si>
  <si>
    <t>3.01.10.13</t>
  </si>
  <si>
    <t>3010214</t>
  </si>
  <si>
    <t>3.01.10.14</t>
  </si>
  <si>
    <t>3010215</t>
  </si>
  <si>
    <t>3.01.10.15</t>
  </si>
  <si>
    <t xml:space="preserve">Gastos de comercialización </t>
  </si>
  <si>
    <t>3010216</t>
  </si>
  <si>
    <t>3.01.10.16</t>
  </si>
  <si>
    <t xml:space="preserve">Gastos Financieros </t>
  </si>
  <si>
    <t>3.01.03.00</t>
  </si>
  <si>
    <t xml:space="preserve">Gastos de administración </t>
  </si>
  <si>
    <t>3010400</t>
  </si>
  <si>
    <t>3.01.04.00</t>
  </si>
  <si>
    <t>Depreciación del ejercicio (menos)</t>
  </si>
  <si>
    <t>3020100</t>
  </si>
  <si>
    <t>3.02.00.00</t>
  </si>
  <si>
    <t>Ingresos financieros</t>
  </si>
  <si>
    <t>3020200</t>
  </si>
  <si>
    <t>3.02.01.00</t>
  </si>
  <si>
    <t>Utilidad inversiones empresas relacionadas</t>
  </si>
  <si>
    <t>3020300</t>
  </si>
  <si>
    <t>3.02.02.00</t>
  </si>
  <si>
    <t>Otros ingresos fuera de la explotación</t>
  </si>
  <si>
    <t>3020400</t>
  </si>
  <si>
    <t>3.02.03.00</t>
  </si>
  <si>
    <t>Castigos cuentas por cobrar</t>
  </si>
  <si>
    <t>3020500</t>
  </si>
  <si>
    <t>3.02.04.00</t>
  </si>
  <si>
    <t>Amortización menor valor de inversiones (menos)</t>
  </si>
  <si>
    <t>3020600</t>
  </si>
  <si>
    <t>3.02.05.00</t>
  </si>
  <si>
    <t>Gastos financieros con empresas relacionadas (menos)</t>
  </si>
  <si>
    <t>3020700</t>
  </si>
  <si>
    <t>3.02.06.00</t>
  </si>
  <si>
    <t>Gastos financieros con empresas no relacionados (menos)</t>
  </si>
  <si>
    <t>3020800</t>
  </si>
  <si>
    <t>3.02.07.00</t>
  </si>
  <si>
    <t>Otros gastos - Inversión Inicial</t>
  </si>
  <si>
    <t>3020900</t>
  </si>
  <si>
    <t>3.02.08.00</t>
  </si>
  <si>
    <t>Pérdida  por ajuste inventario</t>
  </si>
  <si>
    <t>3021000</t>
  </si>
  <si>
    <t>3.02.09.00</t>
  </si>
  <si>
    <t>Otros egresos fuera de la explotación (menos)</t>
  </si>
  <si>
    <t>3021100</t>
  </si>
  <si>
    <t>3.02.10.00</t>
  </si>
  <si>
    <t>Corrección monetaria</t>
  </si>
  <si>
    <t>3021200</t>
  </si>
  <si>
    <t>3.02.11.00</t>
  </si>
  <si>
    <t>Diferencias de cambio</t>
  </si>
  <si>
    <t>3030100</t>
  </si>
  <si>
    <t>3.02.12.00</t>
  </si>
  <si>
    <t>Impuesto a La Renta</t>
  </si>
  <si>
    <t>3030200</t>
  </si>
  <si>
    <t>3.03.01.00</t>
  </si>
  <si>
    <t>Ítemes Extraordinarios</t>
  </si>
  <si>
    <t>3030300</t>
  </si>
  <si>
    <t>3.03.02.00</t>
  </si>
  <si>
    <t>Amortización mayor valor de inversiones</t>
  </si>
  <si>
    <t>3.03.03.00</t>
  </si>
  <si>
    <t xml:space="preserve">SUMAS </t>
  </si>
  <si>
    <t>Utilidad (Pérdida) Del Ejercicio</t>
  </si>
  <si>
    <t>SUMAS TOTALES</t>
  </si>
  <si>
    <t>s/ventas</t>
  </si>
  <si>
    <t>Costos/Ventas</t>
  </si>
  <si>
    <t>caja y banco</t>
  </si>
  <si>
    <t>deuda financiera CP</t>
  </si>
  <si>
    <t>ventas</t>
  </si>
  <si>
    <t>valores negociables</t>
  </si>
  <si>
    <t>deudas LP con vencimiento en C</t>
  </si>
  <si>
    <t>costo de venta</t>
  </si>
  <si>
    <t>depósitos a plazo</t>
  </si>
  <si>
    <t>acreedores por leasing CP</t>
  </si>
  <si>
    <t>margen bruto</t>
  </si>
  <si>
    <t>acciones</t>
  </si>
  <si>
    <t>cxp del giro a corto plazo</t>
  </si>
  <si>
    <t>gastos comercialización</t>
  </si>
  <si>
    <t>fondos mutuos</t>
  </si>
  <si>
    <t>deuda. emp. afil. cp</t>
  </si>
  <si>
    <t>gastos de públicidad marketing</t>
  </si>
  <si>
    <t>pactos</t>
  </si>
  <si>
    <t>deuda empr. afiliada a cp oper.</t>
  </si>
  <si>
    <t>gastos arriendos comisiones tiendas</t>
  </si>
  <si>
    <t>otros valores negociables</t>
  </si>
  <si>
    <t>deuda empr afiliada a cp no op.</t>
  </si>
  <si>
    <t>gastos de envíos adicionales</t>
  </si>
  <si>
    <t>cuentas por cobrar</t>
  </si>
  <si>
    <t>ingresos percibidos x adelantado</t>
  </si>
  <si>
    <t>gastos de administración</t>
  </si>
  <si>
    <t>documentos por cobrar del giro</t>
  </si>
  <si>
    <t>provisiones corto plazo</t>
  </si>
  <si>
    <t>resultado operacional bruto</t>
  </si>
  <si>
    <t>deudores por venta</t>
  </si>
  <si>
    <t>impuestos por pagar</t>
  </si>
  <si>
    <t>gastos financieros</t>
  </si>
  <si>
    <t>documentos en protesto</t>
  </si>
  <si>
    <t>cuenta corriente de socios</t>
  </si>
  <si>
    <t>90a</t>
  </si>
  <si>
    <t>depreciación del ejercicio (-)</t>
  </si>
  <si>
    <t>otras ctas. por cobrar del giro</t>
  </si>
  <si>
    <t>dividendos por pagar</t>
  </si>
  <si>
    <t>resultado oper. neto</t>
  </si>
  <si>
    <t>provisión incobrables (menos)</t>
  </si>
  <si>
    <t>otros acreedores corto plazo</t>
  </si>
  <si>
    <t>ingresos fuera de explotación</t>
  </si>
  <si>
    <t xml:space="preserve"> cxc a emp. afil cp</t>
  </si>
  <si>
    <t>total pasivo circulante</t>
  </si>
  <si>
    <t>utilidad inv. emp. relac.</t>
  </si>
  <si>
    <t>cxc a empr. afiliadas cp op</t>
  </si>
  <si>
    <t>deuda financiera lp</t>
  </si>
  <si>
    <t>amort. mayor valor de inversiones</t>
  </si>
  <si>
    <t>cxc a empr. afiliadas cp no op</t>
  </si>
  <si>
    <t>acreedores por leasing lp</t>
  </si>
  <si>
    <t>ingresos financieros</t>
  </si>
  <si>
    <t>varios deudores (trabajadores)</t>
  </si>
  <si>
    <t>cxp del giro a largo plazo</t>
  </si>
  <si>
    <t>otros ingresos fuera de explotación</t>
  </si>
  <si>
    <t>existencias</t>
  </si>
  <si>
    <t>cuenta corriente de socios largo plazo</t>
  </si>
  <si>
    <t>egresos fuera de explotación</t>
  </si>
  <si>
    <t>materias primas y materiales</t>
  </si>
  <si>
    <t>provisiones largo plazo</t>
  </si>
  <si>
    <t>pérdida ajuste inventario</t>
  </si>
  <si>
    <t>productos en proceso</t>
  </si>
  <si>
    <t>otros acreed. lp</t>
  </si>
  <si>
    <t>amort. menor valor de inversiones</t>
  </si>
  <si>
    <t>productos terminados</t>
  </si>
  <si>
    <t>total pasivo de largo plazo</t>
  </si>
  <si>
    <t>otros egresos fuera de explotación</t>
  </si>
  <si>
    <t>importaciones en transito</t>
  </si>
  <si>
    <t>amort. intangibles</t>
  </si>
  <si>
    <t>otras existencias</t>
  </si>
  <si>
    <t>total pasivo exigible</t>
  </si>
  <si>
    <t>resultado antes corr. monet</t>
  </si>
  <si>
    <t>impuestos por recuperar</t>
  </si>
  <si>
    <t>ajuste monetario</t>
  </si>
  <si>
    <t>gastos anticipados</t>
  </si>
  <si>
    <t>interés minoritario</t>
  </si>
  <si>
    <t>correción monetaria</t>
  </si>
  <si>
    <t>otros activos circulantes</t>
  </si>
  <si>
    <t>capital</t>
  </si>
  <si>
    <t>diferencia de cambio</t>
  </si>
  <si>
    <t>total activo circulante</t>
  </si>
  <si>
    <t>cuenta obligada socios (menos)</t>
  </si>
  <si>
    <t>utilidad antes de impuestos</t>
  </si>
  <si>
    <t>reservas de revalorización</t>
  </si>
  <si>
    <t>impuesto a la renta (-)</t>
  </si>
  <si>
    <t>activo fijo</t>
  </si>
  <si>
    <t>reservas varias</t>
  </si>
  <si>
    <t>interés minoritario (-)</t>
  </si>
  <si>
    <t>Ren/ventas</t>
  </si>
  <si>
    <t>maquinarias</t>
  </si>
  <si>
    <t>reservas futuros dividendos</t>
  </si>
  <si>
    <t>UTILIDAD NETA DEL PERIODO</t>
  </si>
  <si>
    <t>Rent/Pat</t>
  </si>
  <si>
    <t>Antes de utilidad del período</t>
  </si>
  <si>
    <t>terrenos</t>
  </si>
  <si>
    <t>fluc. val. y/o mayor valor inv.</t>
  </si>
  <si>
    <t>edificios</t>
  </si>
  <si>
    <t>utilidad neta retenida</t>
  </si>
  <si>
    <t>otro activo fijo</t>
  </si>
  <si>
    <t>utilidad neta del periodo</t>
  </si>
  <si>
    <t>activos en leasing</t>
  </si>
  <si>
    <t>Ajustes</t>
  </si>
  <si>
    <t>retas. técnica del act. fijo</t>
  </si>
  <si>
    <t>divid. pagados y/o retiro socios (menos)</t>
  </si>
  <si>
    <t>depreciacion acumulada (menos)</t>
  </si>
  <si>
    <t>castigos (menos)</t>
  </si>
  <si>
    <t>depreciacion del ejercicio (menos)</t>
  </si>
  <si>
    <t>total patrimonio neto</t>
  </si>
  <si>
    <t>cxc a largo plazo</t>
  </si>
  <si>
    <t>TOTAL PASIVOS</t>
  </si>
  <si>
    <t>Cuadre</t>
  </si>
  <si>
    <t>provision incobrable (menos)</t>
  </si>
  <si>
    <t>cxc a emp. afil lp</t>
  </si>
  <si>
    <t>otros activos largo plazo</t>
  </si>
  <si>
    <t>otros activos largo plazo operativos</t>
  </si>
  <si>
    <t>otros activos largo plazo no operativos</t>
  </si>
  <si>
    <t>inversiones en sociedades</t>
  </si>
  <si>
    <t>inversiones en comp. afiliadas</t>
  </si>
  <si>
    <t>inversiones en otras sociedades</t>
  </si>
  <si>
    <t>activos intangibles</t>
  </si>
  <si>
    <t>menor valor de inversiones</t>
  </si>
  <si>
    <t>mayor valor de inversiones</t>
  </si>
  <si>
    <t>inversión inicial</t>
  </si>
  <si>
    <t>total activos fijos y de lp</t>
  </si>
  <si>
    <t>TOTAL DE ACTIVOS</t>
  </si>
  <si>
    <t>BRONZ SpA</t>
  </si>
  <si>
    <t>Anterior</t>
  </si>
  <si>
    <t>Nuevo</t>
  </si>
  <si>
    <t>Diferencia</t>
  </si>
  <si>
    <t>BALANCE (CLP)               : Activos</t>
  </si>
  <si>
    <t>BALANCE ( CLP)            : Pasivos</t>
  </si>
  <si>
    <t>ACTIVOS</t>
  </si>
  <si>
    <t>ACTIVOS CIRCULANTES</t>
  </si>
  <si>
    <t>PASIVOS CIRCULANTES</t>
  </si>
  <si>
    <t>Caja</t>
  </si>
  <si>
    <t>Efectivo y Equivalente al Efectivo</t>
  </si>
  <si>
    <t>Deuda Financiera C.P.</t>
  </si>
  <si>
    <t>Existencias</t>
  </si>
  <si>
    <t>Activos Financieros</t>
  </si>
  <si>
    <t>Ctas x Pagar del Giro</t>
  </si>
  <si>
    <t>Productos</t>
  </si>
  <si>
    <t>Cuentas por Cobrar del Giro</t>
  </si>
  <si>
    <t>Ctas. X Pagar Relacionados</t>
  </si>
  <si>
    <t>Géneros</t>
  </si>
  <si>
    <t>Ctas x Cobrar Relacionados</t>
  </si>
  <si>
    <t>Ingresos Percibidos Por Adelan.</t>
  </si>
  <si>
    <t>IVA crédito</t>
  </si>
  <si>
    <t>Otros</t>
  </si>
  <si>
    <t>PPM</t>
  </si>
  <si>
    <t>PASIVOS DE LARGO PLAZO</t>
  </si>
  <si>
    <t>Anticipos</t>
  </si>
  <si>
    <t>ACTIVOS DE LARGO PLAZO</t>
  </si>
  <si>
    <t>Deuda Financiera L.P.</t>
  </si>
  <si>
    <t>Activo Fijo Neto</t>
  </si>
  <si>
    <t>Ctas x Cobrar a Largo Plazo</t>
  </si>
  <si>
    <t>INTERÉS MINORITARIO</t>
  </si>
  <si>
    <t>Inversiones en Soc.</t>
  </si>
  <si>
    <t>PATRIMONIO NETO</t>
  </si>
  <si>
    <t>Doc y C*Pagar  Thomas</t>
  </si>
  <si>
    <t>Goodwill</t>
  </si>
  <si>
    <t>Capital Neto</t>
  </si>
  <si>
    <t>Doc y C*Pagar  María Jesús</t>
  </si>
  <si>
    <t>Otros Intangibles</t>
  </si>
  <si>
    <t>IVA por pagar</t>
  </si>
  <si>
    <t>Utilidades Retenidas</t>
  </si>
  <si>
    <t>Importados de Base de Datos</t>
  </si>
  <si>
    <t>Pasivo Exigible</t>
  </si>
  <si>
    <t>Inversión inicial</t>
  </si>
  <si>
    <t>(Dividendos Pagados)</t>
  </si>
  <si>
    <t>Créditos</t>
  </si>
  <si>
    <t>Total Activos</t>
  </si>
  <si>
    <t>Total Pasivos</t>
  </si>
  <si>
    <t>PASIVOS</t>
  </si>
  <si>
    <t>Dif Balance</t>
  </si>
  <si>
    <t>Dif en Bdatos</t>
  </si>
  <si>
    <t>Ventas Netas</t>
  </si>
  <si>
    <t xml:space="preserve">ESTADO DE RESULTADOS            (CLP)  </t>
  </si>
  <si>
    <t>INDICADORES FINANCIEROS</t>
  </si>
  <si>
    <t xml:space="preserve"> N° Meses :    </t>
  </si>
  <si>
    <t>EBITDA</t>
  </si>
  <si>
    <t>Costos directos ventas</t>
  </si>
  <si>
    <t>Ventas netas</t>
  </si>
  <si>
    <t>Margen Bruto / Ventas                             (%)</t>
  </si>
  <si>
    <t>Costo de Ventas y GAVs</t>
  </si>
  <si>
    <t>Resultado Operacional Bruto / Ventas      (%)</t>
  </si>
  <si>
    <t>Gastos Comercialización</t>
  </si>
  <si>
    <t>Resultado Operacional Bruto (ROB)</t>
  </si>
  <si>
    <t>Act. Circ. / Pas. Circ.                              (vcs)</t>
  </si>
  <si>
    <t>Publicidad y  Marketing</t>
  </si>
  <si>
    <t>Gastos Financieros</t>
  </si>
  <si>
    <t>Utilidad / Ventas                                     (%)</t>
  </si>
  <si>
    <t>Gastos tiendas y bodega</t>
  </si>
  <si>
    <t>Depreciación Ejercicio</t>
  </si>
  <si>
    <t>Permanencia Existencias                      (ds)</t>
  </si>
  <si>
    <t>Resultado Operacional Neto</t>
  </si>
  <si>
    <t>Permanencia Ctas. X Cobrar                   (ds)</t>
  </si>
  <si>
    <t>Utilidad (pérd.) No Operacional</t>
  </si>
  <si>
    <t>Permanencia Ctas. X Pagar                     (ds)</t>
  </si>
  <si>
    <t>Gastos  Ventas Online</t>
  </si>
  <si>
    <t>Ajuste Monetario</t>
  </si>
  <si>
    <t>EBITDA/ Gastos Financieros                  (vcs)</t>
  </si>
  <si>
    <t xml:space="preserve">Gastos </t>
  </si>
  <si>
    <t>Impuesto a la Renta</t>
  </si>
  <si>
    <t>Deudas financieras / EBITDA                  (vcs)</t>
  </si>
  <si>
    <t>Ajustes(-)</t>
  </si>
  <si>
    <t>Pasivo Exigible / Patrimonio Neto            (vcs)</t>
  </si>
  <si>
    <t>Utilidad no 0peracional</t>
  </si>
  <si>
    <t>Utilidad (pérd.) Neta</t>
  </si>
  <si>
    <t>Pasivo Exigible / Patr. Neto+ Int. Min.      (vcs)</t>
  </si>
  <si>
    <t>Utilidad</t>
  </si>
  <si>
    <t>Botón  Inicio  Panel de Control BRONZ</t>
  </si>
  <si>
    <t>Cuenta Débito</t>
  </si>
  <si>
    <t>Débito</t>
  </si>
  <si>
    <t>Cuenta Crédito</t>
  </si>
  <si>
    <t>Crédito</t>
  </si>
  <si>
    <t>Todas las Cuentas</t>
  </si>
  <si>
    <t>Cuentas Sumadas</t>
  </si>
  <si>
    <t>SKU</t>
  </si>
  <si>
    <t>Cantidad</t>
  </si>
  <si>
    <t>Costo Neto</t>
  </si>
  <si>
    <t>BB0003</t>
  </si>
  <si>
    <t>Etiquetas de fila</t>
  </si>
  <si>
    <t>Suma de Cantidad</t>
  </si>
  <si>
    <t>Suma de Costo Neto</t>
  </si>
  <si>
    <t>SUMAS</t>
  </si>
  <si>
    <t>BB0001</t>
  </si>
  <si>
    <t>(en blanco)</t>
  </si>
  <si>
    <t>Total general</t>
  </si>
  <si>
    <t xml:space="preserve"> Cuentas Sumadas</t>
  </si>
  <si>
    <t>SOLO ORDENAR DE MENOR A MAYOR</t>
  </si>
  <si>
    <t>Categoría</t>
  </si>
  <si>
    <t>Producto</t>
  </si>
  <si>
    <t>Costo</t>
  </si>
  <si>
    <t>Stock Inicial</t>
  </si>
  <si>
    <t>Amplifica Inicial</t>
  </si>
  <si>
    <t>Ingresos</t>
  </si>
  <si>
    <t>Envíosa Amp</t>
  </si>
  <si>
    <t>Ventas</t>
  </si>
  <si>
    <t>Stock_Total</t>
  </si>
  <si>
    <t>En_Oficina</t>
  </si>
  <si>
    <t>Ajuste Ventas</t>
  </si>
  <si>
    <t>En Bodega</t>
  </si>
  <si>
    <t>Costo Inventario</t>
  </si>
  <si>
    <t>Costo de la venta</t>
  </si>
  <si>
    <t>Mousse</t>
  </si>
  <si>
    <t>Autobronz</t>
  </si>
  <si>
    <t>BB0002</t>
  </si>
  <si>
    <t>Guante</t>
  </si>
  <si>
    <t>Guante Aplicador</t>
  </si>
  <si>
    <t>Mousse + Guante</t>
  </si>
  <si>
    <t>Pack</t>
  </si>
  <si>
    <t>BB0004</t>
  </si>
  <si>
    <t>ACEITE</t>
  </si>
  <si>
    <t>Bronceador</t>
  </si>
  <si>
    <t>BB0005</t>
  </si>
  <si>
    <t>BRUSH</t>
  </si>
  <si>
    <t>Blending Brush</t>
  </si>
  <si>
    <t>BB0006</t>
  </si>
  <si>
    <t>PACK</t>
  </si>
  <si>
    <t>Autobronz+Blending</t>
  </si>
  <si>
    <t>BB0009</t>
  </si>
  <si>
    <t>Exfoliante</t>
  </si>
  <si>
    <t>BB0010</t>
  </si>
  <si>
    <t>CREMA</t>
  </si>
  <si>
    <t>Crema autobronceante</t>
  </si>
  <si>
    <t>BB0011</t>
  </si>
  <si>
    <t>Golden Boost</t>
  </si>
  <si>
    <t>Golden boost</t>
  </si>
  <si>
    <t>BB0012</t>
  </si>
  <si>
    <t>Mouuse+G Aplica+G exfol+Crema</t>
  </si>
  <si>
    <t>Empresa: BRONZ SpA</t>
  </si>
  <si>
    <t>Fecha de emisión</t>
  </si>
  <si>
    <t>Rut: 76.726.031-8</t>
  </si>
  <si>
    <t xml:space="preserve">Página </t>
  </si>
  <si>
    <t xml:space="preserve"> 1/1</t>
  </si>
  <si>
    <t>Giro: VENTA ARTÍCULOS BELLEZA</t>
  </si>
  <si>
    <t>Dirección: PARQUE LAS GARZAS 27 CHICUREO COLINA</t>
  </si>
  <si>
    <t>PREBALANCE GENERAL</t>
  </si>
  <si>
    <t xml:space="preserve">PERÍODO  DESDE   01/01/2024  HASTA </t>
  </si>
  <si>
    <t>PASIVOS Y PATRIMONIO</t>
  </si>
  <si>
    <t>ACTIVO CIRCULANTES</t>
  </si>
  <si>
    <t>PASIVO CIRCULANTES</t>
  </si>
  <si>
    <t>Caja y Banco</t>
  </si>
  <si>
    <t>Cuentas x pagar del Giro a Corto Plazo</t>
  </si>
  <si>
    <t>Documentos Por Cobrar Del Giro</t>
  </si>
  <si>
    <t>Impuestos Por Pagar</t>
  </si>
  <si>
    <t>Deudores Por Venta</t>
  </si>
  <si>
    <t>Otros Acreedores Corto Plazo</t>
  </si>
  <si>
    <t>Materias Primas y Materiales</t>
  </si>
  <si>
    <t>Cuentas por pagar relacionadas</t>
  </si>
  <si>
    <t>Productos Terminados</t>
  </si>
  <si>
    <t>Otras Existencias</t>
  </si>
  <si>
    <t>Impuestos Por Recuperar</t>
  </si>
  <si>
    <t>Gastos Anticipados</t>
  </si>
  <si>
    <t>Equipos y Accesorios</t>
  </si>
  <si>
    <t>Total Activo Circulante</t>
  </si>
  <si>
    <t>Total Pasivo Circulante</t>
  </si>
  <si>
    <t>ACTIVO FIJO</t>
  </si>
  <si>
    <t>PASIVO LARGO PLAZO</t>
  </si>
  <si>
    <t>Vehículos</t>
  </si>
  <si>
    <t>Total Activo Fijo</t>
  </si>
  <si>
    <t>Total Pasivo Largo Plazo</t>
  </si>
  <si>
    <t>OTROS ACTIVOS</t>
  </si>
  <si>
    <t>PATRIMONIO</t>
  </si>
  <si>
    <t>Capital</t>
  </si>
  <si>
    <t>Reservas Varias</t>
  </si>
  <si>
    <t>Utilidad Neta Retenida</t>
  </si>
  <si>
    <t>Utilidad Neta Del Periodo</t>
  </si>
  <si>
    <t>Castigos (Menos)</t>
  </si>
  <si>
    <t>Dividendos</t>
  </si>
  <si>
    <t>Total Otros Activos</t>
  </si>
  <si>
    <t>Total Patrimonio</t>
  </si>
  <si>
    <t>TOTAL ACTIVOS</t>
  </si>
  <si>
    <t>TOTAL PASIVOS Y PATRIMONIO</t>
  </si>
  <si>
    <t>ESTADO DE RESULTADO</t>
  </si>
  <si>
    <t>Costo de venta</t>
  </si>
  <si>
    <t>Gastos de Comercialización</t>
  </si>
  <si>
    <t>Publicidad y Marketing</t>
  </si>
  <si>
    <t>Gastos de Administración</t>
  </si>
  <si>
    <t>Depreciación</t>
  </si>
  <si>
    <t>Ingresos Fuera de Explotación</t>
  </si>
  <si>
    <t>Egresos fuera de Explotación</t>
  </si>
  <si>
    <t>Utilidad antes de Impuestos</t>
  </si>
  <si>
    <t>Contador</t>
  </si>
  <si>
    <t>Representante legal</t>
  </si>
  <si>
    <t>EMPRESA :</t>
  </si>
  <si>
    <t>BORANGORA SPA</t>
  </si>
  <si>
    <t>RUT:</t>
  </si>
  <si>
    <t>76.726.031-8</t>
  </si>
  <si>
    <t>GIRO:</t>
  </si>
  <si>
    <t>VENTA ARTÍCULOS DE VESTUARIO</t>
  </si>
  <si>
    <t>PARQUE LAS GARZAS 27 CHICUREO COLINA</t>
  </si>
  <si>
    <t>BALANCE GENERAL</t>
  </si>
  <si>
    <t>PERÍODO DESDE EL 01/01/2022 AL 31/12/2022</t>
  </si>
  <si>
    <t>CUENTAS</t>
  </si>
  <si>
    <t>SALDOS</t>
  </si>
  <si>
    <t>INVENTARIOS</t>
  </si>
  <si>
    <t>RESULTADOS</t>
  </si>
  <si>
    <t>Descripción</t>
  </si>
  <si>
    <t>Documentos por cobrar Borangora</t>
  </si>
  <si>
    <t>Codigo</t>
  </si>
  <si>
    <t>Venta Bruta</t>
  </si>
  <si>
    <t>Costo venta</t>
  </si>
  <si>
    <t>Prom producto</t>
  </si>
  <si>
    <t>Costo Directo</t>
  </si>
  <si>
    <t>Costo Promedio</t>
  </si>
  <si>
    <t>Relación Venta/Costo</t>
  </si>
  <si>
    <t>Suma de Venta Bruta</t>
  </si>
  <si>
    <t>Suma de Costo venta</t>
  </si>
  <si>
    <t>Etiquetas de columna</t>
  </si>
  <si>
    <t>SUMA VENTAS NETAS</t>
  </si>
  <si>
    <t>&lt;01-01-2025</t>
  </si>
  <si>
    <t>ene</t>
  </si>
  <si>
    <t>feb</t>
  </si>
  <si>
    <t>mar</t>
  </si>
  <si>
    <t>abr</t>
  </si>
  <si>
    <t>may</t>
  </si>
  <si>
    <t>jun</t>
  </si>
  <si>
    <t>Valor venta Mousse con IVA</t>
  </si>
  <si>
    <t>(1) Aplica</t>
  </si>
  <si>
    <t>Aumento</t>
  </si>
  <si>
    <t>Sueldo MJ</t>
  </si>
  <si>
    <t>Desde mes</t>
  </si>
  <si>
    <t>Valor venta Crema con IVA</t>
  </si>
  <si>
    <t>M1</t>
  </si>
  <si>
    <t>Comercaliz</t>
  </si>
  <si>
    <t>Publc Mark</t>
  </si>
  <si>
    <t>Admin</t>
  </si>
  <si>
    <t>Costo Mousse M1 con IVA</t>
  </si>
  <si>
    <t>M2</t>
  </si>
  <si>
    <t>Costo Mousse M2 con IVA</t>
  </si>
  <si>
    <t>C1</t>
  </si>
  <si>
    <t>Costo Crema C1 con IVA</t>
  </si>
  <si>
    <t>UF</t>
  </si>
  <si>
    <t>Ventas Mousse M1</t>
  </si>
  <si>
    <t>Ventas Mousse M2</t>
  </si>
  <si>
    <t>Ventas Crema C1</t>
  </si>
  <si>
    <t>Ventas Mousse M3</t>
  </si>
  <si>
    <t>Ventas Crema C2</t>
  </si>
  <si>
    <t>Balance</t>
  </si>
  <si>
    <t>dic23-may24</t>
  </si>
  <si>
    <t>FLUJO</t>
  </si>
  <si>
    <t>Con IVA</t>
  </si>
  <si>
    <t>Ventas Cremas C1</t>
  </si>
  <si>
    <t>Ventas Cremas C2</t>
  </si>
  <si>
    <t>Total ventas</t>
  </si>
  <si>
    <t>Costo Mousse M1</t>
  </si>
  <si>
    <t>Costo Mousse M2</t>
  </si>
  <si>
    <t>Costo Crema C1</t>
  </si>
  <si>
    <t>Costo Crema C2</t>
  </si>
  <si>
    <t>Total Costo ventas</t>
  </si>
  <si>
    <t>Sueldo M Jesús</t>
  </si>
  <si>
    <t>Imprevistos</t>
  </si>
  <si>
    <t>Deuda inicial Mousse M1</t>
  </si>
  <si>
    <t>Deuda inicial Mousse M2</t>
  </si>
  <si>
    <t>Deuda inicial cremas C1</t>
  </si>
  <si>
    <t>TOTAL DEUDAS Inicial</t>
  </si>
  <si>
    <t>Deuda Mousse M3</t>
  </si>
  <si>
    <t>Deuda cremas C2</t>
  </si>
  <si>
    <t>TOTAL DEUDAS 2</t>
  </si>
  <si>
    <t xml:space="preserve">impuesto a la renta </t>
  </si>
  <si>
    <t>Deuda KT</t>
  </si>
  <si>
    <t>Pago deuda total 1</t>
  </si>
  <si>
    <t>Pago deuda total 2</t>
  </si>
  <si>
    <t>Flujo</t>
  </si>
  <si>
    <t>VPN 1 año</t>
  </si>
  <si>
    <t>VPN 2 años</t>
  </si>
  <si>
    <t>VPN 3 años</t>
  </si>
  <si>
    <t>ACUMULADO  2024</t>
  </si>
  <si>
    <t>Venta</t>
  </si>
  <si>
    <t>Utilidad mes</t>
  </si>
  <si>
    <t>Acumulado</t>
  </si>
  <si>
    <t>Arriendos- comisiones de tiendas-bodega</t>
  </si>
  <si>
    <t>Utilidad acumulada</t>
  </si>
  <si>
    <t>Enero</t>
  </si>
  <si>
    <t>rob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</si>
  <si>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</si>
  <si>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</si>
  <si>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</si>
  <si>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</si>
  <si>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</si>
  <si>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</si>
  <si>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</si>
  <si>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</si>
  <si>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</si>
  <si>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</si>
  <si>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</si>
  <si>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Ventas acumuladas</t>
  </si>
  <si>
    <t>VARIACIONES MENSUALES MENSUALES</t>
  </si>
  <si>
    <t>Ventas mensuales</t>
  </si>
  <si>
    <t>Utilidad mensual</t>
  </si>
  <si>
    <t>TOTAL</t>
  </si>
  <si>
    <t>CASA AURA</t>
  </si>
  <si>
    <t>CASA MODA</t>
  </si>
  <si>
    <t>CASA MILÁ</t>
  </si>
  <si>
    <t>CASA PEUMA</t>
  </si>
  <si>
    <t>Gastos directos =</t>
  </si>
  <si>
    <t>ONLINE</t>
  </si>
  <si>
    <t>PUCON</t>
  </si>
  <si>
    <t>Q</t>
  </si>
  <si>
    <t>Venta neta</t>
  </si>
  <si>
    <t>Gastos</t>
  </si>
  <si>
    <t>Tienda</t>
  </si>
  <si>
    <t>GaGastosstos</t>
  </si>
  <si>
    <t>RESULTADO DE TIENDAS  a la fecha</t>
  </si>
  <si>
    <t>VENTAS CASAMODA</t>
  </si>
  <si>
    <t>%Ventas</t>
  </si>
  <si>
    <t>Ventas Netas ($)</t>
  </si>
  <si>
    <t>Costo Producto ($)</t>
  </si>
  <si>
    <t>Gastos Tiendas ($)</t>
  </si>
  <si>
    <t>Resultado Directo ($)</t>
  </si>
  <si>
    <t>Res Directo/Ventas</t>
  </si>
  <si>
    <t>Suma de Q</t>
  </si>
  <si>
    <t>OnLIne</t>
  </si>
  <si>
    <t>PARQUE ARAUCO</t>
  </si>
  <si>
    <t>VIÑA MALL MARINA</t>
  </si>
  <si>
    <t>VITACURA</t>
  </si>
  <si>
    <t>Casa Moda</t>
  </si>
  <si>
    <t>Amaia Beige</t>
  </si>
  <si>
    <t>Casa Aura</t>
  </si>
  <si>
    <t>Ankara</t>
  </si>
  <si>
    <t>Casa Milá</t>
  </si>
  <si>
    <t>Arizona Pants Azul</t>
  </si>
  <si>
    <t>Pucón</t>
  </si>
  <si>
    <t>Arizona Pants Black</t>
  </si>
  <si>
    <t>TOTALES</t>
  </si>
  <si>
    <t>Arizona Pants Naranjo</t>
  </si>
  <si>
    <t>veces</t>
  </si>
  <si>
    <t>Aruba</t>
  </si>
  <si>
    <t>Atenas M</t>
  </si>
  <si>
    <t>Atenas S</t>
  </si>
  <si>
    <t>Bahamas Beige 1</t>
  </si>
  <si>
    <t>Bahamas Blanca</t>
  </si>
  <si>
    <t>Bahamas Blanco</t>
  </si>
  <si>
    <t>Bahamas Negro</t>
  </si>
  <si>
    <t>Bahamas Negro short</t>
  </si>
  <si>
    <t>Bali Beige</t>
  </si>
  <si>
    <t>Bali Blanca</t>
  </si>
  <si>
    <t>Bali Negra</t>
  </si>
  <si>
    <t>Bali Terracota</t>
  </si>
  <si>
    <t>Bali Verde</t>
  </si>
  <si>
    <t>Barcelona Pants 34</t>
  </si>
  <si>
    <t>Barcelona Pants 36</t>
  </si>
  <si>
    <t>Barcelona Pants 38</t>
  </si>
  <si>
    <t>Barcelona Pants 40</t>
  </si>
  <si>
    <t>Blusa Marie L</t>
  </si>
  <si>
    <t>Blusa Marie M</t>
  </si>
  <si>
    <t>Blusa Marie S</t>
  </si>
  <si>
    <t>Blusa Paraíso</t>
  </si>
  <si>
    <t>Blusón Marga</t>
  </si>
  <si>
    <t>Body Sevilla</t>
  </si>
  <si>
    <t>Bondi Blanco</t>
  </si>
  <si>
    <t>Bondi Brillos Black</t>
  </si>
  <si>
    <t>Bondi Gold</t>
  </si>
  <si>
    <t>Bondi Negro</t>
  </si>
  <si>
    <t>Bondi Neige</t>
  </si>
  <si>
    <t>Bondi Silver</t>
  </si>
  <si>
    <t>Boston Beige</t>
  </si>
  <si>
    <t>Boston Beige (NUEVO)</t>
  </si>
  <si>
    <t>Boston Black (NUEVO)</t>
  </si>
  <si>
    <t>Boston Green (NUEVO)</t>
  </si>
  <si>
    <t>Brillos Black</t>
  </si>
  <si>
    <t>Budapest Pants Azul 32</t>
  </si>
  <si>
    <t>Budapest Pants Azul 34</t>
  </si>
  <si>
    <t>Budapest Pants Azul 36</t>
  </si>
  <si>
    <t>Budapest Pants Azul 38</t>
  </si>
  <si>
    <t>Budapest Pants Azul 40</t>
  </si>
  <si>
    <t>Budapest Pants Azul 42</t>
  </si>
  <si>
    <t>Budapest Pants Beige 34</t>
  </si>
  <si>
    <t>Budapest Pants Beige 36</t>
  </si>
  <si>
    <t>Budapest Pants Beige 38</t>
  </si>
  <si>
    <t>Budapest Pants Beige 40</t>
  </si>
  <si>
    <t>Budapest Pants Beige 42</t>
  </si>
  <si>
    <t>Budapest Pants gris 32</t>
  </si>
  <si>
    <t>Budapest Pants gris 34</t>
  </si>
  <si>
    <t>Budapest Pants gris 36</t>
  </si>
  <si>
    <t>Budapest Pants gris 38</t>
  </si>
  <si>
    <t>Budapest Pants gris 40</t>
  </si>
  <si>
    <t>Budapest Pants gris 42</t>
  </si>
  <si>
    <t>Budapest Pants Negro Oscuro 32</t>
  </si>
  <si>
    <t>Budapest Pants Negro Oscuro 34</t>
  </si>
  <si>
    <t>Budapest Pants Negro Oscuro 36</t>
  </si>
  <si>
    <t>Budapest Pants Negro Oscuro 38</t>
  </si>
  <si>
    <t>Budapest Pants Negro Oscuro 40</t>
  </si>
  <si>
    <t>Budapest Pants Negro Oscuro 42</t>
  </si>
  <si>
    <t>Cadiz</t>
  </si>
  <si>
    <t>Caledonia (espalda rebajada)</t>
  </si>
  <si>
    <t>Capri Lila Talla Unica</t>
  </si>
  <si>
    <t>Capri Negro talla única</t>
  </si>
  <si>
    <t>Capri Pants 32</t>
  </si>
  <si>
    <t>Capri Pants Ecocuero 34</t>
  </si>
  <si>
    <t>Capri Pants Ecocuero 36</t>
  </si>
  <si>
    <t>Capri Pants Ecocuero 38</t>
  </si>
  <si>
    <t>Capri Pants Ecocuero 40</t>
  </si>
  <si>
    <t>Capri Pants Silver 34</t>
  </si>
  <si>
    <t>Capri Pants Silver 36</t>
  </si>
  <si>
    <t>Capri Pants Silver 38</t>
  </si>
  <si>
    <t>Capri Pants Silver 40</t>
  </si>
  <si>
    <t>Dakota Brown</t>
  </si>
  <si>
    <t>Denver Beige</t>
  </si>
  <si>
    <t>Denver Black</t>
  </si>
  <si>
    <t>Emma Marfil</t>
  </si>
  <si>
    <t>Gili Negra</t>
  </si>
  <si>
    <t>Kenia 1</t>
  </si>
  <si>
    <t>Kia Black</t>
  </si>
  <si>
    <t>Kia Verde</t>
  </si>
  <si>
    <t>Laia Negra</t>
  </si>
  <si>
    <t>Lisboa Negro</t>
  </si>
  <si>
    <t>London Stripes Azul</t>
  </si>
  <si>
    <t>London Stripes Beige</t>
  </si>
  <si>
    <t>London Stripes Negro</t>
  </si>
  <si>
    <t>London Stripes Verde</t>
  </si>
  <si>
    <t>Madeira Pants Beige</t>
  </si>
  <si>
    <t>Madeira Pants Negro</t>
  </si>
  <si>
    <t>Magnolia Blanco</t>
  </si>
  <si>
    <t>Magnolia Marfil</t>
  </si>
  <si>
    <t>Magnolia Negro Lino</t>
  </si>
  <si>
    <t>Mai Beige</t>
  </si>
  <si>
    <t>Mai Blanco</t>
  </si>
  <si>
    <t>Mai Negro</t>
  </si>
  <si>
    <t>Málaga 2 mangas</t>
  </si>
  <si>
    <t>Maldivas Pants 32</t>
  </si>
  <si>
    <t>Maldivas Pants 34</t>
  </si>
  <si>
    <t>Maldivas Pants 36</t>
  </si>
  <si>
    <t>Maldivas Pants 38</t>
  </si>
  <si>
    <t>Maldivas Pants 40</t>
  </si>
  <si>
    <t>Maldivas Pants 42</t>
  </si>
  <si>
    <t>Mallorca Pants 36</t>
  </si>
  <si>
    <t>Mallorca Pants 38</t>
  </si>
  <si>
    <t>Mallorca Pants 40</t>
  </si>
  <si>
    <t>Mallorca Pants 42</t>
  </si>
  <si>
    <t>Malta Celeste</t>
  </si>
  <si>
    <t>Malta Coral</t>
  </si>
  <si>
    <t>Malta Fucsia</t>
  </si>
  <si>
    <t>Malta Negro</t>
  </si>
  <si>
    <t>Manhattan S (cuadrillé)</t>
  </si>
  <si>
    <t>Marie Black</t>
  </si>
  <si>
    <t>Mia Black</t>
  </si>
  <si>
    <t>Mia White</t>
  </si>
  <si>
    <t>Mila Fucsia</t>
  </si>
  <si>
    <t>Minishort Ibiza L</t>
  </si>
  <si>
    <t>Minishort Ibiza M</t>
  </si>
  <si>
    <t>Minishort Ibiza S</t>
  </si>
  <si>
    <t>Minishort Mali Beige</t>
  </si>
  <si>
    <t>Minishort Mali Blanco</t>
  </si>
  <si>
    <t>Minishort Mali Negro</t>
  </si>
  <si>
    <t>Minishort Praga Ecocuero L</t>
  </si>
  <si>
    <t>Minishort Praga Ecocuero M</t>
  </si>
  <si>
    <t>Minishort Praga Ecocuero S</t>
  </si>
  <si>
    <t>Nala Blanco</t>
  </si>
  <si>
    <t>Nala Fucsia</t>
  </si>
  <si>
    <t>Nala Negro</t>
  </si>
  <si>
    <t>Namibia Pants Negro 36</t>
  </si>
  <si>
    <t>Nina Blanco</t>
  </si>
  <si>
    <t>Nina Naranjo</t>
  </si>
  <si>
    <t>Nina Negro</t>
  </si>
  <si>
    <t>Oporto Square</t>
  </si>
  <si>
    <t>Palermo Pants Black 36</t>
  </si>
  <si>
    <t>Palermo Pants Black 38</t>
  </si>
  <si>
    <t>Palermo Pants White 36</t>
  </si>
  <si>
    <t>Pants Marfil 34</t>
  </si>
  <si>
    <t>Pants Marfil 36</t>
  </si>
  <si>
    <t>Pants Marfil 38</t>
  </si>
  <si>
    <t>Pants Marfil 40</t>
  </si>
  <si>
    <t>Praia Blanca</t>
  </si>
  <si>
    <t>Praia Negra</t>
  </si>
  <si>
    <t>Recife</t>
  </si>
  <si>
    <t>Santorini Gris Claro</t>
  </si>
  <si>
    <t>Segovia</t>
  </si>
  <si>
    <t>Short Cádiz Verde Oliva M</t>
  </si>
  <si>
    <t>Toledo Café</t>
  </si>
  <si>
    <t>Toledo fucsia</t>
  </si>
  <si>
    <t>Toledo Negro</t>
  </si>
  <si>
    <t>Toronto Pants 34</t>
  </si>
  <si>
    <t>Toronto Pants 36</t>
  </si>
  <si>
    <t>Toronto Pants 38</t>
  </si>
  <si>
    <t>Toronto Pants 40</t>
  </si>
  <si>
    <t>Toronto Pants 42</t>
  </si>
  <si>
    <t>Varadero Pants Beige 36</t>
  </si>
  <si>
    <t>Varadero Pants Beige 38</t>
  </si>
  <si>
    <t>Varadero Pants Beige 40</t>
  </si>
  <si>
    <t>Varadero Pants Beige 42</t>
  </si>
  <si>
    <t>Varadero Pants Black 34</t>
  </si>
  <si>
    <t>Varadero Pants Black 36</t>
  </si>
  <si>
    <t>Varadero Pants Black 38</t>
  </si>
  <si>
    <t>Varadero Pants Black 40</t>
  </si>
  <si>
    <t>Varadero Pants Black 42</t>
  </si>
  <si>
    <t>Varadero Pants Celeste 38</t>
  </si>
  <si>
    <t>Varadero Pants Celeste 42</t>
  </si>
  <si>
    <t>Varadero Pants Gris Oscuro 36</t>
  </si>
  <si>
    <t>Varadero Pants Gris Oscuro 42</t>
  </si>
  <si>
    <t>Venecia beige</t>
  </si>
  <si>
    <t>Venecia negro</t>
  </si>
  <si>
    <t>Venecia white</t>
  </si>
  <si>
    <t>Versalles Beige</t>
  </si>
  <si>
    <t>Versalles Black</t>
  </si>
  <si>
    <t>Viena 1</t>
  </si>
  <si>
    <t>Suma de Débito</t>
  </si>
  <si>
    <t>Suma de Crédito</t>
  </si>
  <si>
    <t>Alaia blanca</t>
  </si>
  <si>
    <t>Alaia Terracota</t>
  </si>
  <si>
    <t>Alaia verde</t>
  </si>
  <si>
    <t>Alaska (negro)</t>
  </si>
  <si>
    <t>Antonella</t>
  </si>
  <si>
    <t>Bahamas Print</t>
  </si>
  <si>
    <t>Bahamas Verde Agua</t>
  </si>
  <si>
    <t>Bahamas Verde Musgo</t>
  </si>
  <si>
    <t>Barcelona 34</t>
  </si>
  <si>
    <t>Barcelona 36</t>
  </si>
  <si>
    <t>Barcelona 38</t>
  </si>
  <si>
    <t>Barcelona 40</t>
  </si>
  <si>
    <t>Barcelona Rayo 36</t>
  </si>
  <si>
    <t>Berlin  M manga larga puntitos</t>
  </si>
  <si>
    <t>Boston Black</t>
  </si>
  <si>
    <t>Boston Green</t>
  </si>
  <si>
    <t>Boston Terracota</t>
  </si>
  <si>
    <t>Boston White</t>
  </si>
  <si>
    <t>Budapest Pants 32</t>
  </si>
  <si>
    <t>Budapest Pants 34</t>
  </si>
  <si>
    <t>Budapest Pants 36</t>
  </si>
  <si>
    <t>Budapest Pants 38</t>
  </si>
  <si>
    <t>Budapest Pants 40</t>
  </si>
  <si>
    <t>Budapest Pants 42</t>
  </si>
  <si>
    <t xml:space="preserve">Budapest Pants llight 34 </t>
  </si>
  <si>
    <t>Budapest Pants llight 36</t>
  </si>
  <si>
    <t>Budapest Pants llight 38</t>
  </si>
  <si>
    <t>Budapest Pants llight 40</t>
  </si>
  <si>
    <t>caledonia</t>
  </si>
  <si>
    <t>Capri Arena Talla Unica</t>
  </si>
  <si>
    <t>Capri lila S</t>
  </si>
  <si>
    <t>Capri negro S</t>
  </si>
  <si>
    <t>Cardigan Zambia blanco</t>
  </si>
  <si>
    <t>Cardigan Zambia Café</t>
  </si>
  <si>
    <t>Cardigan Zambia Gris</t>
  </si>
  <si>
    <t>Cardigan Zambia negro</t>
  </si>
  <si>
    <t>Clarissa Blanca</t>
  </si>
  <si>
    <t>Congo Beige</t>
  </si>
  <si>
    <t>Congo Negro</t>
  </si>
  <si>
    <t>Galicia Pants 34</t>
  </si>
  <si>
    <t>Galicia Pants Celeste 34</t>
  </si>
  <si>
    <t>Galicia pants celeste 36</t>
  </si>
  <si>
    <t>Galicia pants celeste 38</t>
  </si>
  <si>
    <t>Galicia Pants Celeste 40</t>
  </si>
  <si>
    <t>Galicia pants negro 36</t>
  </si>
  <si>
    <t>Galicia pants negro 38</t>
  </si>
  <si>
    <t>Galicia Pants Negro 40</t>
  </si>
  <si>
    <t>Gili Blanco</t>
  </si>
  <si>
    <t>Gili Negro</t>
  </si>
  <si>
    <t>GInebra arena</t>
  </si>
  <si>
    <t>Ginebra blanco</t>
  </si>
  <si>
    <t>GInebra lila</t>
  </si>
  <si>
    <t>Ginebra negro</t>
  </si>
  <si>
    <t>GInebra verde</t>
  </si>
  <si>
    <t>Kala</t>
  </si>
  <si>
    <t>Lino azul S</t>
  </si>
  <si>
    <t>Lino blanco L</t>
  </si>
  <si>
    <t>Lino blanco M</t>
  </si>
  <si>
    <t>Lino blanco S</t>
  </si>
  <si>
    <t>Lino lila M</t>
  </si>
  <si>
    <t>Lino mostaza M</t>
  </si>
  <si>
    <t>Lino Mostaza S</t>
  </si>
  <si>
    <t>Lino S</t>
  </si>
  <si>
    <t>Lino verde pistacho S</t>
  </si>
  <si>
    <t>Lisboa Gris</t>
  </si>
  <si>
    <t>London Stripes</t>
  </si>
  <si>
    <t>Maldivas Azul L</t>
  </si>
  <si>
    <t>Maldivas Azul S</t>
  </si>
  <si>
    <t>Maldivas Blanca L</t>
  </si>
  <si>
    <t>Maldivas Blanca M</t>
  </si>
  <si>
    <t>Maldivas Gris L</t>
  </si>
  <si>
    <t>Maldivas Gris M</t>
  </si>
  <si>
    <t>Maldivas Gris S</t>
  </si>
  <si>
    <t>Maxi gris</t>
  </si>
  <si>
    <t>Maxi Negra</t>
  </si>
  <si>
    <t>Maxi Taupé</t>
  </si>
  <si>
    <t>Milan gris</t>
  </si>
  <si>
    <t>Milan negro</t>
  </si>
  <si>
    <t>Moscú</t>
  </si>
  <si>
    <t>Moscú café</t>
  </si>
  <si>
    <t>Mozambique Pants 38</t>
  </si>
  <si>
    <t>Mozambique Pants beige 36</t>
  </si>
  <si>
    <t>Mozambique Pants beige 38</t>
  </si>
  <si>
    <t>Roatan  M</t>
  </si>
  <si>
    <t>Roatan S</t>
  </si>
  <si>
    <t>Ruanda</t>
  </si>
  <si>
    <t>Sandy</t>
  </si>
  <si>
    <t>Soho</t>
  </si>
  <si>
    <t>Tarragona Dorado</t>
  </si>
  <si>
    <t>Tarragona Negro</t>
  </si>
  <si>
    <t>Toledo blanca S</t>
  </si>
  <si>
    <t>Toledo negra M</t>
  </si>
  <si>
    <t>Toledo negra S</t>
  </si>
  <si>
    <t>Top Creta M</t>
  </si>
  <si>
    <t>Top Creta S</t>
  </si>
  <si>
    <t>Top Mallorca M</t>
  </si>
  <si>
    <t>Top Mallorca S</t>
  </si>
  <si>
    <t>Top palermo  negra S</t>
  </si>
  <si>
    <t>Top palermo blanca S</t>
  </si>
  <si>
    <t>TOP Palermo negra M</t>
  </si>
  <si>
    <t>Top Pipa blanca M</t>
  </si>
  <si>
    <t>Top Pipa negra M</t>
  </si>
  <si>
    <t>Top Santorini Blanco</t>
  </si>
  <si>
    <t>Top Santorini negro</t>
  </si>
  <si>
    <t>Top segovia arena M</t>
  </si>
  <si>
    <t>Top segovia lila M</t>
  </si>
  <si>
    <t>Top segovia negra M</t>
  </si>
  <si>
    <t>Top segovia verde M</t>
  </si>
  <si>
    <t>Top Valencia M</t>
  </si>
  <si>
    <t>Top Valencia S</t>
  </si>
  <si>
    <t>TOP Varadero blanco</t>
  </si>
  <si>
    <t>TOP Varadero Lila</t>
  </si>
  <si>
    <t>Top Varadero negro</t>
  </si>
  <si>
    <t>Versalles Bicolor</t>
  </si>
  <si>
    <t>Vuelos verde intermedio</t>
  </si>
  <si>
    <t>INVENTARIO PRODUCTOS BORANGORA</t>
  </si>
  <si>
    <t>Valor costo neto IVA</t>
  </si>
  <si>
    <t>Mia</t>
  </si>
  <si>
    <t>BP3058U</t>
  </si>
  <si>
    <t>TOP</t>
  </si>
  <si>
    <t>INGRESADOS</t>
  </si>
  <si>
    <t>Ingresados</t>
  </si>
  <si>
    <t>AJUSTE</t>
  </si>
  <si>
    <t>Valor Inventario</t>
  </si>
  <si>
    <t>Vendidos</t>
  </si>
  <si>
    <t>Ajuste</t>
  </si>
  <si>
    <t>COSTO</t>
  </si>
  <si>
    <t>Stock</t>
  </si>
  <si>
    <t>Coment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</si>
</sst>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#,"/>
    <numFmt numFmtId="165" formatCode="_-* #,##0_-;\-* #,##0_-;_-* &quot;-&quot;??_-;_-@_-"/>
    <numFmt numFmtId="166" formatCode="_-* #,##0_-;\-* #,##0_-;_-* &quot;-&quot;_-;_-@_-"/>
    <numFmt numFmtId="167" formatCode="_-* #,##0.00_-;\-* #,##0.00_-;_-* &quot;-&quot;_-;_-@_-"/>
    <numFmt numFmtId="168" formatCode="0.0%"/>
    <numFmt numFmtId="169" formatCode="_-* #,##0.0_-;\-* #,##0.0_-;_-* &quot;-&quot;??_-;_-@_-"/>
    <numFmt numFmtId="170" formatCode="#,##0.00_ ;\-#,##0.00\ "/>
    <numFmt numFmtId="171" formatCode="_-* #,##0.0_-;\-* #,##0.0_-;_-* &quot;-&quot;_-;_-@_-"/>
    <numFmt numFmtId="172" formatCode="_-* #,##0.00_-;\-* #,##0.00_-;_-* &quot;-&quot;??_-;_-@_-"/>
    <numFmt numFmtId="173" formatCode="yyyy\-mm\-dd"/>
  </numFmts>
  <fonts count="8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</font>
    <font>
      <b/>
      <sz val="12"/>
      <name val="Calibri"/>
      <family val="2"/>
    </font>
    <font>
      <sz val="12"/>
      <color indexed="10"/>
      <name val="Calibri"/>
      <family val="2"/>
    </font>
    <font>
      <sz val="12"/>
      <color indexed="48"/>
      <name val="Calibri"/>
      <family val="2"/>
    </font>
    <font>
      <b/>
      <sz val="12"/>
      <color indexed="10"/>
      <name val="Calibri"/>
      <family val="2"/>
    </font>
    <font>
      <sz val="14"/>
      <color indexed="10"/>
      <name val="Calibri"/>
      <family val="2"/>
    </font>
    <font>
      <u/>
      <sz val="10"/>
      <color indexed="12"/>
      <name val="Arial"/>
      <family val="2"/>
    </font>
    <font>
      <u/>
      <sz val="12"/>
      <color indexed="12"/>
      <name val="Calibri"/>
      <family val="2"/>
    </font>
    <font>
      <b/>
      <sz val="11"/>
      <color rgb="FFFA7D00"/>
      <name val="Calibri"/>
      <family val="2"/>
      <scheme val="minor"/>
    </font>
    <font>
      <sz val="10"/>
      <color indexed="8"/>
      <name val="Arial"/>
      <family val="2"/>
    </font>
    <font>
      <b/>
      <sz val="14"/>
      <color indexed="4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3" tint="0.3999755851924192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indexed="8"/>
      <name val="Calibri"/>
      <family val="2"/>
    </font>
    <font>
      <b/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Arial"/>
      <family val="2"/>
    </font>
    <font>
      <b/>
      <sz val="14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indexed="48"/>
      <name val="Calibri"/>
      <family val="2"/>
    </font>
    <font>
      <b/>
      <i/>
      <sz val="11"/>
      <color rgb="FFFF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 Light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8"/>
      <name val="Calibri Light"/>
      <family val="2"/>
    </font>
    <font>
      <b/>
      <sz val="9"/>
      <name val="Calibri Light"/>
      <family val="2"/>
    </font>
    <font>
      <sz val="9"/>
      <name val="Calibri Light"/>
      <family val="2"/>
    </font>
    <font>
      <b/>
      <i/>
      <sz val="9"/>
      <name val="Calibri Light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6"/>
      <color theme="4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2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2F2F2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8E1FF"/>
        <bgColor indexed="0"/>
      </patternFill>
    </fill>
    <fill>
      <patternFill patternType="solid">
        <fgColor rgb="FFC8E1FF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1F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rgb="FFC0C0C0"/>
      </patternFill>
    </fill>
    <fill>
      <patternFill patternType="solid">
        <fgColor theme="3" tint="0.79998168889431442"/>
        <bgColor rgb="FFC0C0C0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9"/>
      </bottom>
      <diagonal/>
    </border>
    <border>
      <left style="thin">
        <color indexed="64"/>
      </left>
      <right/>
      <top/>
      <bottom style="double">
        <color indexed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9"/>
      </bottom>
      <diagonal/>
    </border>
    <border>
      <left/>
      <right style="medium">
        <color indexed="64"/>
      </right>
      <top style="medium">
        <color indexed="64"/>
      </top>
      <bottom style="double">
        <color indexed="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Dash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1"/>
      </bottom>
      <diagonal/>
    </border>
    <border>
      <left/>
      <right style="medium">
        <color indexed="64"/>
      </right>
      <top style="medium">
        <color indexed="64"/>
      </top>
      <bottom style="double">
        <color indexed="61"/>
      </bottom>
      <diagonal/>
    </border>
    <border>
      <left style="medium">
        <color indexed="64"/>
      </left>
      <right style="medium">
        <color indexed="64"/>
      </right>
      <top style="double">
        <color indexed="6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double">
        <color indexed="61"/>
      </bottom>
      <diagonal/>
    </border>
    <border>
      <left style="medium">
        <color indexed="64"/>
      </left>
      <right style="medium">
        <color indexed="64"/>
      </right>
      <top style="double">
        <color indexed="61"/>
      </top>
      <bottom style="double">
        <color indexed="61"/>
      </bottom>
      <diagonal/>
    </border>
    <border>
      <left/>
      <right style="medium">
        <color indexed="64"/>
      </right>
      <top style="double">
        <color indexed="61"/>
      </top>
      <bottom style="double">
        <color indexed="6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1"/>
      </top>
      <bottom style="double">
        <color theme="5"/>
      </bottom>
      <diagonal/>
    </border>
    <border>
      <left style="medium">
        <color indexed="64"/>
      </left>
      <right style="medium">
        <color indexed="64"/>
      </right>
      <top/>
      <bottom style="double">
        <color theme="5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indexed="64"/>
      </right>
      <top style="thin">
        <color rgb="FFFF0000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23" fillId="0" borderId="0"/>
    <xf numFmtId="0" fontId="28" fillId="0" borderId="0"/>
    <xf numFmtId="166" fontId="28" fillId="0" borderId="0"/>
    <xf numFmtId="0" fontId="10" fillId="0" borderId="0">
      <alignment vertical="top"/>
      <protection locked="0"/>
    </xf>
    <xf numFmtId="172" fontId="28" fillId="0" borderId="0"/>
    <xf numFmtId="0" fontId="12" fillId="6" borderId="65"/>
    <xf numFmtId="0" fontId="13" fillId="0" borderId="0"/>
    <xf numFmtId="0" fontId="13" fillId="0" borderId="0"/>
    <xf numFmtId="9" fontId="28" fillId="0" borderId="0"/>
    <xf numFmtId="0" fontId="34" fillId="0" borderId="0"/>
  </cellStyleXfs>
  <cellXfs count="821">
    <xf numFmtId="0" fontId="0" fillId="0" borderId="0" xfId="0"/>
    <xf numFmtId="0" fontId="4" fillId="0" borderId="16" xfId="0" applyFont="1" applyBorder="1" applyAlignment="1">
      <alignment horizontal="left"/>
    </xf>
    <xf numFmtId="0" fontId="4" fillId="0" borderId="20" xfId="0" applyFont="1" applyBorder="1"/>
    <xf numFmtId="3" fontId="4" fillId="0" borderId="15" xfId="0" applyNumberFormat="1" applyFont="1" applyBorder="1" applyProtection="1">
      <protection locked="0"/>
    </xf>
    <xf numFmtId="3" fontId="4" fillId="4" borderId="10" xfId="0" applyNumberFormat="1" applyFont="1" applyFill="1" applyBorder="1"/>
    <xf numFmtId="0" fontId="4" fillId="0" borderId="0" xfId="0" applyFont="1" applyProtection="1">
      <protection locked="0"/>
    </xf>
    <xf numFmtId="0" fontId="4" fillId="0" borderId="21" xfId="0" applyFont="1" applyBorder="1" applyAlignment="1">
      <alignment horizontal="left"/>
    </xf>
    <xf numFmtId="3" fontId="4" fillId="0" borderId="22" xfId="0" applyNumberFormat="1" applyFont="1" applyBorder="1"/>
    <xf numFmtId="3" fontId="4" fillId="0" borderId="23" xfId="0" applyNumberFormat="1" applyFont="1" applyBorder="1" applyProtection="1">
      <protection locked="0"/>
    </xf>
    <xf numFmtId="0" fontId="4" fillId="3" borderId="24" xfId="0" applyFont="1" applyFill="1" applyBorder="1" applyAlignment="1">
      <alignment horizontal="left"/>
    </xf>
    <xf numFmtId="0" fontId="5" fillId="3" borderId="25" xfId="0" applyFont="1" applyFill="1" applyBorder="1"/>
    <xf numFmtId="3" fontId="4" fillId="3" borderId="3" xfId="0" applyNumberFormat="1" applyFont="1" applyFill="1" applyBorder="1"/>
    <xf numFmtId="3" fontId="4" fillId="3" borderId="26" xfId="0" applyNumberFormat="1" applyFont="1" applyFill="1" applyBorder="1"/>
    <xf numFmtId="0" fontId="4" fillId="0" borderId="17" xfId="0" applyFont="1" applyBorder="1" applyAlignment="1">
      <alignment horizontal="left"/>
    </xf>
    <xf numFmtId="3" fontId="4" fillId="0" borderId="19" xfId="0" applyNumberFormat="1" applyFont="1" applyBorder="1"/>
    <xf numFmtId="3" fontId="4" fillId="0" borderId="27" xfId="0" applyNumberFormat="1" applyFont="1" applyBorder="1" applyProtection="1">
      <protection locked="0"/>
    </xf>
    <xf numFmtId="3" fontId="4" fillId="4" borderId="28" xfId="0" applyNumberFormat="1" applyFont="1" applyFill="1" applyBorder="1"/>
    <xf numFmtId="3" fontId="4" fillId="0" borderId="30" xfId="0" applyNumberFormat="1" applyFont="1" applyBorder="1" applyProtection="1">
      <protection locked="0"/>
    </xf>
    <xf numFmtId="3" fontId="4" fillId="4" borderId="31" xfId="0" applyNumberFormat="1" applyFont="1" applyFill="1" applyBorder="1"/>
    <xf numFmtId="0" fontId="4" fillId="0" borderId="32" xfId="0" applyFont="1" applyBorder="1" applyAlignment="1">
      <alignment horizontal="left"/>
    </xf>
    <xf numFmtId="0" fontId="4" fillId="0" borderId="33" xfId="0" applyFont="1" applyBorder="1"/>
    <xf numFmtId="3" fontId="4" fillId="0" borderId="34" xfId="0" applyNumberFormat="1" applyFont="1" applyBorder="1" applyProtection="1">
      <protection locked="0"/>
    </xf>
    <xf numFmtId="3" fontId="4" fillId="4" borderId="35" xfId="0" applyNumberFormat="1" applyFont="1" applyFill="1" applyBorder="1"/>
    <xf numFmtId="3" fontId="4" fillId="3" borderId="36" xfId="0" applyNumberFormat="1" applyFont="1" applyFill="1" applyBorder="1" applyAlignment="1">
      <alignment horizontal="left"/>
    </xf>
    <xf numFmtId="0" fontId="5" fillId="3" borderId="36" xfId="0" applyFont="1" applyFill="1" applyBorder="1"/>
    <xf numFmtId="0" fontId="4" fillId="0" borderId="37" xfId="0" applyFont="1" applyBorder="1"/>
    <xf numFmtId="0" fontId="4" fillId="0" borderId="29" xfId="0" applyFont="1" applyBorder="1" applyAlignment="1">
      <alignment horizontal="left"/>
    </xf>
    <xf numFmtId="3" fontId="4" fillId="0" borderId="38" xfId="0" applyNumberFormat="1" applyFont="1" applyBorder="1"/>
    <xf numFmtId="3" fontId="4" fillId="0" borderId="32" xfId="0" applyNumberFormat="1" applyFont="1" applyBorder="1" applyAlignment="1">
      <alignment horizontal="left"/>
    </xf>
    <xf numFmtId="0" fontId="4" fillId="0" borderId="39" xfId="0" applyFont="1" applyBorder="1"/>
    <xf numFmtId="3" fontId="4" fillId="0" borderId="39" xfId="0" applyNumberFormat="1" applyFont="1" applyBorder="1"/>
    <xf numFmtId="3" fontId="4" fillId="3" borderId="3" xfId="0" applyNumberFormat="1" applyFont="1" applyFill="1" applyBorder="1" applyAlignment="1">
      <alignment horizontal="left"/>
    </xf>
    <xf numFmtId="3" fontId="4" fillId="0" borderId="41" xfId="0" applyNumberFormat="1" applyFont="1" applyBorder="1" applyAlignment="1">
      <alignment horizontal="left"/>
    </xf>
    <xf numFmtId="0" fontId="4" fillId="0" borderId="42" xfId="0" applyFont="1" applyBorder="1"/>
    <xf numFmtId="3" fontId="6" fillId="0" borderId="43" xfId="0" applyNumberFormat="1" applyFont="1" applyBorder="1"/>
    <xf numFmtId="3" fontId="6" fillId="4" borderId="31" xfId="0" applyNumberFormat="1" applyFont="1" applyFill="1" applyBorder="1"/>
    <xf numFmtId="3" fontId="4" fillId="5" borderId="44" xfId="0" applyNumberFormat="1" applyFont="1" applyFill="1" applyBorder="1" applyAlignment="1">
      <alignment horizontal="left"/>
    </xf>
    <xf numFmtId="0" fontId="5" fillId="5" borderId="45" xfId="0" applyFont="1" applyFill="1" applyBorder="1"/>
    <xf numFmtId="3" fontId="4" fillId="5" borderId="46" xfId="0" applyNumberFormat="1" applyFont="1" applyFill="1" applyBorder="1"/>
    <xf numFmtId="3" fontId="4" fillId="5" borderId="47" xfId="0" applyNumberFormat="1" applyFont="1" applyFill="1" applyBorder="1"/>
    <xf numFmtId="3" fontId="4" fillId="3" borderId="12" xfId="0" applyNumberFormat="1" applyFont="1" applyFill="1" applyBorder="1" applyAlignment="1">
      <alignment horizontal="left"/>
    </xf>
    <xf numFmtId="0" fontId="5" fillId="3" borderId="18" xfId="0" applyFont="1" applyFill="1" applyBorder="1"/>
    <xf numFmtId="3" fontId="4" fillId="3" borderId="2" xfId="0" applyNumberFormat="1" applyFont="1" applyFill="1" applyBorder="1"/>
    <xf numFmtId="3" fontId="4" fillId="3" borderId="4" xfId="0" applyNumberFormat="1" applyFont="1" applyFill="1" applyBorder="1"/>
    <xf numFmtId="0" fontId="4" fillId="5" borderId="24" xfId="0" applyFont="1" applyFill="1" applyBorder="1" applyAlignment="1">
      <alignment horizontal="left"/>
    </xf>
    <xf numFmtId="3" fontId="5" fillId="5" borderId="40" xfId="0" applyNumberFormat="1" applyFont="1" applyFill="1" applyBorder="1"/>
    <xf numFmtId="3" fontId="4" fillId="5" borderId="3" xfId="0" applyNumberFormat="1" applyFont="1" applyFill="1" applyBorder="1"/>
    <xf numFmtId="3" fontId="4" fillId="5" borderId="26" xfId="0" applyNumberFormat="1" applyFont="1" applyFill="1" applyBorder="1"/>
    <xf numFmtId="0" fontId="5" fillId="3" borderId="40" xfId="0" applyFont="1" applyFill="1" applyBorder="1"/>
    <xf numFmtId="3" fontId="4" fillId="0" borderId="6" xfId="0" applyNumberFormat="1" applyFont="1" applyBorder="1" applyProtection="1">
      <protection locked="0"/>
    </xf>
    <xf numFmtId="3" fontId="4" fillId="5" borderId="48" xfId="0" applyNumberFormat="1" applyFont="1" applyFill="1" applyBorder="1" applyAlignment="1">
      <alignment horizontal="left"/>
    </xf>
    <xf numFmtId="0" fontId="5" fillId="5" borderId="49" xfId="0" applyFont="1" applyFill="1" applyBorder="1"/>
    <xf numFmtId="3" fontId="4" fillId="5" borderId="50" xfId="0" applyNumberFormat="1" applyFont="1" applyFill="1" applyBorder="1"/>
    <xf numFmtId="3" fontId="4" fillId="5" borderId="51" xfId="0" applyNumberFormat="1" applyFont="1" applyFill="1" applyBorder="1"/>
    <xf numFmtId="0" fontId="4" fillId="2" borderId="5" xfId="0" applyFont="1" applyFill="1" applyBorder="1" applyAlignment="1">
      <alignment horizontal="left"/>
    </xf>
    <xf numFmtId="3" fontId="5" fillId="2" borderId="0" xfId="0" applyNumberFormat="1" applyFont="1" applyFill="1"/>
    <xf numFmtId="3" fontId="4" fillId="2" borderId="4" xfId="0" applyNumberFormat="1" applyFont="1" applyFill="1" applyBorder="1"/>
    <xf numFmtId="0" fontId="4" fillId="0" borderId="52" xfId="0" applyFont="1" applyBorder="1" applyProtection="1">
      <protection locked="0"/>
    </xf>
    <xf numFmtId="0" fontId="4" fillId="0" borderId="0" xfId="0" applyFont="1" applyAlignment="1">
      <alignment horizontal="left"/>
    </xf>
    <xf numFmtId="3" fontId="4" fillId="0" borderId="0" xfId="0" applyNumberFormat="1" applyFont="1"/>
    <xf numFmtId="3" fontId="4" fillId="0" borderId="53" xfId="0" applyNumberFormat="1" applyFont="1" applyBorder="1"/>
    <xf numFmtId="0" fontId="4" fillId="0" borderId="54" xfId="0" applyFont="1" applyBorder="1" applyProtection="1">
      <protection locked="0"/>
    </xf>
    <xf numFmtId="0" fontId="5" fillId="5" borderId="40" xfId="0" applyFont="1" applyFill="1" applyBorder="1"/>
    <xf numFmtId="0" fontId="5" fillId="5" borderId="25" xfId="0" applyFont="1" applyFill="1" applyBorder="1"/>
    <xf numFmtId="3" fontId="4" fillId="5" borderId="36" xfId="0" applyNumberFormat="1" applyFont="1" applyFill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0" xfId="0" applyFont="1"/>
    <xf numFmtId="3" fontId="4" fillId="0" borderId="0" xfId="0" applyNumberFormat="1" applyFont="1" applyProtection="1">
      <protection locked="0"/>
    </xf>
    <xf numFmtId="3" fontId="4" fillId="0" borderId="27" xfId="0" applyNumberFormat="1" applyFont="1" applyBorder="1"/>
    <xf numFmtId="0" fontId="8" fillId="0" borderId="24" xfId="0" applyFont="1" applyBorder="1" applyAlignment="1">
      <alignment horizontal="left"/>
    </xf>
    <xf numFmtId="3" fontId="7" fillId="4" borderId="26" xfId="0" applyNumberFormat="1" applyFont="1" applyFill="1" applyBorder="1"/>
    <xf numFmtId="0" fontId="8" fillId="0" borderId="0" xfId="0" applyFont="1" applyAlignment="1" applyProtection="1">
      <alignment horizontal="left"/>
      <protection locked="0"/>
    </xf>
    <xf numFmtId="3" fontId="9" fillId="0" borderId="39" xfId="0" applyNumberFormat="1" applyFont="1" applyBorder="1"/>
    <xf numFmtId="0" fontId="4" fillId="0" borderId="0" xfId="0" applyFont="1" applyAlignment="1" applyProtection="1">
      <alignment horizontal="left"/>
      <protection locked="0"/>
    </xf>
    <xf numFmtId="164" fontId="4" fillId="0" borderId="0" xfId="0" applyNumberFormat="1" applyFont="1" applyProtection="1">
      <protection locked="0"/>
    </xf>
    <xf numFmtId="3" fontId="11" fillId="0" borderId="0" xfId="4" applyNumberFormat="1" applyFont="1" applyAlignment="1">
      <protection locked="0"/>
    </xf>
    <xf numFmtId="0" fontId="8" fillId="0" borderId="4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/>
    <xf numFmtId="3" fontId="14" fillId="0" borderId="3" xfId="0" applyNumberFormat="1" applyFont="1" applyBorder="1"/>
    <xf numFmtId="3" fontId="14" fillId="0" borderId="2" xfId="0" applyNumberFormat="1" applyFont="1" applyBorder="1"/>
    <xf numFmtId="0" fontId="15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 applyAlignment="1">
      <alignment horizontal="center"/>
    </xf>
    <xf numFmtId="165" fontId="24" fillId="0" borderId="0" xfId="5" applyNumberFormat="1" applyFont="1" applyAlignment="1">
      <alignment horizontal="center"/>
    </xf>
    <xf numFmtId="0" fontId="26" fillId="0" borderId="0" xfId="0" applyFont="1"/>
    <xf numFmtId="165" fontId="27" fillId="0" borderId="0" xfId="5" applyNumberFormat="1" applyFont="1"/>
    <xf numFmtId="0" fontId="28" fillId="0" borderId="0" xfId="0" applyFont="1"/>
    <xf numFmtId="0" fontId="28" fillId="0" borderId="5" xfId="0" applyFont="1" applyBorder="1"/>
    <xf numFmtId="0" fontId="32" fillId="0" borderId="0" xfId="0" applyFont="1"/>
    <xf numFmtId="166" fontId="22" fillId="0" borderId="0" xfId="3" applyFont="1"/>
    <xf numFmtId="0" fontId="22" fillId="11" borderId="0" xfId="0" applyFont="1" applyFill="1"/>
    <xf numFmtId="0" fontId="22" fillId="10" borderId="0" xfId="0" applyFont="1" applyFill="1" applyAlignment="1">
      <alignment horizontal="center" vertical="center"/>
    </xf>
    <xf numFmtId="166" fontId="0" fillId="0" borderId="0" xfId="3" applyFont="1"/>
    <xf numFmtId="166" fontId="24" fillId="0" borderId="0" xfId="3" applyFont="1" applyAlignment="1">
      <alignment horizontal="center"/>
    </xf>
    <xf numFmtId="166" fontId="2" fillId="0" borderId="0" xfId="3" applyFont="1"/>
    <xf numFmtId="166" fontId="3" fillId="0" borderId="0" xfId="3" applyFont="1"/>
    <xf numFmtId="0" fontId="0" fillId="0" borderId="72" xfId="0" applyBorder="1"/>
    <xf numFmtId="0" fontId="34" fillId="0" borderId="0" xfId="0" applyFont="1"/>
    <xf numFmtId="0" fontId="0" fillId="0" borderId="8" xfId="0" applyBorder="1"/>
    <xf numFmtId="0" fontId="20" fillId="10" borderId="79" xfId="0" applyFont="1" applyFill="1" applyBorder="1" applyAlignment="1">
      <alignment horizontal="center" vertical="center"/>
    </xf>
    <xf numFmtId="0" fontId="0" fillId="0" borderId="13" xfId="0" applyBorder="1"/>
    <xf numFmtId="166" fontId="28" fillId="0" borderId="0" xfId="3"/>
    <xf numFmtId="0" fontId="1" fillId="0" borderId="5" xfId="0" applyFont="1" applyBorder="1"/>
    <xf numFmtId="0" fontId="1" fillId="0" borderId="36" xfId="0" applyFont="1" applyBorder="1"/>
    <xf numFmtId="0" fontId="1" fillId="0" borderId="9" xfId="0" applyFont="1" applyBorder="1"/>
    <xf numFmtId="0" fontId="39" fillId="2" borderId="40" xfId="2" applyFont="1" applyFill="1" applyBorder="1" applyAlignment="1">
      <alignment wrapText="1"/>
    </xf>
    <xf numFmtId="0" fontId="40" fillId="0" borderId="67" xfId="2" applyFont="1" applyBorder="1" applyAlignment="1">
      <alignment wrapText="1"/>
    </xf>
    <xf numFmtId="0" fontId="40" fillId="2" borderId="67" xfId="2" applyFont="1" applyFill="1" applyBorder="1" applyAlignment="1">
      <alignment wrapText="1"/>
    </xf>
    <xf numFmtId="0" fontId="39" fillId="8" borderId="67" xfId="2" applyFont="1" applyFill="1" applyBorder="1" applyAlignment="1">
      <alignment wrapText="1"/>
    </xf>
    <xf numFmtId="0" fontId="40" fillId="0" borderId="14" xfId="2" applyFont="1" applyBorder="1"/>
    <xf numFmtId="0" fontId="39" fillId="8" borderId="73" xfId="2" applyFont="1" applyFill="1" applyBorder="1" applyAlignment="1">
      <alignment wrapText="1"/>
    </xf>
    <xf numFmtId="0" fontId="39" fillId="9" borderId="68" xfId="2" applyFont="1" applyFill="1" applyBorder="1" applyAlignment="1">
      <alignment wrapText="1"/>
    </xf>
    <xf numFmtId="0" fontId="20" fillId="0" borderId="0" xfId="0" applyFont="1"/>
    <xf numFmtId="0" fontId="28" fillId="0" borderId="0" xfId="0" applyFont="1" applyAlignment="1">
      <alignment horizontal="center"/>
    </xf>
    <xf numFmtId="165" fontId="21" fillId="0" borderId="0" xfId="0" applyNumberFormat="1" applyFont="1"/>
    <xf numFmtId="0" fontId="0" fillId="0" borderId="69" xfId="0" applyBorder="1"/>
    <xf numFmtId="0" fontId="28" fillId="0" borderId="74" xfId="0" applyFont="1" applyBorder="1"/>
    <xf numFmtId="0" fontId="32" fillId="0" borderId="5" xfId="0" applyFont="1" applyBorder="1"/>
    <xf numFmtId="0" fontId="28" fillId="0" borderId="7" xfId="0" applyFont="1" applyBorder="1"/>
    <xf numFmtId="0" fontId="39" fillId="2" borderId="42" xfId="2" applyFont="1" applyFill="1" applyBorder="1" applyAlignment="1">
      <alignment wrapText="1"/>
    </xf>
    <xf numFmtId="3" fontId="4" fillId="0" borderId="82" xfId="0" applyNumberFormat="1" applyFont="1" applyBorder="1" applyAlignment="1">
      <alignment horizontal="left"/>
    </xf>
    <xf numFmtId="0" fontId="4" fillId="0" borderId="86" xfId="0" applyFont="1" applyBorder="1"/>
    <xf numFmtId="3" fontId="4" fillId="0" borderId="87" xfId="0" applyNumberFormat="1" applyFont="1" applyBorder="1" applyProtection="1">
      <protection locked="0"/>
    </xf>
    <xf numFmtId="3" fontId="4" fillId="0" borderId="88" xfId="0" applyNumberFormat="1" applyFont="1" applyBorder="1" applyAlignment="1">
      <alignment horizontal="left"/>
    </xf>
    <xf numFmtId="0" fontId="4" fillId="0" borderId="89" xfId="0" applyFont="1" applyBorder="1"/>
    <xf numFmtId="3" fontId="4" fillId="0" borderId="90" xfId="0" applyNumberFormat="1" applyFont="1" applyBorder="1" applyProtection="1">
      <protection locked="0"/>
    </xf>
    <xf numFmtId="0" fontId="4" fillId="0" borderId="68" xfId="0" applyFont="1" applyBorder="1"/>
    <xf numFmtId="0" fontId="4" fillId="0" borderId="67" xfId="0" applyFont="1" applyBorder="1"/>
    <xf numFmtId="3" fontId="4" fillId="0" borderId="83" xfId="0" applyNumberFormat="1" applyFont="1" applyBorder="1" applyAlignment="1">
      <alignment horizontal="left"/>
    </xf>
    <xf numFmtId="3" fontId="4" fillId="0" borderId="91" xfId="0" applyNumberFormat="1" applyFont="1" applyBorder="1" applyProtection="1">
      <protection locked="0"/>
    </xf>
    <xf numFmtId="3" fontId="4" fillId="3" borderId="84" xfId="0" applyNumberFormat="1" applyFont="1" applyFill="1" applyBorder="1" applyAlignment="1">
      <alignment horizontal="left"/>
    </xf>
    <xf numFmtId="3" fontId="4" fillId="5" borderId="84" xfId="0" applyNumberFormat="1" applyFont="1" applyFill="1" applyBorder="1" applyAlignment="1">
      <alignment horizontal="left"/>
    </xf>
    <xf numFmtId="49" fontId="41" fillId="0" borderId="0" xfId="0" applyNumberFormat="1" applyFont="1"/>
    <xf numFmtId="0" fontId="40" fillId="0" borderId="39" xfId="2" applyFont="1" applyBorder="1" applyAlignment="1">
      <alignment wrapText="1"/>
    </xf>
    <xf numFmtId="0" fontId="39" fillId="8" borderId="68" xfId="2" applyFont="1" applyFill="1" applyBorder="1" applyAlignment="1">
      <alignment wrapText="1"/>
    </xf>
    <xf numFmtId="0" fontId="40" fillId="8" borderId="67" xfId="2" applyFont="1" applyFill="1" applyBorder="1" applyAlignment="1">
      <alignment wrapText="1"/>
    </xf>
    <xf numFmtId="0" fontId="40" fillId="2" borderId="67" xfId="2" applyFont="1" applyFill="1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166" fontId="18" fillId="0" borderId="0" xfId="3" applyFont="1" applyAlignment="1">
      <alignment horizontal="center" vertical="center"/>
    </xf>
    <xf numFmtId="3" fontId="8" fillId="0" borderId="0" xfId="0" applyNumberFormat="1" applyFont="1" applyAlignment="1" applyProtection="1">
      <alignment horizontal="right"/>
      <protection locked="0"/>
    </xf>
    <xf numFmtId="0" fontId="3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/>
    <xf numFmtId="166" fontId="28" fillId="0" borderId="0" xfId="3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166" fontId="0" fillId="0" borderId="0" xfId="0" applyNumberFormat="1"/>
    <xf numFmtId="166" fontId="3" fillId="12" borderId="0" xfId="3" applyFont="1" applyFill="1"/>
    <xf numFmtId="49" fontId="41" fillId="0" borderId="67" xfId="0" applyNumberFormat="1" applyFont="1" applyBorder="1"/>
    <xf numFmtId="0" fontId="3" fillId="0" borderId="0" xfId="0" applyFont="1" applyAlignment="1">
      <alignment horizontal="center" vertical="center"/>
    </xf>
    <xf numFmtId="9" fontId="0" fillId="0" borderId="0" xfId="9" applyFont="1"/>
    <xf numFmtId="49" fontId="16" fillId="0" borderId="0" xfId="0" applyNumberFormat="1" applyFont="1" applyAlignment="1">
      <alignment horizontal="center" vertical="center"/>
    </xf>
    <xf numFmtId="166" fontId="28" fillId="8" borderId="70" xfId="3" applyFill="1" applyBorder="1"/>
    <xf numFmtId="9" fontId="4" fillId="0" borderId="0" xfId="0" applyNumberFormat="1" applyFont="1" applyProtection="1">
      <protection locked="0"/>
    </xf>
    <xf numFmtId="0" fontId="0" fillId="0" borderId="89" xfId="0" applyBorder="1"/>
    <xf numFmtId="0" fontId="0" fillId="0" borderId="0" xfId="0" applyAlignment="1">
      <alignment horizontal="right"/>
    </xf>
    <xf numFmtId="0" fontId="0" fillId="0" borderId="94" xfId="0" applyBorder="1"/>
    <xf numFmtId="0" fontId="3" fillId="0" borderId="0" xfId="0" applyFont="1" applyAlignment="1">
      <alignment horizontal="right"/>
    </xf>
    <xf numFmtId="0" fontId="45" fillId="19" borderId="0" xfId="0" applyFont="1" applyFill="1"/>
    <xf numFmtId="0" fontId="0" fillId="0" borderId="8" xfId="0" applyBorder="1" applyAlignment="1">
      <alignment horizontal="right"/>
    </xf>
    <xf numFmtId="3" fontId="0" fillId="0" borderId="0" xfId="0" applyNumberFormat="1"/>
    <xf numFmtId="0" fontId="33" fillId="0" borderId="0" xfId="0" applyFont="1"/>
    <xf numFmtId="0" fontId="29" fillId="0" borderId="0" xfId="0" applyFont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16" fontId="3" fillId="0" borderId="0" xfId="0" applyNumberFormat="1" applyFont="1" applyAlignment="1">
      <alignment horizontal="left"/>
    </xf>
    <xf numFmtId="0" fontId="37" fillId="0" borderId="36" xfId="0" applyFont="1" applyBorder="1" applyAlignment="1">
      <alignment horizontal="center"/>
    </xf>
    <xf numFmtId="0" fontId="0" fillId="0" borderId="72" xfId="0" applyBorder="1" applyAlignment="1">
      <alignment horizontal="left"/>
    </xf>
    <xf numFmtId="0" fontId="18" fillId="0" borderId="25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0" borderId="0" xfId="0" applyFont="1"/>
    <xf numFmtId="0" fontId="37" fillId="0" borderId="95" xfId="0" applyFont="1" applyBorder="1" applyAlignment="1">
      <alignment horizontal="left"/>
    </xf>
    <xf numFmtId="0" fontId="18" fillId="0" borderId="0" xfId="0" applyFont="1" applyAlignment="1">
      <alignment horizontal="center"/>
    </xf>
    <xf numFmtId="166" fontId="34" fillId="0" borderId="0" xfId="3" applyFont="1"/>
    <xf numFmtId="0" fontId="34" fillId="0" borderId="0" xfId="0" applyFont="1" applyAlignment="1">
      <alignment horizontal="left"/>
    </xf>
    <xf numFmtId="166" fontId="34" fillId="0" borderId="0" xfId="3" applyFont="1" applyAlignment="1">
      <alignment horizontal="right"/>
    </xf>
    <xf numFmtId="3" fontId="34" fillId="0" borderId="8" xfId="0" applyNumberFormat="1" applyFont="1" applyBorder="1"/>
    <xf numFmtId="0" fontId="34" fillId="0" borderId="8" xfId="0" applyFont="1" applyBorder="1"/>
    <xf numFmtId="3" fontId="34" fillId="0" borderId="0" xfId="0" applyNumberFormat="1" applyFont="1"/>
    <xf numFmtId="0" fontId="45" fillId="18" borderId="0" xfId="0" applyFont="1" applyFill="1" applyAlignment="1">
      <alignment horizontal="center"/>
    </xf>
    <xf numFmtId="0" fontId="48" fillId="0" borderId="70" xfId="0" applyFont="1" applyBorder="1"/>
    <xf numFmtId="166" fontId="28" fillId="0" borderId="0" xfId="0" applyNumberFormat="1" applyFont="1"/>
    <xf numFmtId="0" fontId="45" fillId="19" borderId="0" xfId="0" applyFont="1" applyFill="1" applyAlignment="1">
      <alignment horizontal="center"/>
    </xf>
    <xf numFmtId="0" fontId="45" fillId="19" borderId="0" xfId="0" applyFont="1" applyFill="1" applyAlignment="1">
      <alignment horizontal="left"/>
    </xf>
    <xf numFmtId="14" fontId="0" fillId="0" borderId="0" xfId="0" applyNumberFormat="1" applyAlignment="1">
      <alignment horizontal="center"/>
    </xf>
    <xf numFmtId="0" fontId="44" fillId="8" borderId="3" xfId="0" applyFont="1" applyFill="1" applyBorder="1" applyAlignment="1">
      <alignment horizontal="center"/>
    </xf>
    <xf numFmtId="166" fontId="18" fillId="8" borderId="10" xfId="3" applyFont="1" applyFill="1" applyBorder="1" applyAlignment="1">
      <alignment vertical="center"/>
    </xf>
    <xf numFmtId="166" fontId="0" fillId="0" borderId="14" xfId="3" applyFont="1" applyBorder="1"/>
    <xf numFmtId="17" fontId="3" fillId="0" borderId="0" xfId="3" applyNumberFormat="1" applyFont="1" applyAlignment="1">
      <alignment horizontal="center"/>
    </xf>
    <xf numFmtId="3" fontId="7" fillId="0" borderId="25" xfId="0" applyNumberFormat="1" applyFont="1" applyBorder="1"/>
    <xf numFmtId="0" fontId="4" fillId="0" borderId="74" xfId="0" applyFont="1" applyBorder="1" applyProtection="1">
      <protection locked="0"/>
    </xf>
    <xf numFmtId="9" fontId="5" fillId="0" borderId="94" xfId="9" applyFont="1" applyBorder="1" applyProtection="1">
      <protection locked="0"/>
    </xf>
    <xf numFmtId="0" fontId="4" fillId="0" borderId="72" xfId="0" applyFont="1" applyBorder="1" applyProtection="1">
      <protection locked="0"/>
    </xf>
    <xf numFmtId="166" fontId="4" fillId="0" borderId="89" xfId="3" applyFont="1" applyBorder="1" applyProtection="1">
      <protection locked="0"/>
    </xf>
    <xf numFmtId="166" fontId="4" fillId="0" borderId="94" xfId="3" applyFont="1" applyBorder="1" applyProtection="1">
      <protection locked="0"/>
    </xf>
    <xf numFmtId="49" fontId="0" fillId="0" borderId="0" xfId="0" applyNumberFormat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6" fontId="3" fillId="0" borderId="8" xfId="3" applyFont="1" applyBorder="1" applyAlignment="1">
      <alignment horizontal="center"/>
    </xf>
    <xf numFmtId="166" fontId="3" fillId="0" borderId="8" xfId="3" applyFont="1" applyBorder="1"/>
    <xf numFmtId="166" fontId="3" fillId="0" borderId="4" xfId="3" applyFont="1" applyBorder="1" applyAlignment="1">
      <alignment horizontal="center"/>
    </xf>
    <xf numFmtId="0" fontId="49" fillId="2" borderId="84" xfId="2" applyFont="1" applyFill="1" applyBorder="1" applyAlignment="1">
      <alignment horizontal="center" wrapText="1"/>
    </xf>
    <xf numFmtId="0" fontId="49" fillId="2" borderId="83" xfId="2" applyFont="1" applyFill="1" applyBorder="1" applyAlignment="1">
      <alignment horizontal="center"/>
    </xf>
    <xf numFmtId="0" fontId="49" fillId="0" borderId="83" xfId="2" applyFont="1" applyBorder="1" applyAlignment="1">
      <alignment horizontal="center"/>
    </xf>
    <xf numFmtId="0" fontId="49" fillId="0" borderId="83" xfId="2" applyFont="1" applyBorder="1" applyAlignment="1">
      <alignment horizontal="center" vertical="center"/>
    </xf>
    <xf numFmtId="0" fontId="49" fillId="0" borderId="5" xfId="2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49" fillId="9" borderId="83" xfId="2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66" fontId="44" fillId="0" borderId="0" xfId="3" applyFont="1"/>
    <xf numFmtId="3" fontId="50" fillId="0" borderId="3" xfId="0" applyNumberFormat="1" applyFont="1" applyBorder="1"/>
    <xf numFmtId="166" fontId="20" fillId="0" borderId="8" xfId="0" applyNumberFormat="1" applyFont="1" applyBorder="1"/>
    <xf numFmtId="0" fontId="0" fillId="11" borderId="0" xfId="0" applyFill="1"/>
    <xf numFmtId="0" fontId="40" fillId="0" borderId="67" xfId="2" applyFont="1" applyBorder="1" applyAlignment="1">
      <alignment vertical="center" wrapText="1"/>
    </xf>
    <xf numFmtId="0" fontId="49" fillId="2" borderId="83" xfId="2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14" fontId="35" fillId="0" borderId="0" xfId="0" applyNumberFormat="1" applyFont="1" applyAlignment="1">
      <alignment vertical="center"/>
    </xf>
    <xf numFmtId="166" fontId="0" fillId="0" borderId="0" xfId="3" applyFont="1" applyAlignment="1">
      <alignment horizontal="center"/>
    </xf>
    <xf numFmtId="166" fontId="28" fillId="0" borderId="13" xfId="3" applyBorder="1"/>
    <xf numFmtId="166" fontId="28" fillId="0" borderId="14" xfId="3" applyBorder="1"/>
    <xf numFmtId="166" fontId="28" fillId="8" borderId="69" xfId="3" applyFill="1" applyBorder="1"/>
    <xf numFmtId="166" fontId="28" fillId="8" borderId="71" xfId="3" applyFill="1" applyBorder="1"/>
    <xf numFmtId="166" fontId="3" fillId="8" borderId="69" xfId="3" applyFont="1" applyFill="1" applyBorder="1"/>
    <xf numFmtId="166" fontId="35" fillId="0" borderId="14" xfId="3" applyFont="1" applyBorder="1"/>
    <xf numFmtId="166" fontId="35" fillId="8" borderId="71" xfId="3" applyFont="1" applyFill="1" applyBorder="1"/>
    <xf numFmtId="166" fontId="21" fillId="0" borderId="14" xfId="3" applyFont="1" applyBorder="1"/>
    <xf numFmtId="166" fontId="21" fillId="8" borderId="71" xfId="3" applyFont="1" applyFill="1" applyBorder="1"/>
    <xf numFmtId="166" fontId="0" fillId="8" borderId="71" xfId="3" applyFont="1" applyFill="1" applyBorder="1"/>
    <xf numFmtId="166" fontId="35" fillId="0" borderId="13" xfId="3" applyFont="1" applyBorder="1"/>
    <xf numFmtId="166" fontId="35" fillId="8" borderId="69" xfId="3" applyFont="1" applyFill="1" applyBorder="1"/>
    <xf numFmtId="166" fontId="0" fillId="8" borderId="70" xfId="3" applyFont="1" applyFill="1" applyBorder="1"/>
    <xf numFmtId="166" fontId="28" fillId="9" borderId="70" xfId="3" applyFill="1" applyBorder="1"/>
    <xf numFmtId="166" fontId="28" fillId="9" borderId="71" xfId="3" applyFill="1" applyBorder="1"/>
    <xf numFmtId="166" fontId="21" fillId="9" borderId="69" xfId="3" applyFont="1" applyFill="1" applyBorder="1"/>
    <xf numFmtId="166" fontId="32" fillId="0" borderId="42" xfId="3" applyFont="1" applyBorder="1"/>
    <xf numFmtId="166" fontId="32" fillId="0" borderId="85" xfId="3" applyFont="1" applyBorder="1"/>
    <xf numFmtId="166" fontId="35" fillId="0" borderId="0" xfId="3" applyFont="1"/>
    <xf numFmtId="166" fontId="45" fillId="19" borderId="0" xfId="3" applyFont="1" applyFill="1" applyAlignment="1">
      <alignment horizontal="center"/>
    </xf>
    <xf numFmtId="0" fontId="52" fillId="0" borderId="56" xfId="0" applyFont="1" applyBorder="1"/>
    <xf numFmtId="3" fontId="52" fillId="0" borderId="55" xfId="0" applyNumberFormat="1" applyFont="1" applyBorder="1"/>
    <xf numFmtId="166" fontId="20" fillId="0" borderId="95" xfId="3" applyFont="1" applyBorder="1"/>
    <xf numFmtId="166" fontId="34" fillId="0" borderId="0" xfId="3" applyFont="1" applyAlignment="1">
      <alignment vertical="center"/>
    </xf>
    <xf numFmtId="166" fontId="20" fillId="0" borderId="96" xfId="3" applyFont="1" applyBorder="1"/>
    <xf numFmtId="166" fontId="28" fillId="0" borderId="6" xfId="3" applyBorder="1"/>
    <xf numFmtId="166" fontId="28" fillId="8" borderId="92" xfId="3" applyFill="1" applyBorder="1"/>
    <xf numFmtId="166" fontId="20" fillId="8" borderId="71" xfId="3" applyFont="1" applyFill="1" applyBorder="1"/>
    <xf numFmtId="166" fontId="1" fillId="9" borderId="69" xfId="3" applyFont="1" applyFill="1" applyBorder="1"/>
    <xf numFmtId="166" fontId="21" fillId="9" borderId="92" xfId="3" applyFont="1" applyFill="1" applyBorder="1"/>
    <xf numFmtId="166" fontId="3" fillId="0" borderId="42" xfId="3" applyFont="1" applyBorder="1"/>
    <xf numFmtId="166" fontId="3" fillId="0" borderId="93" xfId="3" applyFont="1" applyBorder="1"/>
    <xf numFmtId="166" fontId="21" fillId="0" borderId="0" xfId="0" applyNumberFormat="1" applyFont="1"/>
    <xf numFmtId="0" fontId="20" fillId="0" borderId="69" xfId="0" applyFont="1" applyBorder="1" applyAlignment="1">
      <alignment horizontal="center"/>
    </xf>
    <xf numFmtId="3" fontId="20" fillId="0" borderId="71" xfId="0" applyNumberFormat="1" applyFont="1" applyBorder="1"/>
    <xf numFmtId="166" fontId="20" fillId="0" borderId="70" xfId="0" applyNumberFormat="1" applyFont="1" applyBorder="1"/>
    <xf numFmtId="166" fontId="20" fillId="0" borderId="71" xfId="0" applyNumberFormat="1" applyFont="1" applyBorder="1"/>
    <xf numFmtId="17" fontId="0" fillId="0" borderId="0" xfId="3" applyNumberFormat="1" applyFont="1"/>
    <xf numFmtId="3" fontId="4" fillId="0" borderId="90" xfId="0" applyNumberFormat="1" applyFont="1" applyBorder="1"/>
    <xf numFmtId="0" fontId="28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36" xfId="5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4" fontId="35" fillId="0" borderId="0" xfId="0" applyNumberFormat="1" applyFont="1"/>
    <xf numFmtId="14" fontId="23" fillId="0" borderId="0" xfId="0" applyNumberFormat="1" applyFont="1"/>
    <xf numFmtId="0" fontId="23" fillId="0" borderId="0" xfId="0" applyFont="1" applyAlignment="1">
      <alignment vertical="center"/>
    </xf>
    <xf numFmtId="49" fontId="3" fillId="0" borderId="5" xfId="5" quotePrefix="1" applyNumberFormat="1" applyFont="1" applyBorder="1" applyAlignment="1">
      <alignment horizontal="center" vertical="center"/>
    </xf>
    <xf numFmtId="49" fontId="46" fillId="0" borderId="83" xfId="2" quotePrefix="1" applyNumberFormat="1" applyFont="1" applyBorder="1" applyAlignment="1">
      <alignment horizontal="center"/>
    </xf>
    <xf numFmtId="49" fontId="46" fillId="0" borderId="5" xfId="2" quotePrefix="1" applyNumberFormat="1" applyFont="1" applyBorder="1" applyAlignment="1">
      <alignment horizontal="center"/>
    </xf>
    <xf numFmtId="1" fontId="3" fillId="0" borderId="5" xfId="5" quotePrefix="1" applyNumberFormat="1" applyFont="1" applyBorder="1" applyAlignment="1">
      <alignment horizontal="center" vertical="center"/>
    </xf>
    <xf numFmtId="166" fontId="23" fillId="0" borderId="0" xfId="3" applyFont="1"/>
    <xf numFmtId="0" fontId="40" fillId="2" borderId="67" xfId="2" applyFont="1" applyFill="1" applyBorder="1" applyAlignment="1">
      <alignment horizontal="left" vertical="center" wrapText="1"/>
    </xf>
    <xf numFmtId="166" fontId="28" fillId="0" borderId="0" xfId="0" applyNumberFormat="1" applyFont="1" applyAlignment="1">
      <alignment horizontal="center"/>
    </xf>
    <xf numFmtId="3" fontId="23" fillId="0" borderId="0" xfId="0" applyNumberFormat="1" applyFont="1"/>
    <xf numFmtId="0" fontId="12" fillId="0" borderId="0" xfId="6" applyFill="1" applyBorder="1" applyProtection="1">
      <protection locked="0"/>
    </xf>
    <xf numFmtId="0" fontId="20" fillId="15" borderId="70" xfId="0" applyFont="1" applyFill="1" applyBorder="1" applyAlignment="1">
      <alignment horizontal="center"/>
    </xf>
    <xf numFmtId="0" fontId="20" fillId="15" borderId="0" xfId="0" applyFont="1" applyFill="1" applyAlignment="1">
      <alignment horizontal="center"/>
    </xf>
    <xf numFmtId="166" fontId="16" fillId="0" borderId="0" xfId="3" applyFont="1" applyAlignment="1">
      <alignment horizontal="center" vertical="center"/>
    </xf>
    <xf numFmtId="14" fontId="16" fillId="13" borderId="0" xfId="0" applyNumberFormat="1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166" fontId="16" fillId="13" borderId="0" xfId="3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0" fontId="17" fillId="7" borderId="0" xfId="8" applyFont="1" applyFill="1" applyAlignment="1">
      <alignment horizontal="center"/>
    </xf>
    <xf numFmtId="49" fontId="17" fillId="7" borderId="0" xfId="8" applyNumberFormat="1" applyFont="1" applyFill="1" applyAlignment="1">
      <alignment horizontal="center"/>
    </xf>
    <xf numFmtId="166" fontId="17" fillId="7" borderId="0" xfId="3" applyFont="1" applyFill="1" applyAlignment="1">
      <alignment horizontal="center"/>
    </xf>
    <xf numFmtId="166" fontId="16" fillId="0" borderId="0" xfId="3" applyFont="1"/>
    <xf numFmtId="0" fontId="0" fillId="13" borderId="0" xfId="0" applyFill="1" applyAlignment="1">
      <alignment horizontal="center" vertical="center"/>
    </xf>
    <xf numFmtId="166" fontId="0" fillId="13" borderId="0" xfId="3" applyFont="1" applyFill="1" applyAlignment="1">
      <alignment horizontal="center" vertical="center"/>
    </xf>
    <xf numFmtId="166" fontId="3" fillId="0" borderId="0" xfId="3" applyFont="1" applyAlignment="1">
      <alignment horizontal="center"/>
    </xf>
    <xf numFmtId="166" fontId="16" fillId="0" borderId="76" xfId="3" applyFont="1" applyBorder="1"/>
    <xf numFmtId="166" fontId="16" fillId="0" borderId="5" xfId="3" applyFont="1" applyBorder="1"/>
    <xf numFmtId="166" fontId="3" fillId="0" borderId="6" xfId="3" applyFont="1" applyBorder="1" applyAlignment="1">
      <alignment horizontal="center"/>
    </xf>
    <xf numFmtId="166" fontId="16" fillId="0" borderId="36" xfId="3" applyFont="1" applyBorder="1"/>
    <xf numFmtId="166" fontId="16" fillId="0" borderId="26" xfId="3" applyFont="1" applyBorder="1"/>
    <xf numFmtId="166" fontId="20" fillId="0" borderId="25" xfId="3" applyFont="1" applyBorder="1"/>
    <xf numFmtId="166" fontId="0" fillId="15" borderId="7" xfId="3" applyFont="1" applyFill="1" applyBorder="1"/>
    <xf numFmtId="166" fontId="19" fillId="15" borderId="8" xfId="3" applyFont="1" applyFill="1" applyBorder="1" applyAlignment="1">
      <alignment horizontal="center"/>
    </xf>
    <xf numFmtId="166" fontId="19" fillId="15" borderId="4" xfId="3" applyFont="1" applyFill="1" applyBorder="1" applyAlignment="1">
      <alignment horizontal="center"/>
    </xf>
    <xf numFmtId="166" fontId="19" fillId="0" borderId="8" xfId="3" applyFont="1" applyBorder="1" applyAlignment="1">
      <alignment horizontal="center"/>
    </xf>
    <xf numFmtId="166" fontId="0" fillId="15" borderId="0" xfId="3" applyFont="1" applyFill="1" applyAlignment="1">
      <alignment horizontal="center"/>
    </xf>
    <xf numFmtId="166" fontId="1" fillId="0" borderId="0" xfId="3" applyFont="1"/>
    <xf numFmtId="9" fontId="0" fillId="0" borderId="6" xfId="9" applyFont="1" applyBorder="1" applyAlignment="1">
      <alignment horizontal="center"/>
    </xf>
    <xf numFmtId="0" fontId="3" fillId="15" borderId="36" xfId="0" applyFont="1" applyFill="1" applyBorder="1"/>
    <xf numFmtId="0" fontId="3" fillId="15" borderId="25" xfId="0" applyFont="1" applyFill="1" applyBorder="1"/>
    <xf numFmtId="166" fontId="3" fillId="15" borderId="25" xfId="3" applyFont="1" applyFill="1" applyBorder="1"/>
    <xf numFmtId="0" fontId="3" fillId="15" borderId="26" xfId="0" applyFont="1" applyFill="1" applyBorder="1" applyAlignment="1">
      <alignment horizontal="center"/>
    </xf>
    <xf numFmtId="0" fontId="34" fillId="0" borderId="5" xfId="0" applyFont="1" applyBorder="1"/>
    <xf numFmtId="0" fontId="34" fillId="15" borderId="5" xfId="0" applyFont="1" applyFill="1" applyBorder="1"/>
    <xf numFmtId="166" fontId="0" fillId="15" borderId="0" xfId="3" applyFont="1" applyFill="1"/>
    <xf numFmtId="9" fontId="0" fillId="15" borderId="6" xfId="9" applyFont="1" applyFill="1" applyBorder="1" applyAlignment="1">
      <alignment horizontal="center"/>
    </xf>
    <xf numFmtId="49" fontId="3" fillId="0" borderId="1" xfId="5" quotePrefix="1" applyNumberFormat="1" applyFont="1" applyBorder="1" applyAlignment="1">
      <alignment horizontal="center" vertical="center"/>
    </xf>
    <xf numFmtId="49" fontId="3" fillId="0" borderId="61" xfId="5" quotePrefix="1" applyNumberFormat="1" applyFont="1" applyBorder="1" applyAlignment="1">
      <alignment horizontal="center" vertical="center"/>
    </xf>
    <xf numFmtId="49" fontId="46" fillId="0" borderId="61" xfId="2" quotePrefix="1" applyNumberFormat="1" applyFont="1" applyBorder="1" applyAlignment="1">
      <alignment horizontal="center"/>
    </xf>
    <xf numFmtId="166" fontId="35" fillId="0" borderId="75" xfId="3" applyFont="1" applyBorder="1" applyAlignment="1">
      <alignment horizontal="center" vertical="center"/>
    </xf>
    <xf numFmtId="0" fontId="20" fillId="0" borderId="69" xfId="0" applyFont="1" applyBorder="1"/>
    <xf numFmtId="166" fontId="27" fillId="0" borderId="0" xfId="3" applyFont="1"/>
    <xf numFmtId="166" fontId="22" fillId="0" borderId="0" xfId="0" applyNumberFormat="1" applyFont="1"/>
    <xf numFmtId="2" fontId="22" fillId="0" borderId="0" xfId="0" applyNumberFormat="1" applyFont="1"/>
    <xf numFmtId="0" fontId="18" fillId="14" borderId="3" xfId="0" applyFont="1" applyFill="1" applyBorder="1" applyAlignment="1">
      <alignment horizontal="center" vertical="center"/>
    </xf>
    <xf numFmtId="0" fontId="18" fillId="14" borderId="36" xfId="0" applyFont="1" applyFill="1" applyBorder="1" applyAlignment="1">
      <alignment horizontal="center" vertical="center"/>
    </xf>
    <xf numFmtId="166" fontId="37" fillId="14" borderId="3" xfId="3" applyFont="1" applyFill="1" applyBorder="1" applyAlignment="1">
      <alignment horizontal="center" vertical="center"/>
    </xf>
    <xf numFmtId="166" fontId="3" fillId="8" borderId="3" xfId="3" applyFont="1" applyFill="1" applyBorder="1"/>
    <xf numFmtId="166" fontId="3" fillId="0" borderId="3" xfId="3" applyFont="1" applyBorder="1"/>
    <xf numFmtId="3" fontId="4" fillId="0" borderId="97" xfId="0" applyNumberFormat="1" applyFont="1" applyBorder="1" applyAlignment="1">
      <alignment horizontal="left"/>
    </xf>
    <xf numFmtId="0" fontId="4" fillId="0" borderId="73" xfId="0" applyFont="1" applyBorder="1"/>
    <xf numFmtId="3" fontId="4" fillId="0" borderId="98" xfId="0" applyNumberFormat="1" applyFont="1" applyBorder="1" applyProtection="1">
      <protection locked="0"/>
    </xf>
    <xf numFmtId="9" fontId="5" fillId="9" borderId="89" xfId="9" applyFont="1" applyFill="1" applyBorder="1" applyProtection="1">
      <protection locked="0"/>
    </xf>
    <xf numFmtId="3" fontId="4" fillId="4" borderId="99" xfId="0" applyNumberFormat="1" applyFont="1" applyFill="1" applyBorder="1"/>
    <xf numFmtId="3" fontId="4" fillId="4" borderId="74" xfId="0" applyNumberFormat="1" applyFont="1" applyFill="1" applyBorder="1"/>
    <xf numFmtId="3" fontId="4" fillId="3" borderId="25" xfId="0" applyNumberFormat="1" applyFont="1" applyFill="1" applyBorder="1"/>
    <xf numFmtId="3" fontId="4" fillId="4" borderId="72" xfId="0" applyNumberFormat="1" applyFont="1" applyFill="1" applyBorder="1"/>
    <xf numFmtId="3" fontId="4" fillId="4" borderId="0" xfId="0" applyNumberFormat="1" applyFont="1" applyFill="1"/>
    <xf numFmtId="0" fontId="4" fillId="9" borderId="25" xfId="0" applyFont="1" applyFill="1" applyBorder="1" applyProtection="1">
      <protection locked="0"/>
    </xf>
    <xf numFmtId="9" fontId="4" fillId="0" borderId="73" xfId="0" applyNumberFormat="1" applyFont="1" applyBorder="1" applyProtection="1">
      <protection locked="0"/>
    </xf>
    <xf numFmtId="9" fontId="4" fillId="0" borderId="73" xfId="9" applyFont="1" applyBorder="1" applyProtection="1">
      <protection locked="0"/>
    </xf>
    <xf numFmtId="9" fontId="4" fillId="15" borderId="73" xfId="9" applyFont="1" applyFill="1" applyBorder="1" applyProtection="1">
      <protection locked="0"/>
    </xf>
    <xf numFmtId="0" fontId="4" fillId="0" borderId="67" xfId="0" applyFont="1" applyBorder="1" applyAlignment="1" applyProtection="1">
      <alignment horizontal="center"/>
      <protection locked="0"/>
    </xf>
    <xf numFmtId="0" fontId="36" fillId="20" borderId="77" xfId="7" applyFont="1" applyFill="1" applyBorder="1" applyAlignment="1">
      <alignment horizontal="left"/>
    </xf>
    <xf numFmtId="0" fontId="36" fillId="20" borderId="78" xfId="7" applyFont="1" applyFill="1" applyBorder="1" applyAlignment="1">
      <alignment horizontal="left"/>
    </xf>
    <xf numFmtId="0" fontId="36" fillId="20" borderId="78" xfId="7" applyFont="1" applyFill="1" applyBorder="1" applyAlignment="1">
      <alignment horizontal="center"/>
    </xf>
    <xf numFmtId="0" fontId="38" fillId="21" borderId="25" xfId="7" applyFont="1" applyFill="1" applyBorder="1" applyAlignment="1">
      <alignment horizontal="center" vertical="center"/>
    </xf>
    <xf numFmtId="166" fontId="43" fillId="21" borderId="3" xfId="3" applyFont="1" applyFill="1" applyBorder="1" applyAlignment="1">
      <alignment horizontal="center" vertical="center"/>
    </xf>
    <xf numFmtId="1" fontId="3" fillId="0" borderId="5" xfId="5" applyNumberFormat="1" applyFont="1" applyBorder="1" applyAlignment="1">
      <alignment horizontal="center" vertical="center"/>
    </xf>
    <xf numFmtId="0" fontId="49" fillId="2" borderId="32" xfId="2" applyFont="1" applyFill="1" applyBorder="1" applyAlignment="1">
      <alignment horizontal="center" wrapText="1"/>
    </xf>
    <xf numFmtId="0" fontId="39" fillId="2" borderId="39" xfId="2" applyFont="1" applyFill="1" applyBorder="1" applyAlignment="1">
      <alignment vertical="center" wrapText="1"/>
    </xf>
    <xf numFmtId="166" fontId="30" fillId="2" borderId="26" xfId="3" applyFont="1" applyFill="1" applyBorder="1" applyAlignment="1">
      <alignment vertical="top" wrapText="1"/>
    </xf>
    <xf numFmtId="166" fontId="30" fillId="2" borderId="100" xfId="3" applyFont="1" applyFill="1" applyBorder="1" applyAlignment="1">
      <alignment vertical="top" wrapText="1"/>
    </xf>
    <xf numFmtId="166" fontId="30" fillId="2" borderId="101" xfId="3" applyFont="1" applyFill="1" applyBorder="1" applyAlignment="1">
      <alignment vertical="top" wrapText="1"/>
    </xf>
    <xf numFmtId="17" fontId="23" fillId="0" borderId="0" xfId="0" applyNumberFormat="1" applyFont="1"/>
    <xf numFmtId="3" fontId="20" fillId="0" borderId="8" xfId="0" applyNumberFormat="1" applyFont="1" applyBorder="1"/>
    <xf numFmtId="3" fontId="4" fillId="16" borderId="102" xfId="0" applyNumberFormat="1" applyFont="1" applyFill="1" applyBorder="1" applyAlignment="1">
      <alignment horizontal="left"/>
    </xf>
    <xf numFmtId="0" fontId="5" fillId="3" borderId="9" xfId="0" applyFont="1" applyFill="1" applyBorder="1"/>
    <xf numFmtId="0" fontId="4" fillId="16" borderId="67" xfId="0" applyFont="1" applyFill="1" applyBorder="1"/>
    <xf numFmtId="9" fontId="3" fillId="12" borderId="0" xfId="9" applyFont="1" applyFill="1"/>
    <xf numFmtId="9" fontId="3" fillId="0" borderId="0" xfId="9" applyFont="1"/>
    <xf numFmtId="0" fontId="56" fillId="21" borderId="3" xfId="0" applyFont="1" applyFill="1" applyBorder="1" applyAlignment="1">
      <alignment horizontal="center" vertical="center"/>
    </xf>
    <xf numFmtId="0" fontId="56" fillId="21" borderId="36" xfId="0" applyFont="1" applyFill="1" applyBorder="1" applyAlignment="1">
      <alignment horizontal="center" vertical="center"/>
    </xf>
    <xf numFmtId="0" fontId="46" fillId="21" borderId="6" xfId="0" applyFont="1" applyFill="1" applyBorder="1" applyAlignment="1">
      <alignment horizontal="center" vertical="center"/>
    </xf>
    <xf numFmtId="0" fontId="58" fillId="23" borderId="3" xfId="0" applyFont="1" applyFill="1" applyBorder="1"/>
    <xf numFmtId="17" fontId="58" fillId="23" borderId="3" xfId="0" applyNumberFormat="1" applyFont="1" applyFill="1" applyBorder="1" applyAlignment="1">
      <alignment horizontal="center"/>
    </xf>
    <xf numFmtId="0" fontId="59" fillId="0" borderId="6" xfId="0" applyFont="1" applyBorder="1"/>
    <xf numFmtId="0" fontId="57" fillId="23" borderId="57" xfId="0" applyFont="1" applyFill="1" applyBorder="1"/>
    <xf numFmtId="0" fontId="61" fillId="23" borderId="58" xfId="0" applyFont="1" applyFill="1" applyBorder="1"/>
    <xf numFmtId="0" fontId="60" fillId="0" borderId="0" xfId="0" applyFont="1"/>
    <xf numFmtId="0" fontId="61" fillId="23" borderId="63" xfId="0" applyFont="1" applyFill="1" applyBorder="1"/>
    <xf numFmtId="0" fontId="63" fillId="0" borderId="63" xfId="0" applyFont="1" applyBorder="1"/>
    <xf numFmtId="0" fontId="63" fillId="23" borderId="80" xfId="0" applyFont="1" applyFill="1" applyBorder="1"/>
    <xf numFmtId="0" fontId="60" fillId="0" borderId="61" xfId="0" applyFont="1" applyBorder="1"/>
    <xf numFmtId="0" fontId="62" fillId="0" borderId="2" xfId="0" applyFont="1" applyBorder="1"/>
    <xf numFmtId="0" fontId="61" fillId="23" borderId="3" xfId="0" applyFont="1" applyFill="1" applyBorder="1"/>
    <xf numFmtId="0" fontId="61" fillId="23" borderId="2" xfId="0" applyFont="1" applyFill="1" applyBorder="1"/>
    <xf numFmtId="0" fontId="57" fillId="23" borderId="3" xfId="0" applyFont="1" applyFill="1" applyBorder="1"/>
    <xf numFmtId="0" fontId="62" fillId="0" borderId="66" xfId="0" applyFont="1" applyBorder="1"/>
    <xf numFmtId="0" fontId="61" fillId="0" borderId="61" xfId="0" applyFont="1" applyBorder="1"/>
    <xf numFmtId="0" fontId="0" fillId="0" borderId="0" xfId="0" pivotButton="1" applyAlignment="1">
      <alignment horizontal="center" vertical="center"/>
    </xf>
    <xf numFmtId="0" fontId="62" fillId="0" borderId="6" xfId="0" applyFont="1" applyBorder="1"/>
    <xf numFmtId="166" fontId="62" fillId="0" borderId="6" xfId="3" applyFont="1" applyBorder="1"/>
    <xf numFmtId="0" fontId="62" fillId="0" borderId="0" xfId="0" applyFont="1"/>
    <xf numFmtId="166" fontId="61" fillId="23" borderId="4" xfId="3" applyFont="1" applyFill="1" applyBorder="1"/>
    <xf numFmtId="166" fontId="62" fillId="0" borderId="0" xfId="3" applyFont="1"/>
    <xf numFmtId="3" fontId="61" fillId="0" borderId="0" xfId="0" applyNumberFormat="1" applyFont="1"/>
    <xf numFmtId="17" fontId="61" fillId="23" borderId="3" xfId="0" applyNumberFormat="1" applyFont="1" applyFill="1" applyBorder="1" applyAlignment="1">
      <alignment horizontal="center"/>
    </xf>
    <xf numFmtId="0" fontId="61" fillId="23" borderId="3" xfId="0" applyFont="1" applyFill="1" applyBorder="1" applyAlignment="1">
      <alignment vertical="center"/>
    </xf>
    <xf numFmtId="166" fontId="62" fillId="0" borderId="26" xfId="3" applyFont="1" applyBorder="1" applyAlignment="1">
      <alignment horizontal="right"/>
    </xf>
    <xf numFmtId="3" fontId="61" fillId="0" borderId="26" xfId="0" applyNumberFormat="1" applyFont="1" applyBorder="1"/>
    <xf numFmtId="166" fontId="61" fillId="0" borderId="6" xfId="3" applyFont="1" applyBorder="1"/>
    <xf numFmtId="166" fontId="62" fillId="0" borderId="10" xfId="3" applyFont="1" applyBorder="1" applyAlignment="1">
      <alignment horizontal="left"/>
    </xf>
    <xf numFmtId="3" fontId="62" fillId="0" borderId="10" xfId="0" applyNumberFormat="1" applyFont="1" applyBorder="1"/>
    <xf numFmtId="3" fontId="62" fillId="0" borderId="6" xfId="0" applyNumberFormat="1" applyFont="1" applyBorder="1"/>
    <xf numFmtId="3" fontId="61" fillId="0" borderId="6" xfId="0" applyNumberFormat="1" applyFont="1" applyBorder="1"/>
    <xf numFmtId="3" fontId="61" fillId="23" borderId="4" xfId="0" applyNumberFormat="1" applyFont="1" applyFill="1" applyBorder="1"/>
    <xf numFmtId="166" fontId="64" fillId="0" borderId="61" xfId="3" applyFont="1" applyBorder="1"/>
    <xf numFmtId="166" fontId="65" fillId="23" borderId="57" xfId="3" applyFont="1" applyFill="1" applyBorder="1"/>
    <xf numFmtId="166" fontId="64" fillId="0" borderId="6" xfId="3" applyFont="1" applyBorder="1"/>
    <xf numFmtId="3" fontId="64" fillId="0" borderId="61" xfId="0" applyNumberFormat="1" applyFont="1" applyBorder="1"/>
    <xf numFmtId="3" fontId="66" fillId="0" borderId="61" xfId="0" applyNumberFormat="1" applyFont="1" applyBorder="1"/>
    <xf numFmtId="166" fontId="64" fillId="0" borderId="62" xfId="3" applyFont="1" applyBorder="1"/>
    <xf numFmtId="3" fontId="64" fillId="0" borderId="57" xfId="0" applyNumberFormat="1" applyFont="1" applyBorder="1"/>
    <xf numFmtId="166" fontId="65" fillId="23" borderId="64" xfId="3" applyFont="1" applyFill="1" applyBorder="1"/>
    <xf numFmtId="3" fontId="65" fillId="0" borderId="61" xfId="0" applyNumberFormat="1" applyFont="1" applyBorder="1"/>
    <xf numFmtId="166" fontId="65" fillId="23" borderId="26" xfId="3" applyFont="1" applyFill="1" applyBorder="1"/>
    <xf numFmtId="3" fontId="67" fillId="23" borderId="3" xfId="0" applyNumberFormat="1" applyFont="1" applyFill="1" applyBorder="1"/>
    <xf numFmtId="166" fontId="64" fillId="0" borderId="4" xfId="3" applyFont="1" applyBorder="1"/>
    <xf numFmtId="166" fontId="65" fillId="23" borderId="4" xfId="3" applyFont="1" applyFill="1" applyBorder="1"/>
    <xf numFmtId="166" fontId="3" fillId="0" borderId="0" xfId="3" applyFont="1" applyAlignment="1">
      <alignment horizontal="center" vertical="center"/>
    </xf>
    <xf numFmtId="14" fontId="3" fillId="14" borderId="0" xfId="0" applyNumberFormat="1" applyFont="1" applyFill="1" applyAlignment="1">
      <alignment vertical="center"/>
    </xf>
    <xf numFmtId="166" fontId="34" fillId="0" borderId="8" xfId="0" applyNumberFormat="1" applyFont="1" applyBorder="1"/>
    <xf numFmtId="166" fontId="28" fillId="9" borderId="69" xfId="3" applyFill="1" applyBorder="1"/>
    <xf numFmtId="166" fontId="1" fillId="9" borderId="91" xfId="3" applyFont="1" applyFill="1" applyBorder="1"/>
    <xf numFmtId="166" fontId="68" fillId="0" borderId="36" xfId="3" applyFont="1" applyBorder="1" applyAlignment="1">
      <alignment horizontal="right"/>
    </xf>
    <xf numFmtId="14" fontId="69" fillId="0" borderId="26" xfId="3" applyNumberFormat="1" applyFont="1" applyBorder="1"/>
    <xf numFmtId="0" fontId="3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4" fillId="0" borderId="0" xfId="0" applyFont="1" applyAlignment="1">
      <alignment horizontal="right" vertical="center"/>
    </xf>
    <xf numFmtId="166" fontId="55" fillId="0" borderId="3" xfId="3" applyFont="1" applyBorder="1" applyAlignment="1">
      <alignment vertical="center"/>
    </xf>
    <xf numFmtId="166" fontId="55" fillId="0" borderId="10" xfId="3" applyFont="1" applyBorder="1" applyAlignment="1">
      <alignment vertical="center"/>
    </xf>
    <xf numFmtId="166" fontId="22" fillId="0" borderId="0" xfId="3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34" fillId="0" borderId="3" xfId="0" applyFont="1" applyBorder="1" applyAlignment="1">
      <alignment vertical="center"/>
    </xf>
    <xf numFmtId="0" fontId="47" fillId="0" borderId="0" xfId="0" applyFont="1" applyAlignment="1">
      <alignment vertical="center"/>
    </xf>
    <xf numFmtId="166" fontId="55" fillId="0" borderId="10" xfId="3" applyFont="1" applyBorder="1" applyAlignment="1">
      <alignment horizontal="center" vertical="center"/>
    </xf>
    <xf numFmtId="1" fontId="18" fillId="8" borderId="76" xfId="3" applyNumberFormat="1" applyFont="1" applyFill="1" applyBorder="1" applyAlignment="1">
      <alignment horizontal="center" vertical="center"/>
    </xf>
    <xf numFmtId="1" fontId="22" fillId="11" borderId="0" xfId="0" applyNumberFormat="1" applyFont="1" applyFill="1" applyAlignment="1">
      <alignment horizontal="center"/>
    </xf>
    <xf numFmtId="1" fontId="46" fillId="21" borderId="0" xfId="0" applyNumberFormat="1" applyFont="1" applyFill="1" applyAlignment="1">
      <alignment horizontal="center" vertical="center"/>
    </xf>
    <xf numFmtId="1" fontId="22" fillId="0" borderId="0" xfId="3" applyNumberFormat="1" applyFont="1" applyAlignment="1">
      <alignment horizontal="center"/>
    </xf>
    <xf numFmtId="14" fontId="5" fillId="25" borderId="0" xfId="0" applyNumberFormat="1" applyFont="1" applyFill="1" applyProtection="1">
      <protection locked="0"/>
    </xf>
    <xf numFmtId="166" fontId="0" fillId="24" borderId="0" xfId="3" applyFont="1" applyFill="1"/>
    <xf numFmtId="2" fontId="4" fillId="0" borderId="0" xfId="0" applyNumberFormat="1" applyFont="1" applyProtection="1">
      <protection locked="0"/>
    </xf>
    <xf numFmtId="2" fontId="0" fillId="0" borderId="0" xfId="3" applyNumberFormat="1" applyFont="1" applyAlignment="1">
      <alignment horizontal="left"/>
    </xf>
    <xf numFmtId="1" fontId="0" fillId="0" borderId="0" xfId="3" applyNumberFormat="1" applyFont="1" applyAlignment="1">
      <alignment horizontal="center"/>
    </xf>
    <xf numFmtId="166" fontId="0" fillId="0" borderId="0" xfId="3" applyFont="1" applyAlignment="1">
      <alignment horizontal="left"/>
    </xf>
    <xf numFmtId="1" fontId="4" fillId="9" borderId="26" xfId="0" applyNumberFormat="1" applyFont="1" applyFill="1" applyBorder="1" applyProtection="1">
      <protection locked="0"/>
    </xf>
    <xf numFmtId="0" fontId="49" fillId="0" borderId="71" xfId="2" applyFont="1" applyBorder="1" applyAlignment="1">
      <alignment horizontal="center"/>
    </xf>
    <xf numFmtId="49" fontId="3" fillId="0" borderId="0" xfId="5" quotePrefix="1" applyNumberFormat="1" applyFont="1" applyAlignment="1">
      <alignment horizontal="center" vertical="center"/>
    </xf>
    <xf numFmtId="166" fontId="0" fillId="0" borderId="0" xfId="0" applyNumberFormat="1" applyAlignment="1">
      <alignment horizontal="left"/>
    </xf>
    <xf numFmtId="9" fontId="0" fillId="0" borderId="0" xfId="3" applyNumberFormat="1" applyFont="1"/>
    <xf numFmtId="9" fontId="4" fillId="0" borderId="0" xfId="9" applyFont="1"/>
    <xf numFmtId="9" fontId="0" fillId="0" borderId="0" xfId="0" applyNumberFormat="1" applyAlignment="1">
      <alignment horizontal="left"/>
    </xf>
    <xf numFmtId="15" fontId="27" fillId="9" borderId="0" xfId="3" applyNumberFormat="1" applyFont="1" applyFill="1"/>
    <xf numFmtId="15" fontId="3" fillId="9" borderId="0" xfId="0" applyNumberFormat="1" applyFont="1" applyFill="1" applyAlignment="1">
      <alignment horizontal="center"/>
    </xf>
    <xf numFmtId="15" fontId="53" fillId="0" borderId="0" xfId="0" applyNumberFormat="1" applyFont="1"/>
    <xf numFmtId="0" fontId="3" fillId="0" borderId="74" xfId="0" applyFont="1" applyBorder="1"/>
    <xf numFmtId="166" fontId="3" fillId="0" borderId="74" xfId="3" applyFont="1" applyBorder="1"/>
    <xf numFmtId="166" fontId="3" fillId="0" borderId="75" xfId="3" applyFont="1" applyBorder="1"/>
    <xf numFmtId="166" fontId="3" fillId="0" borderId="14" xfId="3" applyFont="1" applyBorder="1"/>
    <xf numFmtId="0" fontId="3" fillId="0" borderId="72" xfId="0" applyFont="1" applyBorder="1"/>
    <xf numFmtId="166" fontId="3" fillId="0" borderId="72" xfId="3" applyFont="1" applyBorder="1"/>
    <xf numFmtId="166" fontId="3" fillId="0" borderId="33" xfId="3" applyFont="1" applyBorder="1"/>
    <xf numFmtId="166" fontId="0" fillId="15" borderId="0" xfId="0" applyNumberFormat="1" applyFill="1"/>
    <xf numFmtId="2" fontId="3" fillId="24" borderId="69" xfId="0" applyNumberFormat="1" applyFont="1" applyFill="1" applyBorder="1" applyAlignment="1">
      <alignment horizontal="center"/>
    </xf>
    <xf numFmtId="166" fontId="3" fillId="24" borderId="71" xfId="3" applyFont="1" applyFill="1" applyBorder="1"/>
    <xf numFmtId="9" fontId="0" fillId="0" borderId="73" xfId="0" applyNumberFormat="1" applyBorder="1" applyAlignment="1">
      <alignment horizontal="center"/>
    </xf>
    <xf numFmtId="9" fontId="0" fillId="0" borderId="39" xfId="0" applyNumberFormat="1" applyBorder="1" applyAlignment="1">
      <alignment horizontal="center"/>
    </xf>
    <xf numFmtId="0" fontId="34" fillId="0" borderId="7" xfId="0" applyFont="1" applyBorder="1"/>
    <xf numFmtId="166" fontId="0" fillId="0" borderId="8" xfId="0" applyNumberFormat="1" applyBorder="1"/>
    <xf numFmtId="166" fontId="0" fillId="0" borderId="8" xfId="3" applyFont="1" applyBorder="1"/>
    <xf numFmtId="9" fontId="0" fillId="0" borderId="4" xfId="9" applyFont="1" applyBorder="1" applyAlignment="1">
      <alignment horizontal="center"/>
    </xf>
    <xf numFmtId="0" fontId="0" fillId="15" borderId="68" xfId="0" applyFill="1" applyBorder="1" applyAlignment="1">
      <alignment horizontal="center"/>
    </xf>
    <xf numFmtId="9" fontId="0" fillId="15" borderId="73" xfId="0" applyNumberFormat="1" applyFill="1" applyBorder="1" applyAlignment="1">
      <alignment horizontal="center"/>
    </xf>
    <xf numFmtId="166" fontId="20" fillId="15" borderId="0" xfId="3" applyFont="1" applyFill="1" applyAlignment="1">
      <alignment horizontal="center"/>
    </xf>
    <xf numFmtId="166" fontId="45" fillId="19" borderId="0" xfId="0" applyNumberFormat="1" applyFont="1" applyFill="1"/>
    <xf numFmtId="9" fontId="45" fillId="19" borderId="0" xfId="0" applyNumberFormat="1" applyFont="1" applyFill="1"/>
    <xf numFmtId="0" fontId="71" fillId="19" borderId="5" xfId="0" applyFont="1" applyFill="1" applyBorder="1"/>
    <xf numFmtId="166" fontId="23" fillId="0" borderId="0" xfId="3" applyFont="1" applyAlignment="1">
      <alignment vertical="center"/>
    </xf>
    <xf numFmtId="0" fontId="41" fillId="0" borderId="0" xfId="0" applyFont="1"/>
    <xf numFmtId="167" fontId="45" fillId="19" borderId="0" xfId="3" applyNumberFormat="1" applyFont="1" applyFill="1" applyAlignment="1">
      <alignment horizontal="center"/>
    </xf>
    <xf numFmtId="3" fontId="28" fillId="0" borderId="0" xfId="3" applyNumberFormat="1" applyAlignment="1">
      <alignment horizontal="center"/>
    </xf>
    <xf numFmtId="3" fontId="28" fillId="0" borderId="25" xfId="3" applyNumberFormat="1" applyBorder="1" applyAlignment="1">
      <alignment horizontal="center"/>
    </xf>
    <xf numFmtId="3" fontId="0" fillId="0" borderId="0" xfId="3" applyNumberFormat="1" applyFont="1" applyAlignment="1">
      <alignment horizontal="center"/>
    </xf>
    <xf numFmtId="3" fontId="0" fillId="0" borderId="0" xfId="3" applyNumberFormat="1" applyFont="1"/>
    <xf numFmtId="3" fontId="0" fillId="8" borderId="67" xfId="3" applyNumberFormat="1" applyFont="1" applyFill="1" applyBorder="1"/>
    <xf numFmtId="3" fontId="0" fillId="8" borderId="71" xfId="3" applyNumberFormat="1" applyFont="1" applyFill="1" applyBorder="1"/>
    <xf numFmtId="3" fontId="28" fillId="9" borderId="70" xfId="3" applyNumberFormat="1" applyFill="1" applyBorder="1"/>
    <xf numFmtId="3" fontId="28" fillId="9" borderId="0" xfId="3" applyNumberFormat="1" applyFill="1"/>
    <xf numFmtId="3" fontId="0" fillId="9" borderId="0" xfId="3" applyNumberFormat="1" applyFont="1" applyFill="1"/>
    <xf numFmtId="3" fontId="3" fillId="0" borderId="56" xfId="3" applyNumberFormat="1" applyFont="1" applyBorder="1" applyAlignment="1">
      <alignment horizontal="center"/>
    </xf>
    <xf numFmtId="3" fontId="21" fillId="0" borderId="0" xfId="3" applyNumberFormat="1" applyFont="1" applyAlignment="1">
      <alignment horizontal="center"/>
    </xf>
    <xf numFmtId="37" fontId="0" fillId="0" borderId="0" xfId="0" applyNumberFormat="1"/>
    <xf numFmtId="38" fontId="0" fillId="0" borderId="0" xfId="0" applyNumberFormat="1"/>
    <xf numFmtId="38" fontId="0" fillId="0" borderId="0" xfId="3" applyNumberFormat="1" applyFont="1"/>
    <xf numFmtId="0" fontId="3" fillId="0" borderId="0" xfId="3" applyNumberFormat="1" applyFont="1"/>
    <xf numFmtId="15" fontId="58" fillId="25" borderId="3" xfId="3" applyNumberFormat="1" applyFont="1" applyFill="1" applyBorder="1"/>
    <xf numFmtId="9" fontId="3" fillId="0" borderId="9" xfId="9" applyFont="1" applyBorder="1"/>
    <xf numFmtId="166" fontId="0" fillId="8" borderId="76" xfId="3" applyFont="1" applyFill="1" applyBorder="1"/>
    <xf numFmtId="166" fontId="0" fillId="8" borderId="10" xfId="3" applyFont="1" applyFill="1" applyBorder="1"/>
    <xf numFmtId="9" fontId="3" fillId="0" borderId="5" xfId="9" applyFont="1" applyBorder="1"/>
    <xf numFmtId="166" fontId="0" fillId="8" borderId="0" xfId="3" applyFont="1" applyFill="1"/>
    <xf numFmtId="166" fontId="0" fillId="8" borderId="6" xfId="3" applyFont="1" applyFill="1" applyBorder="1"/>
    <xf numFmtId="9" fontId="3" fillId="0" borderId="7" xfId="9" applyFont="1" applyBorder="1"/>
    <xf numFmtId="166" fontId="0" fillId="24" borderId="8" xfId="3" applyFont="1" applyFill="1" applyBorder="1"/>
    <xf numFmtId="166" fontId="0" fillId="24" borderId="4" xfId="3" applyFont="1" applyFill="1" applyBorder="1"/>
    <xf numFmtId="0" fontId="46" fillId="0" borderId="0" xfId="0" applyFont="1" applyAlignment="1">
      <alignment horizontal="center"/>
    </xf>
    <xf numFmtId="166" fontId="20" fillId="0" borderId="3" xfId="3" applyFont="1" applyBorder="1"/>
    <xf numFmtId="0" fontId="45" fillId="0" borderId="0" xfId="0" applyFont="1" applyAlignment="1">
      <alignment horizontal="center"/>
    </xf>
    <xf numFmtId="166" fontId="27" fillId="0" borderId="13" xfId="3" applyFont="1" applyBorder="1"/>
    <xf numFmtId="0" fontId="2" fillId="0" borderId="13" xfId="0" applyFont="1" applyBorder="1" applyAlignment="1">
      <alignment horizontal="left"/>
    </xf>
    <xf numFmtId="0" fontId="2" fillId="0" borderId="13" xfId="0" applyFont="1" applyBorder="1"/>
    <xf numFmtId="0" fontId="23" fillId="0" borderId="13" xfId="0" applyFont="1" applyBorder="1"/>
    <xf numFmtId="0" fontId="2" fillId="14" borderId="13" xfId="0" applyFont="1" applyFill="1" applyBorder="1" applyAlignment="1">
      <alignment horizontal="left"/>
    </xf>
    <xf numFmtId="0" fontId="2" fillId="0" borderId="67" xfId="0" applyFont="1" applyBorder="1" applyAlignment="1">
      <alignment horizontal="left" vertical="center"/>
    </xf>
    <xf numFmtId="0" fontId="2" fillId="0" borderId="13" xfId="3" applyNumberFormat="1" applyFont="1" applyBorder="1" applyAlignment="1">
      <alignment horizontal="left"/>
    </xf>
    <xf numFmtId="0" fontId="27" fillId="23" borderId="13" xfId="0" applyFont="1" applyFill="1" applyBorder="1" applyAlignment="1">
      <alignment horizontal="right"/>
    </xf>
    <xf numFmtId="167" fontId="16" fillId="0" borderId="0" xfId="3" applyNumberFormat="1" applyFont="1"/>
    <xf numFmtId="166" fontId="27" fillId="23" borderId="58" xfId="3" applyFont="1" applyFill="1" applyBorder="1"/>
    <xf numFmtId="166" fontId="2" fillId="0" borderId="61" xfId="3" applyFont="1" applyBorder="1"/>
    <xf numFmtId="166" fontId="47" fillId="0" borderId="61" xfId="3" applyFont="1" applyBorder="1"/>
    <xf numFmtId="166" fontId="2" fillId="0" borderId="57" xfId="3" applyFont="1" applyBorder="1"/>
    <xf numFmtId="166" fontId="27" fillId="23" borderId="64" xfId="3" applyFont="1" applyFill="1" applyBorder="1"/>
    <xf numFmtId="166" fontId="47" fillId="0" borderId="60" xfId="3" applyFont="1" applyBorder="1"/>
    <xf numFmtId="166" fontId="27" fillId="0" borderId="61" xfId="3" applyFont="1" applyBorder="1"/>
    <xf numFmtId="166" fontId="74" fillId="23" borderId="3" xfId="3" applyFont="1" applyFill="1" applyBorder="1"/>
    <xf numFmtId="166" fontId="58" fillId="0" borderId="0" xfId="3" applyFont="1"/>
    <xf numFmtId="166" fontId="58" fillId="0" borderId="26" xfId="3" applyFont="1" applyBorder="1"/>
    <xf numFmtId="166" fontId="2" fillId="0" borderId="2" xfId="3" applyFont="1" applyBorder="1"/>
    <xf numFmtId="165" fontId="58" fillId="0" borderId="0" xfId="5" applyNumberFormat="1" applyFont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6" fontId="27" fillId="0" borderId="103" xfId="3" applyFont="1" applyBorder="1" applyAlignment="1">
      <alignment horizontal="center" vertical="center"/>
    </xf>
    <xf numFmtId="166" fontId="27" fillId="0" borderId="104" xfId="3" applyFont="1" applyBorder="1" applyAlignment="1">
      <alignment horizontal="center" vertical="center"/>
    </xf>
    <xf numFmtId="0" fontId="59" fillId="0" borderId="60" xfId="0" applyFont="1" applyBorder="1"/>
    <xf numFmtId="0" fontId="59" fillId="0" borderId="61" xfId="0" applyFont="1" applyBorder="1"/>
    <xf numFmtId="0" fontId="59" fillId="0" borderId="57" xfId="0" applyFont="1" applyBorder="1"/>
    <xf numFmtId="0" fontId="59" fillId="0" borderId="1" xfId="0" applyFont="1" applyBorder="1" applyAlignment="1">
      <alignment horizontal="left"/>
    </xf>
    <xf numFmtId="0" fontId="58" fillId="0" borderId="61" xfId="0" applyFont="1" applyBorder="1"/>
    <xf numFmtId="0" fontId="62" fillId="0" borderId="3" xfId="0" applyFont="1" applyBorder="1" applyAlignment="1">
      <alignment horizontal="right"/>
    </xf>
    <xf numFmtId="0" fontId="59" fillId="0" borderId="2" xfId="0" applyFont="1" applyBorder="1"/>
    <xf numFmtId="3" fontId="59" fillId="0" borderId="1" xfId="0" applyNumberFormat="1" applyFont="1" applyBorder="1"/>
    <xf numFmtId="0" fontId="59" fillId="0" borderId="66" xfId="0" applyFont="1" applyBorder="1"/>
    <xf numFmtId="166" fontId="2" fillId="0" borderId="1" xfId="3" applyFont="1" applyBorder="1"/>
    <xf numFmtId="166" fontId="27" fillId="23" borderId="2" xfId="3" applyFont="1" applyFill="1" applyBorder="1"/>
    <xf numFmtId="15" fontId="27" fillId="23" borderId="26" xfId="0" applyNumberFormat="1" applyFont="1" applyFill="1" applyBorder="1" applyAlignment="1">
      <alignment horizontal="center" vertical="center"/>
    </xf>
    <xf numFmtId="165" fontId="27" fillId="0" borderId="6" xfId="5" applyNumberFormat="1" applyFont="1" applyBorder="1"/>
    <xf numFmtId="168" fontId="27" fillId="0" borderId="6" xfId="9" applyNumberFormat="1" applyFont="1" applyBorder="1"/>
    <xf numFmtId="168" fontId="27" fillId="0" borderId="35" xfId="5" applyNumberFormat="1" applyFont="1" applyBorder="1"/>
    <xf numFmtId="169" fontId="27" fillId="0" borderId="6" xfId="5" applyNumberFormat="1" applyFont="1" applyBorder="1"/>
    <xf numFmtId="166" fontId="2" fillId="0" borderId="6" xfId="3" applyFont="1" applyBorder="1"/>
    <xf numFmtId="165" fontId="27" fillId="0" borderId="35" xfId="5" applyNumberFormat="1" applyFont="1" applyBorder="1"/>
    <xf numFmtId="170" fontId="27" fillId="0" borderId="6" xfId="5" applyNumberFormat="1" applyFont="1" applyBorder="1"/>
    <xf numFmtId="170" fontId="27" fillId="0" borderId="4" xfId="5" applyNumberFormat="1" applyFont="1" applyBorder="1"/>
    <xf numFmtId="15" fontId="27" fillId="23" borderId="3" xfId="5" applyNumberFormat="1" applyFont="1" applyFill="1" applyBorder="1" applyAlignment="1">
      <alignment horizontal="center"/>
    </xf>
    <xf numFmtId="165" fontId="27" fillId="23" borderId="58" xfId="5" applyNumberFormat="1" applyFont="1" applyFill="1" applyBorder="1"/>
    <xf numFmtId="165" fontId="2" fillId="0" borderId="61" xfId="5" applyNumberFormat="1" applyFont="1" applyBorder="1"/>
    <xf numFmtId="165" fontId="2" fillId="0" borderId="57" xfId="5" applyNumberFormat="1" applyFont="1" applyBorder="1"/>
    <xf numFmtId="165" fontId="27" fillId="23" borderId="63" xfId="5" applyNumberFormat="1" applyFont="1" applyFill="1" applyBorder="1"/>
    <xf numFmtId="165" fontId="2" fillId="0" borderId="81" xfId="5" applyNumberFormat="1" applyFont="1" applyBorder="1"/>
    <xf numFmtId="165" fontId="27" fillId="0" borderId="81" xfId="5" applyNumberFormat="1" applyFont="1" applyBorder="1"/>
    <xf numFmtId="15" fontId="27" fillId="23" borderId="26" xfId="3" applyNumberFormat="1" applyFont="1" applyFill="1" applyBorder="1" applyAlignment="1">
      <alignment horizontal="center"/>
    </xf>
    <xf numFmtId="1" fontId="0" fillId="0" borderId="0" xfId="0" applyNumberFormat="1"/>
    <xf numFmtId="0" fontId="75" fillId="0" borderId="0" xfId="0" applyFont="1"/>
    <xf numFmtId="0" fontId="4" fillId="16" borderId="0" xfId="0" applyFont="1" applyFill="1"/>
    <xf numFmtId="0" fontId="3" fillId="8" borderId="0" xfId="0" applyFont="1" applyFill="1"/>
    <xf numFmtId="1" fontId="3" fillId="8" borderId="0" xfId="0" applyNumberFormat="1" applyFont="1" applyFill="1"/>
    <xf numFmtId="14" fontId="0" fillId="0" borderId="0" xfId="3" applyNumberFormat="1" applyFont="1" applyAlignment="1">
      <alignment horizontal="center"/>
    </xf>
    <xf numFmtId="0" fontId="5" fillId="8" borderId="0" xfId="0" applyFont="1" applyFill="1"/>
    <xf numFmtId="3" fontId="76" fillId="8" borderId="0" xfId="0" applyNumberFormat="1" applyFont="1" applyFill="1"/>
    <xf numFmtId="17" fontId="0" fillId="9" borderId="0" xfId="3" applyNumberFormat="1" applyFont="1" applyFill="1"/>
    <xf numFmtId="166" fontId="75" fillId="0" borderId="0" xfId="0" applyNumberFormat="1" applyFont="1"/>
    <xf numFmtId="0" fontId="0" fillId="12" borderId="9" xfId="0" applyFill="1" applyBorder="1"/>
    <xf numFmtId="166" fontId="3" fillId="12" borderId="1" xfId="3" applyFont="1" applyFill="1" applyBorder="1"/>
    <xf numFmtId="0" fontId="0" fillId="12" borderId="7" xfId="0" applyFill="1" applyBorder="1"/>
    <xf numFmtId="166" fontId="3" fillId="12" borderId="2" xfId="3" applyFont="1" applyFill="1" applyBorder="1"/>
    <xf numFmtId="1" fontId="3" fillId="8" borderId="0" xfId="3" applyNumberFormat="1" applyFont="1" applyFill="1"/>
    <xf numFmtId="37" fontId="3" fillId="0" borderId="0" xfId="3" applyNumberFormat="1" applyFont="1"/>
    <xf numFmtId="37" fontId="0" fillId="0" borderId="0" xfId="3" applyNumberFormat="1" applyFont="1"/>
    <xf numFmtId="0" fontId="45" fillId="27" borderId="0" xfId="0" applyFont="1" applyFill="1" applyAlignment="1">
      <alignment horizontal="center"/>
    </xf>
    <xf numFmtId="166" fontId="45" fillId="27" borderId="0" xfId="3" applyFont="1" applyFill="1" applyAlignment="1">
      <alignment horizontal="center"/>
    </xf>
    <xf numFmtId="0" fontId="46" fillId="9" borderId="69" xfId="0" applyFont="1" applyFill="1" applyBorder="1" applyAlignment="1">
      <alignment horizontal="right"/>
    </xf>
    <xf numFmtId="166" fontId="46" fillId="9" borderId="71" xfId="3" applyFont="1" applyFill="1" applyBorder="1" applyAlignment="1">
      <alignment horizontal="left"/>
    </xf>
    <xf numFmtId="0" fontId="0" fillId="8" borderId="0" xfId="0" applyFill="1"/>
    <xf numFmtId="37" fontId="3" fillId="8" borderId="0" xfId="3" applyNumberFormat="1" applyFont="1" applyFill="1"/>
    <xf numFmtId="3" fontId="4" fillId="3" borderId="1" xfId="0" applyNumberFormat="1" applyFont="1" applyFill="1" applyBorder="1"/>
    <xf numFmtId="0" fontId="4" fillId="0" borderId="105" xfId="0" applyFont="1" applyBorder="1" applyAlignment="1">
      <alignment horizontal="left"/>
    </xf>
    <xf numFmtId="0" fontId="4" fillId="0" borderId="106" xfId="0" applyFont="1" applyBorder="1" applyAlignment="1">
      <alignment horizontal="left"/>
    </xf>
    <xf numFmtId="0" fontId="4" fillId="3" borderId="36" xfId="0" applyFont="1" applyFill="1" applyBorder="1" applyAlignment="1">
      <alignment horizontal="left"/>
    </xf>
    <xf numFmtId="0" fontId="4" fillId="0" borderId="107" xfId="0" applyFont="1" applyBorder="1" applyAlignment="1">
      <alignment horizontal="left"/>
    </xf>
    <xf numFmtId="3" fontId="4" fillId="3" borderId="10" xfId="0" applyNumberFormat="1" applyFont="1" applyFill="1" applyBorder="1"/>
    <xf numFmtId="3" fontId="4" fillId="0" borderId="4" xfId="0" applyNumberFormat="1" applyFont="1" applyBorder="1" applyProtection="1">
      <protection locked="0"/>
    </xf>
    <xf numFmtId="0" fontId="5" fillId="3" borderId="8" xfId="0" applyFont="1" applyFill="1" applyBorder="1"/>
    <xf numFmtId="0" fontId="5" fillId="3" borderId="68" xfId="0" applyFont="1" applyFill="1" applyBorder="1"/>
    <xf numFmtId="0" fontId="5" fillId="3" borderId="0" xfId="0" applyFont="1" applyFill="1"/>
    <xf numFmtId="0" fontId="4" fillId="3" borderId="16" xfId="0" applyFont="1" applyFill="1" applyBorder="1" applyAlignment="1">
      <alignment horizontal="left"/>
    </xf>
    <xf numFmtId="0" fontId="4" fillId="3" borderId="12" xfId="0" applyFont="1" applyFill="1" applyBorder="1" applyAlignment="1">
      <alignment horizontal="left"/>
    </xf>
    <xf numFmtId="0" fontId="4" fillId="0" borderId="102" xfId="0" applyFont="1" applyBorder="1" applyAlignment="1">
      <alignment horizontal="left"/>
    </xf>
    <xf numFmtId="0" fontId="4" fillId="0" borderId="108" xfId="0" applyFont="1" applyBorder="1"/>
    <xf numFmtId="3" fontId="4" fillId="0" borderId="10" xfId="0" applyNumberFormat="1" applyFont="1" applyBorder="1" applyProtection="1">
      <protection locked="0"/>
    </xf>
    <xf numFmtId="0" fontId="4" fillId="0" borderId="109" xfId="0" applyFont="1" applyBorder="1"/>
    <xf numFmtId="0" fontId="4" fillId="0" borderId="79" xfId="0" applyFont="1" applyBorder="1" applyAlignment="1">
      <alignment horizontal="left"/>
    </xf>
    <xf numFmtId="3" fontId="5" fillId="5" borderId="18" xfId="0" applyNumberFormat="1" applyFont="1" applyFill="1" applyBorder="1"/>
    <xf numFmtId="3" fontId="4" fillId="5" borderId="2" xfId="0" applyNumberFormat="1" applyFont="1" applyFill="1" applyBorder="1"/>
    <xf numFmtId="3" fontId="5" fillId="3" borderId="68" xfId="0" applyNumberFormat="1" applyFont="1" applyFill="1" applyBorder="1"/>
    <xf numFmtId="3" fontId="4" fillId="0" borderId="73" xfId="0" applyNumberFormat="1" applyFont="1" applyBorder="1"/>
    <xf numFmtId="0" fontId="0" fillId="12" borderId="5" xfId="0" applyFill="1" applyBorder="1"/>
    <xf numFmtId="166" fontId="3" fillId="12" borderId="61" xfId="3" applyFont="1" applyFill="1" applyBorder="1"/>
    <xf numFmtId="0" fontId="0" fillId="15" borderId="61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2" xfId="0" applyFill="1" applyBorder="1" applyAlignment="1">
      <alignment horizontal="center"/>
    </xf>
    <xf numFmtId="0" fontId="76" fillId="8" borderId="0" xfId="0" applyFont="1" applyFill="1"/>
    <xf numFmtId="166" fontId="76" fillId="8" borderId="0" xfId="0" applyNumberFormat="1" applyFont="1" applyFill="1"/>
    <xf numFmtId="17" fontId="0" fillId="9" borderId="1" xfId="3" applyNumberFormat="1" applyFont="1" applyFill="1" applyBorder="1"/>
    <xf numFmtId="166" fontId="0" fillId="8" borderId="61" xfId="3" applyFont="1" applyFill="1" applyBorder="1"/>
    <xf numFmtId="166" fontId="75" fillId="0" borderId="61" xfId="3" applyFont="1" applyBorder="1" applyProtection="1">
      <protection locked="0"/>
    </xf>
    <xf numFmtId="166" fontId="0" fillId="0" borderId="61" xfId="3" applyFont="1" applyBorder="1"/>
    <xf numFmtId="166" fontId="3" fillId="8" borderId="61" xfId="3" applyFont="1" applyFill="1" applyBorder="1" applyAlignment="1">
      <alignment horizontal="center"/>
    </xf>
    <xf numFmtId="166" fontId="76" fillId="8" borderId="61" xfId="0" applyNumberFormat="1" applyFont="1" applyFill="1" applyBorder="1"/>
    <xf numFmtId="3" fontId="76" fillId="8" borderId="61" xfId="0" applyNumberFormat="1" applyFont="1" applyFill="1" applyBorder="1"/>
    <xf numFmtId="3" fontId="76" fillId="0" borderId="61" xfId="0" applyNumberFormat="1" applyFont="1" applyBorder="1"/>
    <xf numFmtId="1" fontId="3" fillId="8" borderId="2" xfId="3" applyNumberFormat="1" applyFont="1" applyFill="1" applyBorder="1"/>
    <xf numFmtId="166" fontId="3" fillId="0" borderId="3" xfId="3" applyFont="1" applyBorder="1" applyAlignment="1">
      <alignment horizontal="center"/>
    </xf>
    <xf numFmtId="0" fontId="5" fillId="0" borderId="0" xfId="0" applyFont="1"/>
    <xf numFmtId="0" fontId="76" fillId="0" borderId="0" xfId="0" applyFont="1"/>
    <xf numFmtId="166" fontId="3" fillId="0" borderId="61" xfId="3" applyFont="1" applyBorder="1"/>
    <xf numFmtId="0" fontId="3" fillId="9" borderId="0" xfId="0" applyFont="1" applyFill="1"/>
    <xf numFmtId="166" fontId="3" fillId="9" borderId="0" xfId="0" applyNumberFormat="1" applyFont="1" applyFill="1"/>
    <xf numFmtId="9" fontId="0" fillId="0" borderId="5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7" xfId="0" applyBorder="1"/>
    <xf numFmtId="0" fontId="0" fillId="0" borderId="4" xfId="0" applyBorder="1"/>
    <xf numFmtId="0" fontId="45" fillId="19" borderId="3" xfId="0" applyFont="1" applyFill="1" applyBorder="1" applyAlignment="1">
      <alignment horizontal="center"/>
    </xf>
    <xf numFmtId="166" fontId="3" fillId="0" borderId="10" xfId="3" applyFont="1" applyBorder="1" applyAlignment="1">
      <alignment horizontal="center"/>
    </xf>
    <xf numFmtId="0" fontId="3" fillId="15" borderId="0" xfId="0" applyFont="1" applyFill="1"/>
    <xf numFmtId="0" fontId="0" fillId="0" borderId="5" xfId="0" applyBorder="1"/>
    <xf numFmtId="0" fontId="0" fillId="0" borderId="6" xfId="0" applyBorder="1"/>
    <xf numFmtId="0" fontId="3" fillId="15" borderId="5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0" fontId="3" fillId="15" borderId="6" xfId="0" applyFont="1" applyFill="1" applyBorder="1" applyAlignment="1">
      <alignment horizontal="center"/>
    </xf>
    <xf numFmtId="166" fontId="3" fillId="15" borderId="5" xfId="3" applyFont="1" applyFill="1" applyBorder="1" applyAlignment="1">
      <alignment horizontal="center"/>
    </xf>
    <xf numFmtId="17" fontId="3" fillId="9" borderId="6" xfId="3" applyNumberFormat="1" applyFont="1" applyFill="1" applyBorder="1" applyAlignment="1">
      <alignment horizontal="center"/>
    </xf>
    <xf numFmtId="166" fontId="3" fillId="0" borderId="0" xfId="0" applyNumberFormat="1" applyFont="1"/>
    <xf numFmtId="0" fontId="77" fillId="19" borderId="9" xfId="0" applyFont="1" applyFill="1" applyBorder="1"/>
    <xf numFmtId="0" fontId="77" fillId="19" borderId="10" xfId="0" applyFont="1" applyFill="1" applyBorder="1"/>
    <xf numFmtId="0" fontId="3" fillId="0" borderId="25" xfId="0" applyFont="1" applyBorder="1"/>
    <xf numFmtId="166" fontId="3" fillId="8" borderId="0" xfId="3" applyFont="1" applyFill="1"/>
    <xf numFmtId="0" fontId="3" fillId="0" borderId="36" xfId="0" applyFont="1" applyBorder="1" applyAlignment="1">
      <alignment horizontal="right"/>
    </xf>
    <xf numFmtId="166" fontId="0" fillId="0" borderId="4" xfId="3" applyFont="1" applyBorder="1"/>
    <xf numFmtId="37" fontId="3" fillId="0" borderId="3" xfId="0" applyNumberFormat="1" applyFont="1" applyBorder="1"/>
    <xf numFmtId="0" fontId="0" fillId="0" borderId="9" xfId="0" applyBorder="1"/>
    <xf numFmtId="0" fontId="0" fillId="0" borderId="76" xfId="0" applyBorder="1"/>
    <xf numFmtId="0" fontId="0" fillId="0" borderId="10" xfId="0" applyBorder="1"/>
    <xf numFmtId="0" fontId="3" fillId="0" borderId="9" xfId="0" applyFont="1" applyBorder="1" applyAlignment="1">
      <alignment horizontal="right"/>
    </xf>
    <xf numFmtId="0" fontId="3" fillId="0" borderId="76" xfId="0" applyFont="1" applyBorder="1"/>
    <xf numFmtId="0" fontId="3" fillId="0" borderId="7" xfId="0" applyFont="1" applyBorder="1" applyAlignment="1">
      <alignment horizontal="right"/>
    </xf>
    <xf numFmtId="166" fontId="3" fillId="0" borderId="25" xfId="3" applyFont="1" applyBorder="1" applyAlignment="1">
      <alignment horizontal="center"/>
    </xf>
    <xf numFmtId="3" fontId="3" fillId="0" borderId="0" xfId="0" applyNumberFormat="1" applyFont="1"/>
    <xf numFmtId="3" fontId="3" fillId="29" borderId="0" xfId="0" applyNumberFormat="1" applyFont="1" applyFill="1"/>
    <xf numFmtId="166" fontId="0" fillId="29" borderId="0" xfId="0" applyNumberFormat="1" applyFill="1"/>
    <xf numFmtId="0" fontId="26" fillId="23" borderId="89" xfId="0" applyFont="1" applyFill="1" applyBorder="1"/>
    <xf numFmtId="0" fontId="27" fillId="23" borderId="74" xfId="0" applyFont="1" applyFill="1" applyBorder="1" applyAlignment="1">
      <alignment horizontal="center"/>
    </xf>
    <xf numFmtId="166" fontId="27" fillId="23" borderId="75" xfId="3" applyFont="1" applyFill="1" applyBorder="1" applyAlignment="1">
      <alignment horizontal="center"/>
    </xf>
    <xf numFmtId="166" fontId="23" fillId="0" borderId="14" xfId="3" applyFont="1" applyBorder="1"/>
    <xf numFmtId="171" fontId="27" fillId="23" borderId="0" xfId="3" applyNumberFormat="1" applyFont="1" applyFill="1"/>
    <xf numFmtId="171" fontId="27" fillId="23" borderId="0" xfId="0" applyNumberFormat="1" applyFont="1" applyFill="1"/>
    <xf numFmtId="166" fontId="23" fillId="14" borderId="0" xfId="3" applyFont="1" applyFill="1"/>
    <xf numFmtId="165" fontId="23" fillId="14" borderId="0" xfId="0" applyNumberFormat="1" applyFont="1" applyFill="1"/>
    <xf numFmtId="166" fontId="23" fillId="14" borderId="14" xfId="3" applyFont="1" applyFill="1" applyBorder="1"/>
    <xf numFmtId="166" fontId="27" fillId="23" borderId="0" xfId="3" applyFont="1" applyFill="1"/>
    <xf numFmtId="165" fontId="27" fillId="23" borderId="0" xfId="0" applyNumberFormat="1" applyFont="1" applyFill="1"/>
    <xf numFmtId="166" fontId="27" fillId="23" borderId="14" xfId="3" applyFont="1" applyFill="1" applyBorder="1"/>
    <xf numFmtId="166" fontId="27" fillId="0" borderId="14" xfId="3" applyFont="1" applyBorder="1"/>
    <xf numFmtId="166" fontId="2" fillId="0" borderId="14" xfId="3" applyFont="1" applyBorder="1"/>
    <xf numFmtId="166" fontId="27" fillId="22" borderId="94" xfId="3" applyFont="1" applyFill="1" applyBorder="1" applyAlignment="1">
      <alignment horizontal="left"/>
    </xf>
    <xf numFmtId="166" fontId="27" fillId="15" borderId="72" xfId="3" applyFont="1" applyFill="1" applyBorder="1"/>
    <xf numFmtId="166" fontId="27" fillId="9" borderId="33" xfId="3" applyFont="1" applyFill="1" applyBorder="1"/>
    <xf numFmtId="166" fontId="75" fillId="0" borderId="0" xfId="3" applyFont="1"/>
    <xf numFmtId="165" fontId="25" fillId="0" borderId="0" xfId="0" applyNumberFormat="1" applyFont="1" applyAlignment="1">
      <alignment horizontal="center" vertical="center"/>
    </xf>
    <xf numFmtId="165" fontId="27" fillId="23" borderId="81" xfId="0" applyNumberFormat="1" applyFont="1" applyFill="1" applyBorder="1"/>
    <xf numFmtId="165" fontId="27" fillId="23" borderId="61" xfId="5" applyNumberFormat="1" applyFont="1" applyFill="1" applyBorder="1"/>
    <xf numFmtId="165" fontId="58" fillId="9" borderId="3" xfId="5" applyNumberFormat="1" applyFont="1" applyFill="1" applyBorder="1"/>
    <xf numFmtId="0" fontId="2" fillId="29" borderId="13" xfId="0" applyFont="1" applyFill="1" applyBorder="1"/>
    <xf numFmtId="166" fontId="23" fillId="29" borderId="0" xfId="3" applyFont="1" applyFill="1"/>
    <xf numFmtId="166" fontId="23" fillId="29" borderId="0" xfId="0" applyNumberFormat="1" applyFont="1" applyFill="1"/>
    <xf numFmtId="166" fontId="23" fillId="29" borderId="14" xfId="3" applyFont="1" applyFill="1" applyBorder="1"/>
    <xf numFmtId="166" fontId="70" fillId="9" borderId="25" xfId="3" applyFont="1" applyFill="1" applyBorder="1" applyAlignment="1">
      <alignment horizontal="center" vertical="center"/>
    </xf>
    <xf numFmtId="166" fontId="35" fillId="0" borderId="67" xfId="3" applyFont="1" applyBorder="1" applyAlignment="1">
      <alignment horizontal="center" vertical="center"/>
    </xf>
    <xf numFmtId="9" fontId="3" fillId="29" borderId="0" xfId="9" applyFont="1" applyFill="1"/>
    <xf numFmtId="17" fontId="0" fillId="0" borderId="0" xfId="3" applyNumberFormat="1" applyFont="1" applyAlignment="1">
      <alignment horizontal="center"/>
    </xf>
    <xf numFmtId="166" fontId="3" fillId="12" borderId="0" xfId="3" applyFont="1" applyFill="1" applyAlignment="1">
      <alignment horizontal="center"/>
    </xf>
    <xf numFmtId="9" fontId="3" fillId="12" borderId="0" xfId="9" applyFont="1" applyFill="1" applyAlignment="1">
      <alignment horizontal="center"/>
    </xf>
    <xf numFmtId="166" fontId="3" fillId="16" borderId="0" xfId="3" applyFont="1" applyFill="1" applyAlignment="1">
      <alignment horizontal="center"/>
    </xf>
    <xf numFmtId="9" fontId="3" fillId="0" borderId="0" xfId="9" applyFont="1" applyAlignment="1">
      <alignment horizontal="center"/>
    </xf>
    <xf numFmtId="9" fontId="0" fillId="29" borderId="0" xfId="9" applyFont="1" applyFill="1"/>
    <xf numFmtId="166" fontId="0" fillId="24" borderId="9" xfId="3" applyFont="1" applyFill="1" applyBorder="1"/>
    <xf numFmtId="166" fontId="0" fillId="24" borderId="5" xfId="3" applyFont="1" applyFill="1" applyBorder="1"/>
    <xf numFmtId="166" fontId="0" fillId="24" borderId="7" xfId="3" applyFont="1" applyFill="1" applyBorder="1"/>
    <xf numFmtId="14" fontId="48" fillId="23" borderId="71" xfId="0" applyNumberFormat="1" applyFont="1" applyFill="1" applyBorder="1" applyAlignment="1">
      <alignment horizontal="left"/>
    </xf>
    <xf numFmtId="166" fontId="3" fillId="9" borderId="0" xfId="3" applyFont="1" applyFill="1"/>
    <xf numFmtId="167" fontId="3" fillId="9" borderId="0" xfId="3" applyNumberFormat="1" applyFont="1" applyFill="1"/>
    <xf numFmtId="3" fontId="5" fillId="15" borderId="0" xfId="0" applyNumberFormat="1" applyFont="1" applyFill="1"/>
    <xf numFmtId="37" fontId="3" fillId="15" borderId="2" xfId="3" applyNumberFormat="1" applyFont="1" applyFill="1" applyBorder="1"/>
    <xf numFmtId="37" fontId="3" fillId="15" borderId="0" xfId="3" applyNumberFormat="1" applyFont="1" applyFill="1"/>
    <xf numFmtId="0" fontId="0" fillId="16" borderId="0" xfId="0" applyFill="1"/>
    <xf numFmtId="9" fontId="45" fillId="18" borderId="0" xfId="9" applyFont="1" applyFill="1" applyAlignment="1">
      <alignment horizontal="center"/>
    </xf>
    <xf numFmtId="9" fontId="0" fillId="0" borderId="0" xfId="9" applyFont="1" applyAlignment="1">
      <alignment horizontal="center"/>
    </xf>
    <xf numFmtId="9" fontId="3" fillId="16" borderId="0" xfId="9" applyFont="1" applyFill="1" applyAlignment="1">
      <alignment horizontal="center"/>
    </xf>
    <xf numFmtId="166" fontId="22" fillId="21" borderId="0" xfId="3" applyFont="1" applyFill="1" applyAlignment="1">
      <alignment horizontal="center"/>
    </xf>
    <xf numFmtId="166" fontId="22" fillId="21" borderId="0" xfId="3" applyFont="1" applyFill="1"/>
    <xf numFmtId="166" fontId="0" fillId="21" borderId="0" xfId="3" applyFont="1" applyFill="1" applyAlignment="1">
      <alignment horizontal="center"/>
    </xf>
    <xf numFmtId="166" fontId="0" fillId="21" borderId="0" xfId="0" applyNumberFormat="1" applyFill="1"/>
    <xf numFmtId="1" fontId="22" fillId="21" borderId="0" xfId="3" applyNumberFormat="1" applyFont="1" applyFill="1" applyAlignment="1">
      <alignment horizontal="center"/>
    </xf>
    <xf numFmtId="1" fontId="0" fillId="21" borderId="0" xfId="0" applyNumberFormat="1" applyFill="1" applyAlignment="1">
      <alignment horizontal="center"/>
    </xf>
    <xf numFmtId="166" fontId="3" fillId="0" borderId="67" xfId="3" applyFont="1" applyBorder="1"/>
    <xf numFmtId="0" fontId="3" fillId="23" borderId="9" xfId="0" applyFont="1" applyFill="1" applyBorder="1" applyAlignment="1">
      <alignment horizontal="right"/>
    </xf>
    <xf numFmtId="166" fontId="3" fillId="23" borderId="76" xfId="3" applyFont="1" applyFill="1" applyBorder="1" applyAlignment="1">
      <alignment horizontal="center"/>
    </xf>
    <xf numFmtId="0" fontId="78" fillId="30" borderId="16" xfId="0" applyFont="1" applyFill="1" applyBorder="1" applyAlignment="1">
      <alignment horizontal="center" vertical="center"/>
    </xf>
    <xf numFmtId="0" fontId="78" fillId="30" borderId="108" xfId="0" applyFont="1" applyFill="1" applyBorder="1" applyAlignment="1">
      <alignment horizontal="center" vertical="center"/>
    </xf>
    <xf numFmtId="0" fontId="78" fillId="31" borderId="108" xfId="0" applyFont="1" applyFill="1" applyBorder="1" applyAlignment="1">
      <alignment horizontal="center" vertical="center"/>
    </xf>
    <xf numFmtId="0" fontId="78" fillId="15" borderId="108" xfId="0" applyFont="1" applyFill="1" applyBorder="1" applyAlignment="1">
      <alignment horizontal="center" vertical="center"/>
    </xf>
    <xf numFmtId="0" fontId="78" fillId="15" borderId="15" xfId="0" applyFont="1" applyFill="1" applyBorder="1" applyAlignment="1">
      <alignment horizontal="center" vertical="center"/>
    </xf>
    <xf numFmtId="1" fontId="61" fillId="23" borderId="26" xfId="3" applyNumberFormat="1" applyFont="1" applyFill="1" applyBorder="1" applyAlignment="1">
      <alignment horizontal="center" vertical="center"/>
    </xf>
    <xf numFmtId="9" fontId="0" fillId="0" borderId="0" xfId="9" applyFont="1" applyAlignment="1">
      <alignment horizontal="left" vertical="center"/>
    </xf>
    <xf numFmtId="9" fontId="3" fillId="0" borderId="0" xfId="9" applyFont="1" applyAlignment="1">
      <alignment horizontal="left" vertical="center"/>
    </xf>
    <xf numFmtId="166" fontId="20" fillId="0" borderId="0" xfId="3" applyFont="1"/>
    <xf numFmtId="14" fontId="20" fillId="0" borderId="0" xfId="0" applyNumberFormat="1" applyFont="1" applyAlignment="1">
      <alignment horizontal="center"/>
    </xf>
    <xf numFmtId="166" fontId="3" fillId="9" borderId="67" xfId="3" applyFont="1" applyFill="1" applyBorder="1"/>
    <xf numFmtId="166" fontId="79" fillId="9" borderId="67" xfId="0" applyNumberFormat="1" applyFont="1" applyFill="1" applyBorder="1"/>
    <xf numFmtId="166" fontId="79" fillId="0" borderId="67" xfId="0" applyNumberFormat="1" applyFont="1" applyBorder="1"/>
    <xf numFmtId="0" fontId="35" fillId="16" borderId="0" xfId="0" applyFont="1" applyFill="1"/>
    <xf numFmtId="166" fontId="3" fillId="24" borderId="67" xfId="3" applyFont="1" applyFill="1" applyBorder="1"/>
    <xf numFmtId="166" fontId="27" fillId="0" borderId="6" xfId="3" applyFont="1" applyBorder="1"/>
    <xf numFmtId="0" fontId="78" fillId="15" borderId="110" xfId="0" applyFont="1" applyFill="1" applyBorder="1" applyAlignment="1">
      <alignment horizontal="center" vertical="center"/>
    </xf>
    <xf numFmtId="0" fontId="0" fillId="0" borderId="26" xfId="0" applyBorder="1"/>
    <xf numFmtId="0" fontId="78" fillId="15" borderId="16" xfId="0" applyFont="1" applyFill="1" applyBorder="1" applyAlignment="1">
      <alignment horizontal="center" vertical="center"/>
    </xf>
    <xf numFmtId="166" fontId="3" fillId="0" borderId="83" xfId="0" applyNumberFormat="1" applyFont="1" applyBorder="1"/>
    <xf numFmtId="166" fontId="3" fillId="9" borderId="83" xfId="0" applyNumberFormat="1" applyFont="1" applyFill="1" applyBorder="1"/>
    <xf numFmtId="166" fontId="3" fillId="9" borderId="41" xfId="0" applyNumberFormat="1" applyFont="1" applyFill="1" applyBorder="1"/>
    <xf numFmtId="166" fontId="3" fillId="9" borderId="42" xfId="3" applyFont="1" applyFill="1" applyBorder="1"/>
    <xf numFmtId="166" fontId="0" fillId="0" borderId="67" xfId="3" applyFont="1" applyBorder="1"/>
    <xf numFmtId="166" fontId="0" fillId="9" borderId="67" xfId="3" applyFont="1" applyFill="1" applyBorder="1"/>
    <xf numFmtId="17" fontId="27" fillId="23" borderId="3" xfId="0" applyNumberFormat="1" applyFont="1" applyFill="1" applyBorder="1" applyAlignment="1">
      <alignment horizontal="center"/>
    </xf>
    <xf numFmtId="1" fontId="65" fillId="23" borderId="26" xfId="3" applyNumberFormat="1" applyFont="1" applyFill="1" applyBorder="1" applyAlignment="1">
      <alignment horizontal="center" vertical="center"/>
    </xf>
    <xf numFmtId="166" fontId="65" fillId="23" borderId="59" xfId="3" applyFont="1" applyFill="1" applyBorder="1"/>
    <xf numFmtId="166" fontId="64" fillId="0" borderId="81" xfId="3" applyFont="1" applyBorder="1"/>
    <xf numFmtId="166" fontId="64" fillId="0" borderId="64" xfId="3" applyFont="1" applyBorder="1"/>
    <xf numFmtId="166" fontId="65" fillId="23" borderId="80" xfId="3" applyFont="1" applyFill="1" applyBorder="1"/>
    <xf numFmtId="166" fontId="65" fillId="23" borderId="81" xfId="3" applyFont="1" applyFill="1" applyBorder="1"/>
    <xf numFmtId="166" fontId="64" fillId="0" borderId="0" xfId="3" applyFont="1"/>
    <xf numFmtId="17" fontId="65" fillId="23" borderId="3" xfId="0" applyNumberFormat="1" applyFont="1" applyFill="1" applyBorder="1" applyAlignment="1">
      <alignment horizontal="center"/>
    </xf>
    <xf numFmtId="166" fontId="65" fillId="0" borderId="6" xfId="3" applyFont="1" applyBorder="1"/>
    <xf numFmtId="9" fontId="64" fillId="0" borderId="6" xfId="9" applyFont="1" applyBorder="1"/>
    <xf numFmtId="9" fontId="27" fillId="0" borderId="6" xfId="9" applyFont="1" applyBorder="1"/>
    <xf numFmtId="9" fontId="64" fillId="0" borderId="35" xfId="9" applyFont="1" applyBorder="1"/>
    <xf numFmtId="9" fontId="27" fillId="0" borderId="35" xfId="9" applyFont="1" applyBorder="1"/>
    <xf numFmtId="171" fontId="64" fillId="0" borderId="6" xfId="3" applyNumberFormat="1" applyFont="1" applyBorder="1"/>
    <xf numFmtId="171" fontId="27" fillId="0" borderId="6" xfId="3" applyNumberFormat="1" applyFont="1" applyBorder="1"/>
    <xf numFmtId="165" fontId="65" fillId="0" borderId="6" xfId="5" applyNumberFormat="1" applyFont="1" applyBorder="1"/>
    <xf numFmtId="166" fontId="64" fillId="0" borderId="35" xfId="3" applyFont="1" applyBorder="1"/>
    <xf numFmtId="166" fontId="27" fillId="0" borderId="35" xfId="3" applyFont="1" applyBorder="1"/>
    <xf numFmtId="171" fontId="64" fillId="0" borderId="4" xfId="3" applyNumberFormat="1" applyFont="1" applyBorder="1"/>
    <xf numFmtId="171" fontId="27" fillId="0" borderId="4" xfId="3" applyNumberFormat="1" applyFont="1" applyBorder="1"/>
    <xf numFmtId="16" fontId="0" fillId="0" borderId="0" xfId="0" applyNumberFormat="1"/>
    <xf numFmtId="173" fontId="0" fillId="0" borderId="0" xfId="0" applyNumberFormat="1"/>
    <xf numFmtId="0" fontId="30" fillId="2" borderId="36" xfId="1" applyFont="1" applyFill="1" applyBorder="1" applyAlignment="1">
      <alignment horizontal="center" vertical="center" wrapText="1"/>
    </xf>
    <xf numFmtId="0" fontId="0" fillId="0" borderId="7" xfId="0" applyBorder="1"/>
    <xf numFmtId="166" fontId="31" fillId="2" borderId="101" xfId="3" applyFont="1" applyFill="1" applyBorder="1" applyAlignment="1">
      <alignment horizontal="center" vertical="center" wrapText="1"/>
    </xf>
    <xf numFmtId="0" fontId="0" fillId="0" borderId="11" xfId="0" applyBorder="1"/>
    <xf numFmtId="166" fontId="31" fillId="2" borderId="24" xfId="3" applyFont="1" applyFill="1" applyBorder="1" applyAlignment="1">
      <alignment horizontal="center" vertical="center" wrapText="1"/>
    </xf>
    <xf numFmtId="0" fontId="0" fillId="0" borderId="12" xfId="0" applyBorder="1"/>
    <xf numFmtId="1" fontId="31" fillId="0" borderId="36" xfId="1" applyNumberFormat="1" applyFont="1" applyBorder="1" applyAlignment="1">
      <alignment horizontal="center" vertical="center" wrapText="1"/>
    </xf>
    <xf numFmtId="0" fontId="39" fillId="8" borderId="97" xfId="0" applyFont="1" applyFill="1" applyBorder="1" applyAlignment="1">
      <alignment horizontal="center"/>
    </xf>
    <xf numFmtId="0" fontId="0" fillId="0" borderId="14" xfId="0" applyBorder="1"/>
    <xf numFmtId="166" fontId="31" fillId="2" borderId="3" xfId="3" applyFont="1" applyFill="1" applyBorder="1" applyAlignment="1">
      <alignment horizontal="center" vertical="center" wrapText="1"/>
    </xf>
    <xf numFmtId="0" fontId="0" fillId="0" borderId="2" xfId="0" applyBorder="1"/>
    <xf numFmtId="166" fontId="31" fillId="2" borderId="26" xfId="3" applyFont="1" applyFill="1" applyBorder="1" applyAlignment="1">
      <alignment horizontal="center" vertical="center" wrapText="1"/>
    </xf>
    <xf numFmtId="0" fontId="0" fillId="0" borderId="4" xfId="0" applyBorder="1"/>
    <xf numFmtId="166" fontId="42" fillId="0" borderId="8" xfId="3" applyFont="1" applyBorder="1" applyAlignment="1">
      <alignment horizontal="center"/>
    </xf>
    <xf numFmtId="0" fontId="0" fillId="0" borderId="8" xfId="0" applyBorder="1"/>
    <xf numFmtId="0" fontId="49" fillId="2" borderId="3" xfId="1" applyFont="1" applyFill="1" applyBorder="1" applyAlignment="1">
      <alignment horizontal="center" vertical="center" wrapText="1"/>
    </xf>
    <xf numFmtId="0" fontId="39" fillId="2" borderId="36" xfId="1" applyFont="1" applyFill="1" applyBorder="1" applyAlignment="1">
      <alignment horizontal="center" vertical="center" wrapText="1"/>
    </xf>
    <xf numFmtId="3" fontId="31" fillId="2" borderId="101" xfId="3" applyNumberFormat="1" applyFont="1" applyFill="1" applyBorder="1" applyAlignment="1">
      <alignment horizontal="center" vertical="center" wrapText="1"/>
    </xf>
    <xf numFmtId="3" fontId="0" fillId="0" borderId="11" xfId="0" applyNumberFormat="1" applyBorder="1"/>
    <xf numFmtId="3" fontId="31" fillId="2" borderId="24" xfId="3" applyNumberFormat="1" applyFont="1" applyFill="1" applyBorder="1" applyAlignment="1">
      <alignment horizontal="center" vertical="center" wrapText="1"/>
    </xf>
    <xf numFmtId="3" fontId="0" fillId="0" borderId="12" xfId="0" applyNumberFormat="1" applyBorder="1"/>
    <xf numFmtId="0" fontId="25" fillId="0" borderId="42" xfId="0" applyFont="1" applyBorder="1" applyAlignment="1">
      <alignment horizontal="center"/>
    </xf>
    <xf numFmtId="0" fontId="0" fillId="0" borderId="85" xfId="0" applyBorder="1"/>
    <xf numFmtId="0" fontId="7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51" fillId="17" borderId="3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166" fontId="20" fillId="0" borderId="3" xfId="3" applyFont="1" applyBorder="1" applyAlignment="1">
      <alignment horizontal="center"/>
    </xf>
    <xf numFmtId="0" fontId="48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48" fillId="0" borderId="70" xfId="0" applyFont="1" applyBorder="1" applyAlignment="1">
      <alignment horizontal="center"/>
    </xf>
    <xf numFmtId="0" fontId="0" fillId="0" borderId="70" xfId="0" applyBorder="1"/>
    <xf numFmtId="0" fontId="37" fillId="0" borderId="3" xfId="0" applyFont="1" applyBorder="1" applyAlignment="1">
      <alignment horizontal="center"/>
    </xf>
    <xf numFmtId="166" fontId="0" fillId="0" borderId="0" xfId="3" applyFont="1" applyAlignment="1">
      <alignment horizontal="center"/>
    </xf>
    <xf numFmtId="166" fontId="0" fillId="0" borderId="0" xfId="3" applyFont="1"/>
    <xf numFmtId="166" fontId="3" fillId="0" borderId="0" xfId="3" applyFont="1" applyAlignment="1">
      <alignment horizontal="center" vertical="center"/>
    </xf>
    <xf numFmtId="166" fontId="20" fillId="0" borderId="0" xfId="3" applyFont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76" xfId="0" applyBorder="1"/>
    <xf numFmtId="166" fontId="3" fillId="0" borderId="76" xfId="3" applyFont="1" applyBorder="1" applyAlignment="1">
      <alignment horizontal="center"/>
    </xf>
    <xf numFmtId="166" fontId="3" fillId="0" borderId="10" xfId="3" applyFont="1" applyBorder="1" applyAlignment="1">
      <alignment horizontal="center"/>
    </xf>
    <xf numFmtId="0" fontId="0" fillId="0" borderId="10" xfId="0" applyBorder="1"/>
    <xf numFmtId="0" fontId="45" fillId="19" borderId="1" xfId="0" applyFont="1" applyFill="1" applyBorder="1" applyAlignment="1">
      <alignment horizontal="center"/>
    </xf>
    <xf numFmtId="0" fontId="45" fillId="18" borderId="0" xfId="0" applyFont="1" applyFill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72" fillId="26" borderId="0" xfId="0" applyFont="1" applyFill="1" applyAlignment="1">
      <alignment horizontal="center"/>
    </xf>
    <xf numFmtId="9" fontId="0" fillId="0" borderId="0" xfId="9" applyFont="1" applyAlignment="1">
      <alignment horizontal="center"/>
    </xf>
    <xf numFmtId="0" fontId="20" fillId="15" borderId="69" xfId="0" applyFont="1" applyFill="1" applyBorder="1" applyAlignment="1">
      <alignment horizontal="center"/>
    </xf>
    <xf numFmtId="0" fontId="20" fillId="15" borderId="70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 vertical="center"/>
    </xf>
    <xf numFmtId="166" fontId="1" fillId="0" borderId="0" xfId="3" applyFont="1" applyAlignment="1">
      <alignment horizontal="center"/>
    </xf>
    <xf numFmtId="0" fontId="0" fillId="2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20" fillId="15" borderId="0" xfId="0" applyFont="1" applyFill="1" applyAlignment="1">
      <alignment horizontal="center"/>
    </xf>
    <xf numFmtId="0" fontId="44" fillId="8" borderId="36" xfId="0" applyFont="1" applyFill="1" applyBorder="1" applyAlignment="1">
      <alignment horizontal="center"/>
    </xf>
    <xf numFmtId="0" fontId="18" fillId="8" borderId="9" xfId="0" applyFont="1" applyFill="1" applyBorder="1" applyAlignment="1">
      <alignment horizontal="center" vertical="center"/>
    </xf>
  </cellXfs>
  <cellStyles count="11">
    <cellStyle name="Cálculo" xfId="6" builtinId="22"/>
    <cellStyle name="Hipervínculo" xfId="4" builtinId="8"/>
    <cellStyle name="Millares" xfId="5" builtinId="3"/>
    <cellStyle name="Millares [0]" xfId="3" builtinId="6"/>
    <cellStyle name="Normal" xfId="0" builtinId="0"/>
    <cellStyle name="Normal 2" xfId="10" xr:uid="{00000000-0005-0000-0000-00000A000000}"/>
    <cellStyle name="Normal 3" xfId="2" xr:uid="{00000000-0005-0000-0000-000002000000}"/>
    <cellStyle name="Normal 3 3" xfId="1" xr:uid="{00000000-0005-0000-0000-000001000000}"/>
    <cellStyle name="Normal_Datos" xfId="8" xr:uid="{00000000-0005-0000-0000-000008000000}"/>
    <cellStyle name="Normal_Inventario" xfId="7" xr:uid="{00000000-0005-0000-0000-000007000000}"/>
    <cellStyle name="Porcentaje" xfId="9" builtinId="5"/>
  </cellStyles>
  <dxfs count="46">
    <dxf>
      <numFmt numFmtId="166" formatCode="_-* #,##0_-;\-* #,##0_-;_-* &quot;-&quot;_-;_-@_-"/>
      <fill>
        <patternFill>
          <fgColor indexed="64"/>
          <bgColor auto="1"/>
        </patternFill>
      </fill>
    </dxf>
    <dxf>
      <numFmt numFmtId="1" formatCode="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 patternType="solid">
          <bgColor rgb="FFC8E1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ndense val="0"/>
        <extend val="0"/>
        <color indexed="48"/>
      </font>
    </dxf>
    <dxf>
      <font>
        <b/>
        <condense val="0"/>
        <extend val="0"/>
        <color indexed="10"/>
      </font>
    </dxf>
    <dxf>
      <font>
        <b/>
        <condense val="0"/>
        <extend val="0"/>
        <color indexed="57"/>
      </font>
    </dxf>
    <dxf>
      <font>
        <b/>
        <condense val="0"/>
        <extend val="0"/>
        <color indexed="48"/>
      </font>
    </dxf>
    <dxf>
      <font>
        <b/>
        <condense val="0"/>
        <extend val="0"/>
        <color indexed="10"/>
      </font>
    </dxf>
    <dxf>
      <font>
        <b/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BRONZ</a:t>
            </a:r>
          </a:p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netas  mensuales 2023-2024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041726569374764"/>
          <c:y val="0.1171611560545032"/>
          <c:w val="0.88066577127077861"/>
          <c:h val="0.718287915910748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'Gestion mes'!$AS$39</c:f>
              <c:strCache>
                <c:ptCount val="1"/>
                <c:pt idx="0">
                  <c:v>2023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  <a:prstDash val="solid"/>
            </a:ln>
            <a:sp3d/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mes'!$AR$40:$AR$51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mes'!$AS$40:$AS$51</c:f>
              <c:numCache>
                <c:formatCode>#,##0_);\(#,##0\)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22F5-4DC3-B283-C1B37006E0AA}"/>
            </c:ext>
          </c:extLst>
        </c:ser>
        <c:ser>
          <c:idx val="1"/>
          <c:order val="1"/>
          <c:tx>
            <c:strRef>
              <c:f>'Gestion mes'!$AT$39</c:f>
              <c:strCache>
                <c:ptCount val="1"/>
                <c:pt idx="0">
                  <c:v>2024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  <a:prstDash val="solid"/>
            </a:ln>
            <a:sp3d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F5-4DC3-B283-C1B37006E0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F5-4DC3-B283-C1B37006E0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F5-4DC3-B283-C1B37006E0AA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F5-4DC3-B283-C1B37006E0AA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2F5-4DC3-B283-C1B37006E0AA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F5-4DC3-B283-C1B37006E0AA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F5-4DC3-B283-C1B37006E0AA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F5-4DC3-B283-C1B37006E0AA}"/>
                </c:ext>
              </c:extLst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2F5-4DC3-B283-C1B37006E0AA}"/>
                </c:ext>
              </c:extLst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F5-4DC3-B283-C1B37006E0AA}"/>
                </c:ext>
              </c:extLst>
            </c:dLbl>
            <c:spPr>
              <a:noFill/>
              <a:ln>
                <a:solidFill>
                  <a:schemeClr val="tx2"/>
                </a:solidFill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mes'!$AR$40:$AR$51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mes'!$AT$40:$AT$51</c:f>
              <c:numCache>
                <c:formatCode>#,##0_);[Red]\(#,##0\)</c:formatCode>
                <c:ptCount val="12"/>
                <c:pt idx="0">
                  <c:v>13824.461422300059</c:v>
                </c:pt>
                <c:pt idx="1">
                  <c:v>6191.0414577000402</c:v>
                </c:pt>
                <c:pt idx="2">
                  <c:v>3229.764675000049</c:v>
                </c:pt>
                <c:pt idx="3">
                  <c:v>3724.8288688999119</c:v>
                </c:pt>
                <c:pt idx="4">
                  <c:v>3359.74633700002</c:v>
                </c:pt>
                <c:pt idx="5">
                  <c:v>-19608.214789100042</c:v>
                </c:pt>
                <c:pt idx="6">
                  <c:v>1819.9502543999999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F5-4DC3-B283-C1B37006E0A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20173087"/>
        <c:axId val="1544363535"/>
      </c:barChart>
      <c:catAx>
        <c:axId val="142017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544363535"/>
        <c:crosses val="autoZero"/>
        <c:auto val="1"/>
        <c:lblAlgn val="ctr"/>
        <c:lblOffset val="100"/>
        <c:noMultiLvlLbl val="0"/>
      </c:catAx>
      <c:valAx>
        <c:axId val="154436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201730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BRONZ</a:t>
            </a:r>
          </a:p>
          <a:p>
            <a:pPr>
              <a:defRPr sz="1400" b="1" i="0" strike="noStrike" kern="1200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Utilidad Acumulada </a:t>
            </a:r>
          </a:p>
        </c:rich>
      </c:tx>
      <c:overlay val="0"/>
      <c:spPr>
        <a:solidFill>
          <a:schemeClr val="bg1">
            <a:lumMod val="95000"/>
          </a:schemeClr>
        </a:solidFill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5816195524928335E-2"/>
          <c:y val="9.3840622130450399E-2"/>
          <c:w val="0.91246713740216423"/>
          <c:h val="0.77888912304856595"/>
        </c:manualLayout>
      </c:layout>
      <c:lineChart>
        <c:grouping val="standard"/>
        <c:varyColors val="0"/>
        <c:ser>
          <c:idx val="0"/>
          <c:order val="0"/>
          <c:tx>
            <c:strRef>
              <c:f>'Gestion mes'!$AS$9</c:f>
              <c:strCache>
                <c:ptCount val="1"/>
                <c:pt idx="0">
                  <c:v>2023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solidFill>
                <a:schemeClr val="bg1">
                  <a:lumMod val="95000"/>
                </a:schemeClr>
              </a:solidFill>
              <a:ln>
                <a:solidFill>
                  <a:srgbClr val="0070C0"/>
                </a:solidFill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mes'!$AR$10:$AR$21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mes'!$AS$10:$AS$21</c:f>
              <c:numCache>
                <c:formatCode>#,##0_);[Red]\(#,##0\)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629-A202-64C27F4E6080}"/>
            </c:ext>
          </c:extLst>
        </c:ser>
        <c:ser>
          <c:idx val="1"/>
          <c:order val="1"/>
          <c:tx>
            <c:strRef>
              <c:f>'Gestion mes'!$AT$9</c:f>
              <c:strCache>
                <c:ptCount val="1"/>
                <c:pt idx="0">
                  <c:v>2025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E3-4629-A202-64C27F4E608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E3-4629-A202-64C27F4E6080}"/>
                </c:ext>
              </c:extLst>
            </c:dLbl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E3-4629-A202-64C27F4E6080}"/>
                </c:ext>
              </c:extLst>
            </c:dLbl>
            <c:dLbl>
              <c:idx val="6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E3-4629-A202-64C27F4E6080}"/>
                </c:ext>
              </c:extLst>
            </c:dLbl>
            <c:spPr>
              <a:solidFill>
                <a:schemeClr val="bg2"/>
              </a:solidFill>
              <a:ln>
                <a:solidFill>
                  <a:srgbClr val="FF0000"/>
                </a:solidFill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mes'!$AR$10:$AR$21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mes'!$AT$10:$AT$21</c:f>
              <c:numCache>
                <c:formatCode>#,##0_);[Red]\(#,##0\)</c:formatCode>
                <c:ptCount val="12"/>
                <c:pt idx="0">
                  <c:v>4039.4623599000611</c:v>
                </c:pt>
                <c:pt idx="1">
                  <c:v>5597.1051113001085</c:v>
                </c:pt>
                <c:pt idx="2">
                  <c:v>4787.5259658001569</c:v>
                </c:pt>
                <c:pt idx="3">
                  <c:v>5574.1599878000725</c:v>
                </c:pt>
                <c:pt idx="4">
                  <c:v>5007.9753872000974</c:v>
                </c:pt>
                <c:pt idx="5">
                  <c:v>-3706.3766686999552</c:v>
                </c:pt>
                <c:pt idx="6">
                  <c:v>-4307.8882407999445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E3-4629-A202-64C27F4E60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alpha val="33000"/>
                  <a:lumMod val="35000"/>
                  <a:lumOff val="65000"/>
                </a:schemeClr>
              </a:solidFill>
              <a:prstDash val="solid"/>
              <a:round/>
            </a:ln>
          </c:spPr>
        </c:dropLines>
        <c:smooth val="0"/>
        <c:axId val="1739462527"/>
        <c:axId val="1739462943"/>
      </c:lineChart>
      <c:catAx>
        <c:axId val="173946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39462943"/>
        <c:crosses val="autoZero"/>
        <c:auto val="1"/>
        <c:lblAlgn val="ctr"/>
        <c:lblOffset val="100"/>
        <c:noMultiLvlLbl val="0"/>
      </c:catAx>
      <c:valAx>
        <c:axId val="1739462943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3946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BRONZ</a:t>
            </a:r>
          </a:p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Utilidad mensual 2023-2024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'Gestion mes'!$AS$54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C0-413A-806B-E8AEF147A7E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C0-413A-806B-E8AEF147A7ED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mes'!$AR$55:$AR$66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mes'!$AS$55:$AS$67</c:f>
              <c:numCache>
                <c:formatCode>#,##0_);[Red]\(#,##0\)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0-413A-806B-E8AEF147A7ED}"/>
            </c:ext>
          </c:extLst>
        </c:ser>
        <c:ser>
          <c:idx val="1"/>
          <c:order val="1"/>
          <c:tx>
            <c:strRef>
              <c:f>'Gestion mes'!$AT$54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2"/>
            </a:solidFill>
            <a:ln w="76200"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mes'!$AR$55:$AR$66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mes'!$AT$55:$AT$66</c:f>
              <c:numCache>
                <c:formatCode>#,##0_);[Red]\(#,##0\)</c:formatCode>
                <c:ptCount val="12"/>
                <c:pt idx="0">
                  <c:v>4056.493714500064</c:v>
                </c:pt>
                <c:pt idx="1">
                  <c:v>1557.6427514000479</c:v>
                </c:pt>
                <c:pt idx="2">
                  <c:v>-809.57914549995212</c:v>
                </c:pt>
                <c:pt idx="3">
                  <c:v>786.63402199991606</c:v>
                </c:pt>
                <c:pt idx="4">
                  <c:v>-566.18460059997528</c:v>
                </c:pt>
                <c:pt idx="5">
                  <c:v>-8714.3520559000517</c:v>
                </c:pt>
                <c:pt idx="6">
                  <c:v>-601.51157209998973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0-413A-806B-E8AEF147A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674544"/>
        <c:axId val="968708143"/>
      </c:barChart>
      <c:catAx>
        <c:axId val="2606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68708143"/>
        <c:crosses val="autoZero"/>
        <c:auto val="1"/>
        <c:lblAlgn val="ctr"/>
        <c:lblOffset val="100"/>
        <c:noMultiLvlLbl val="0"/>
      </c:catAx>
      <c:valAx>
        <c:axId val="9687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606745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BRONZVentas Acumuladas Netas de IVA</a:t>
            </a:r>
            <a:br>
              <a:rPr lang="en-US"/>
            </a:b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163524861052837"/>
          <c:y val="0.19862089566601579"/>
          <c:w val="0.87886037462569044"/>
          <c:h val="0.71053118271378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'Gestion mes'!$AR$25:$AR$36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'Gestion mes'!$AT$25:$AT$36</c:f>
              <c:numCache>
                <c:formatCode>#,##0_);[Red]\(#,##0\)</c:formatCode>
                <c:ptCount val="12"/>
                <c:pt idx="0">
                  <c:v>13753.64147230006</c:v>
                </c:pt>
                <c:pt idx="1">
                  <c:v>19944.682930000101</c:v>
                </c:pt>
                <c:pt idx="2">
                  <c:v>23174.44760500015</c:v>
                </c:pt>
                <c:pt idx="3">
                  <c:v>26899.27647390006</c:v>
                </c:pt>
                <c:pt idx="4">
                  <c:v>30259.022810900082</c:v>
                </c:pt>
                <c:pt idx="5">
                  <c:v>10650.80802180004</c:v>
                </c:pt>
                <c:pt idx="6">
                  <c:v>11799.150073700059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9-4252-9441-717452EC0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884246816"/>
        <c:axId val="1884244320"/>
      </c:barChart>
      <c:catAx>
        <c:axId val="18842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4244320"/>
        <c:crosses val="autoZero"/>
        <c:auto val="1"/>
        <c:lblAlgn val="ctr"/>
        <c:lblOffset val="100"/>
        <c:noMultiLvlLbl val="0"/>
      </c:catAx>
      <c:valAx>
        <c:axId val="1884244320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4246816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Resultado directo Tiendas 2023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BodegaTiendas!$BA$3</c:f>
              <c:strCache>
                <c:ptCount val="1"/>
                <c:pt idx="0">
                  <c:v>Ventas Netas ($)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BodegaTiendas!$AZ$4:$AZ$8</c:f>
              <c:strCache>
                <c:ptCount val="5"/>
                <c:pt idx="0">
                  <c:v>OnLIne</c:v>
                </c:pt>
                <c:pt idx="1">
                  <c:v>Casa Moda</c:v>
                </c:pt>
                <c:pt idx="2">
                  <c:v>Casa Aura</c:v>
                </c:pt>
                <c:pt idx="3">
                  <c:v>Casa Milá</c:v>
                </c:pt>
                <c:pt idx="4">
                  <c:v>Pucón</c:v>
                </c:pt>
              </c:strCache>
            </c:strRef>
          </c:cat>
          <c:val>
            <c:numRef>
              <c:f>BodegaTiendas!$BA$4:$BA$8</c:f>
              <c:numCache>
                <c:formatCode>_-* #,##0_-;\-* #,##0_-;_-* "-"_-;_-@_-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0-4C62-9E32-3E493ED3BEC0}"/>
            </c:ext>
          </c:extLst>
        </c:ser>
        <c:ser>
          <c:idx val="1"/>
          <c:order val="1"/>
          <c:tx>
            <c:strRef>
              <c:f>BodegaTiendas!$BB$3</c:f>
              <c:strCache>
                <c:ptCount val="1"/>
                <c:pt idx="0">
                  <c:v>Costo Producto ($)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BodegaTiendas!$AZ$4:$AZ$8</c:f>
              <c:strCache>
                <c:ptCount val="5"/>
                <c:pt idx="0">
                  <c:v>OnLIne</c:v>
                </c:pt>
                <c:pt idx="1">
                  <c:v>Casa Moda</c:v>
                </c:pt>
                <c:pt idx="2">
                  <c:v>Casa Aura</c:v>
                </c:pt>
                <c:pt idx="3">
                  <c:v>Casa Milá</c:v>
                </c:pt>
                <c:pt idx="4">
                  <c:v>Pucón</c:v>
                </c:pt>
              </c:strCache>
            </c:strRef>
          </c:cat>
          <c:val>
            <c:numRef>
              <c:f>BodegaTiendas!$BB$4:$BB$8</c:f>
              <c:numCache>
                <c:formatCode>_-* #,##0_-;\-* #,##0_-;_-* "-"_-;_-@_-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C0-4C62-9E32-3E493ED3BEC0}"/>
            </c:ext>
          </c:extLst>
        </c:ser>
        <c:ser>
          <c:idx val="2"/>
          <c:order val="2"/>
          <c:tx>
            <c:strRef>
              <c:f>BodegaTiendas!$BC$3</c:f>
              <c:strCache>
                <c:ptCount val="1"/>
                <c:pt idx="0">
                  <c:v> Gastos Tiendas ($) 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BodegaTiendas!$AZ$4:$AZ$8</c:f>
              <c:strCache>
                <c:ptCount val="5"/>
                <c:pt idx="0">
                  <c:v>OnLIne</c:v>
                </c:pt>
                <c:pt idx="1">
                  <c:v>Casa Moda</c:v>
                </c:pt>
                <c:pt idx="2">
                  <c:v>Casa Aura</c:v>
                </c:pt>
                <c:pt idx="3">
                  <c:v>Casa Milá</c:v>
                </c:pt>
                <c:pt idx="4">
                  <c:v>Pucón</c:v>
                </c:pt>
              </c:strCache>
            </c:strRef>
          </c:cat>
          <c:val>
            <c:numRef>
              <c:f>BodegaTiendas!$BC$4:$BC$8</c:f>
              <c:numCache>
                <c:formatCode>_-* #,##0_-;\-* #,##0_-;_-* "-"_-;_-@_-</c:formatCode>
                <c:ptCount val="5"/>
                <c:pt idx="0">
                  <c:v>6885949</c:v>
                </c:pt>
                <c:pt idx="1">
                  <c:v>1222058.72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C0-4C62-9E32-3E493ED3BEC0}"/>
            </c:ext>
          </c:extLst>
        </c:ser>
        <c:ser>
          <c:idx val="3"/>
          <c:order val="3"/>
          <c:tx>
            <c:strRef>
              <c:f>BodegaTiendas!$BD$3</c:f>
              <c:strCache>
                <c:ptCount val="1"/>
                <c:pt idx="0">
                  <c:v>Resultado Directo ($)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strRef>
              <c:f>BodegaTiendas!$AZ$4:$AZ$8</c:f>
              <c:strCache>
                <c:ptCount val="5"/>
                <c:pt idx="0">
                  <c:v>OnLIne</c:v>
                </c:pt>
                <c:pt idx="1">
                  <c:v>Casa Moda</c:v>
                </c:pt>
                <c:pt idx="2">
                  <c:v>Casa Aura</c:v>
                </c:pt>
                <c:pt idx="3">
                  <c:v>Casa Milá</c:v>
                </c:pt>
                <c:pt idx="4">
                  <c:v>Pucón</c:v>
                </c:pt>
              </c:strCache>
            </c:strRef>
          </c:cat>
          <c:val>
            <c:numRef>
              <c:f>BodegaTiendas!$BD$4:$BD$8</c:f>
              <c:numCache>
                <c:formatCode>_-* #,##0_-;\-* #,##0_-;_-* "-"_-;_-@_-</c:formatCode>
                <c:ptCount val="5"/>
                <c:pt idx="0">
                  <c:v>-6885949</c:v>
                </c:pt>
                <c:pt idx="1">
                  <c:v>-1222058.72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C0-4C62-9E32-3E493ED3B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8260815"/>
        <c:axId val="1768262479"/>
      </c:barChart>
      <c:lineChart>
        <c:grouping val="standard"/>
        <c:varyColors val="0"/>
        <c:ser>
          <c:idx val="4"/>
          <c:order val="4"/>
          <c:tx>
            <c:strRef>
              <c:f>BodegaTiendas!$BE$3</c:f>
              <c:strCache>
                <c:ptCount val="1"/>
                <c:pt idx="0">
                  <c:v>Res Directo/Ventas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BodegaTiendas!$AZ$4:$AZ$8</c:f>
              <c:strCache>
                <c:ptCount val="5"/>
                <c:pt idx="0">
                  <c:v>OnLIne</c:v>
                </c:pt>
                <c:pt idx="1">
                  <c:v>Casa Moda</c:v>
                </c:pt>
                <c:pt idx="2">
                  <c:v>Casa Aura</c:v>
                </c:pt>
                <c:pt idx="3">
                  <c:v>Casa Milá</c:v>
                </c:pt>
                <c:pt idx="4">
                  <c:v>Pucón</c:v>
                </c:pt>
              </c:strCache>
            </c:strRef>
          </c:cat>
          <c:val>
            <c:numRef>
              <c:f>BodegaTiendas!$BE$4:$BE$8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C0-4C62-9E32-3E493ED3B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4623"/>
        <c:axId val="1768263311"/>
      </c:lineChart>
      <c:catAx>
        <c:axId val="176826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68262479"/>
        <c:crosses val="autoZero"/>
        <c:auto val="1"/>
        <c:lblAlgn val="ctr"/>
        <c:lblOffset val="100"/>
        <c:noMultiLvlLbl val="0"/>
      </c:catAx>
      <c:valAx>
        <c:axId val="176826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68260815"/>
        <c:crosses val="autoZero"/>
        <c:crossBetween val="between"/>
      </c:valAx>
      <c:catAx>
        <c:axId val="3111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8263311"/>
        <c:crosses val="autoZero"/>
        <c:auto val="1"/>
        <c:lblAlgn val="ctr"/>
        <c:lblOffset val="100"/>
        <c:noMultiLvlLbl val="0"/>
      </c:catAx>
      <c:valAx>
        <c:axId val="176826331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11462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259080</xdr:colOff>
          <xdr:row>0</xdr:row>
          <xdr:rowOff>228600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7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Balance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1178560</xdr:colOff>
      <xdr:row>7</xdr:row>
      <xdr:rowOff>89647</xdr:rowOff>
    </xdr:from>
    <xdr:to>
      <xdr:col>41</xdr:col>
      <xdr:colOff>0</xdr:colOff>
      <xdr:row>29</xdr:row>
      <xdr:rowOff>193040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467360</xdr:colOff>
      <xdr:row>51</xdr:row>
      <xdr:rowOff>17930</xdr:rowOff>
    </xdr:from>
    <xdr:to>
      <xdr:col>41</xdr:col>
      <xdr:colOff>447040</xdr:colOff>
      <xdr:row>76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30</xdr:row>
      <xdr:rowOff>0</xdr:rowOff>
    </xdr:from>
    <xdr:to>
      <xdr:col>40</xdr:col>
      <xdr:colOff>782320</xdr:colOff>
      <xdr:row>50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1127162</xdr:colOff>
      <xdr:row>78</xdr:row>
      <xdr:rowOff>125506</xdr:rowOff>
    </xdr:from>
    <xdr:to>
      <xdr:col>40</xdr:col>
      <xdr:colOff>727336</xdr:colOff>
      <xdr:row>100</xdr:row>
      <xdr:rowOff>171452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19049</xdr:colOff>
      <xdr:row>11</xdr:row>
      <xdr:rowOff>142474</xdr:rowOff>
    </xdr:from>
    <xdr:to>
      <xdr:col>57</xdr:col>
      <xdr:colOff>123825</xdr:colOff>
      <xdr:row>35</xdr:row>
      <xdr:rowOff>94849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3</xdr:row>
          <xdr:rowOff>60960</xdr:rowOff>
        </xdr:from>
        <xdr:to>
          <xdr:col>14</xdr:col>
          <xdr:colOff>45720</xdr:colOff>
          <xdr:row>5</xdr:row>
          <xdr:rowOff>60960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Pintar Filas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548640</xdr:colOff>
          <xdr:row>0</xdr:row>
          <xdr:rowOff>502920</xdr:rowOff>
        </xdr:from>
        <xdr:to>
          <xdr:col>10</xdr:col>
          <xdr:colOff>1325880</xdr:colOff>
          <xdr:row>1</xdr:row>
          <xdr:rowOff>533400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por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449580</xdr:rowOff>
        </xdr:from>
        <xdr:to>
          <xdr:col>2</xdr:col>
          <xdr:colOff>655320</xdr:colOff>
          <xdr:row>1</xdr:row>
          <xdr:rowOff>487680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E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Pararse en la Tabla y Eliminar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670560</xdr:colOff>
          <xdr:row>1</xdr:row>
          <xdr:rowOff>22860</xdr:rowOff>
        </xdr:from>
        <xdr:to>
          <xdr:col>14</xdr:col>
          <xdr:colOff>1203960</xdr:colOff>
          <xdr:row>2</xdr:row>
          <xdr:rowOff>15240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E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por SKU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388620</xdr:colOff>
          <xdr:row>1</xdr:row>
          <xdr:rowOff>15240</xdr:rowOff>
        </xdr:from>
        <xdr:to>
          <xdr:col>17</xdr:col>
          <xdr:colOff>1242060</xdr:colOff>
          <xdr:row>2</xdr:row>
          <xdr:rowOff>22860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E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 por Categoría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433.50114537037" createdVersion="3" refreshedVersion="8" minRefreshableVersion="3" recordCount="11" xr:uid="{00000000-000A-0000-FFFF-FFFF00000000}">
  <cacheSource type="worksheet">
    <worksheetSource ref="V1:X12" sheet="Datos"/>
  </cacheSource>
  <cacheFields count="3">
    <cacheField name="SKU" numFmtId="0">
      <sharedItems containsBlank="1" count="2">
        <s v="BB0001"/>
        <m/>
      </sharedItems>
    </cacheField>
    <cacheField name="Cantidad" numFmtId="0">
      <sharedItems containsString="0" containsBlank="1" containsNumber="1" containsInteger="1" minValue="100" maxValue="100"/>
    </cacheField>
    <cacheField name="Costo Neto" numFmtId="0">
      <sharedItems containsString="0" containsBlank="1" containsNumber="1" containsInteger="1" minValue="1008000" maxValue="100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829.775990740738" createdVersion="5" refreshedVersion="8" minRefreshableVersion="3" recordCount="5753" xr:uid="{00000000-000A-0000-FFFF-FFFF02000000}">
  <cacheSource type="worksheet">
    <worksheetSource ref="A1:G50000" sheet="Ventas"/>
  </cacheSource>
  <cacheFields count="9">
    <cacheField name="Fecha" numFmtId="0">
      <sharedItems containsNonDate="0" containsDate="1" containsString="0" containsBlank="1" minDate="2025-01-01T02:49:49" maxDate="2025-06-20T20:50:07" count="1015">
        <d v="2025-01-01T02:49:49"/>
        <d v="2025-01-01T10:12:00"/>
        <d v="2025-01-01T10:19:02"/>
        <d v="2025-01-01T13:17:32"/>
        <d v="2025-01-01T13:49:22"/>
        <d v="2025-01-01T14:04:38"/>
        <d v="2025-01-01T14:48:23"/>
        <d v="2025-01-01T15:14:54"/>
        <d v="2025-01-01T17:14:35"/>
        <d v="2025-01-01T17:19:11"/>
        <d v="2025-01-01T19:12:53"/>
        <d v="2025-01-01T21:46:26"/>
        <d v="2025-01-01T23:47:10"/>
        <d v="2025-01-02T00:42:11"/>
        <d v="2025-01-02T06:48:24"/>
        <d v="2025-01-02T08:50:43"/>
        <d v="2025-01-02T09:00:17"/>
        <d v="2025-01-02T09:20:18"/>
        <d v="2025-01-02T09:28:54"/>
        <d v="2025-01-02T09:41:48"/>
        <d v="2025-01-02T09:55:53"/>
        <d v="2025-01-02T12:33:02"/>
        <d v="2025-01-02T14:23:51"/>
        <d v="2025-01-02T16:25:50"/>
        <d v="2025-01-02T16:56:36"/>
        <d v="2025-01-02T17:51:48"/>
        <d v="2025-01-02T18:03:27"/>
        <d v="2025-01-02T19:24:03"/>
        <d v="2025-01-02T20:20:20"/>
        <d v="2025-01-02T20:28:17"/>
        <d v="2025-01-02T20:44:55"/>
        <d v="2025-01-02T20:54:59"/>
        <d v="2025-01-02T21:25:23"/>
        <d v="2025-01-02T22:45:54"/>
        <d v="2025-01-02T23:09:55"/>
        <d v="2025-01-03T00:03:57"/>
        <d v="2025-01-03T07:03:44"/>
        <d v="2025-01-03T07:24:24"/>
        <d v="2025-01-03T11:42:43"/>
        <d v="2025-01-03T12:17:22"/>
        <d v="2025-01-03T13:05:21"/>
        <d v="2025-01-03T13:06:01"/>
        <d v="2025-01-03T13:40:09"/>
        <d v="2025-01-03T15:11:04"/>
        <d v="2025-01-03T15:52:14"/>
        <d v="2025-01-03T16:24:46"/>
        <d v="2025-01-03T18:53:40"/>
        <d v="2025-01-03T19:11:06"/>
        <d v="2025-01-03T19:26:46"/>
        <d v="2025-01-03T21:17:58"/>
        <d v="2025-01-03T23:55:41"/>
        <d v="2025-01-04T08:45:28"/>
        <d v="2025-01-04T09:31:57"/>
        <d v="2025-01-04T10:18:55"/>
        <d v="2025-01-04T10:47:47"/>
        <d v="2025-01-04T11:00:01"/>
        <d v="2025-01-04T11:05:43"/>
        <d v="2025-01-04T11:34:14"/>
        <d v="2025-01-04T11:48:40"/>
        <d v="2025-01-04T11:52:44"/>
        <d v="2025-01-04T12:04:46"/>
        <d v="2025-01-04T13:22:11"/>
        <d v="2025-01-04T14:33:48"/>
        <d v="2025-01-04T16:14:00"/>
        <d v="2025-01-04T16:25:20"/>
        <d v="2025-01-04T20:11:26"/>
        <d v="2025-01-04T20:29:35"/>
        <d v="2025-01-04T21:21:04"/>
        <d v="2025-01-04T21:27:54"/>
        <d v="2025-01-04T23:06:36"/>
        <d v="2025-01-05T00:37:51"/>
        <d v="2025-01-05T05:36:20"/>
        <d v="2025-01-05T10:37:12"/>
        <d v="2025-01-05T12:43:47"/>
        <d v="2025-01-05T12:47:33"/>
        <d v="2025-01-05T13:09:21"/>
        <d v="2025-01-05T13:18:45"/>
        <d v="2025-01-05T14:13:34"/>
        <d v="2025-01-05T14:31:21"/>
        <d v="2025-01-05T14:59:41"/>
        <d v="2025-01-05T14:59:56"/>
        <d v="2025-01-05T17:31:47"/>
        <d v="2025-01-05T18:10:45"/>
        <d v="2025-01-05T18:13:53"/>
        <d v="2025-01-05T18:16:42"/>
        <d v="2025-01-05T19:31:51"/>
        <d v="2025-01-05T19:36:57"/>
        <d v="2025-01-05T21:10:06"/>
        <d v="2025-01-05T21:39:58"/>
        <d v="2025-01-05T23:13:01"/>
        <d v="2025-01-05T23:16:17"/>
        <d v="2025-01-06T00:49:34"/>
        <d v="2025-01-06T07:32:06"/>
        <d v="2025-01-06T08:00:24"/>
        <d v="2025-01-06T09:00:14"/>
        <d v="2025-01-06T09:00:17"/>
        <d v="2025-01-06T11:12:53"/>
        <d v="2025-01-06T11:13:00"/>
        <d v="2025-01-06T11:15:34"/>
        <d v="2025-01-06T15:35:15"/>
        <d v="2025-01-06T16:06:31"/>
        <d v="2025-01-06T16:09:00"/>
        <d v="2025-01-06T16:48:06"/>
        <d v="2025-01-06T17:33:32"/>
        <d v="2025-01-06T17:46:52"/>
        <d v="2025-01-06T18:09:39"/>
        <d v="2025-01-06T18:35:00"/>
        <d v="2025-01-06T19:36:11"/>
        <d v="2025-01-06T19:37:42"/>
        <d v="2025-01-06T19:45:59"/>
        <d v="2025-01-06T19:58:53"/>
        <d v="2025-01-06T20:12:22"/>
        <d v="2025-01-06T20:39:35"/>
        <d v="2025-01-06T22:31:34"/>
        <d v="2025-01-06T23:32:24"/>
        <d v="2025-01-07T08:18:31"/>
        <d v="2025-01-07T09:22:44"/>
        <d v="2025-01-07T12:06:40"/>
        <d v="2025-01-07T12:39:53"/>
        <d v="2025-01-07T14:33:51"/>
        <d v="2025-01-07T16:21:05"/>
        <d v="2025-01-07T16:25:47"/>
        <d v="2025-01-07T16:40:04"/>
        <d v="2025-01-07T16:48:00"/>
        <d v="2025-01-07T17:16:59"/>
        <d v="2025-01-07T18:10:16"/>
        <d v="2025-01-07T18:20:07"/>
        <d v="2025-01-07T18:43:41"/>
        <d v="2025-01-07T19:19:19"/>
        <d v="2025-01-07T19:56:34"/>
        <d v="2025-01-07T20:56:27"/>
        <d v="2025-01-07T22:42:35"/>
        <d v="2025-01-08T06:51:45"/>
        <d v="2025-01-08T07:08:31"/>
        <d v="2025-01-08T08:34:54"/>
        <d v="2025-01-08T09:44:20"/>
        <d v="2025-01-08T10:11:53"/>
        <d v="2025-01-08T10:49:37"/>
        <d v="2025-01-08T10:53:01"/>
        <d v="2025-01-08T12:03:49"/>
        <d v="2025-01-08T12:08:28"/>
        <d v="2025-01-08T14:11:28"/>
        <d v="2025-01-08T14:24:54"/>
        <d v="2025-01-08T14:26:04"/>
        <d v="2025-01-08T14:57:05"/>
        <d v="2025-01-08T15:11:52"/>
        <d v="2025-01-08T16:08:21"/>
        <d v="2025-01-08T16:12:14"/>
        <d v="2025-01-08T17:20:16"/>
        <d v="2025-01-08T18:11:02"/>
        <d v="2025-01-08T18:24:01"/>
        <d v="2025-01-08T18:45:37"/>
        <d v="2025-01-08T19:03:12"/>
        <d v="2025-01-08T21:17:06"/>
        <d v="2025-01-08T21:47:51"/>
        <d v="2025-01-08T22:31:21"/>
        <d v="2025-01-09T11:33:39"/>
        <d v="2025-01-09T12:30:42"/>
        <d v="2025-01-09T13:26:45"/>
        <d v="2025-01-09T15:08:43"/>
        <d v="2025-01-09T15:11:16"/>
        <d v="2025-01-09T15:31:40"/>
        <d v="2025-01-09T16:49:42"/>
        <d v="2025-01-09T16:59:23"/>
        <d v="2025-01-09T17:22:47"/>
        <d v="2025-01-09T17:54:28"/>
        <d v="2025-01-09T18:38:05"/>
        <d v="2025-01-09T19:38:08"/>
        <d v="2025-01-09T20:14:39"/>
        <d v="2025-01-09T20:50:29"/>
        <d v="2025-01-09T20:54:46"/>
        <d v="2025-01-09T21:37:39"/>
        <d v="2025-01-09T22:02:28"/>
        <d v="2025-01-09T23:19:56"/>
        <d v="2025-01-10T10:04:11"/>
        <d v="2025-01-10T10:18:12"/>
        <d v="2025-01-10T10:23:17"/>
        <d v="2025-01-10T10:26:57"/>
        <d v="2025-01-10T11:30:35"/>
        <d v="2025-01-10T11:50:24"/>
        <d v="2025-01-10T12:54:20"/>
        <d v="2025-01-10T14:11:55"/>
        <d v="2025-01-10T14:28:06"/>
        <d v="2025-01-10T15:11:52"/>
        <d v="2025-01-10T17:39:43"/>
        <d v="2025-01-10T19:41:31"/>
        <d v="2025-01-10T22:12:54"/>
        <d v="2025-01-10T23:48:22"/>
        <d v="2025-01-11T00:12:08"/>
        <d v="2025-01-11T09:00:21"/>
        <d v="2025-01-11T09:02:42"/>
        <d v="2025-01-11T10:14:35"/>
        <d v="2025-01-11T10:15:10"/>
        <d v="2025-01-11T10:32:12"/>
        <d v="2025-01-11T11:34:13"/>
        <d v="2025-01-11T11:46:47"/>
        <d v="2025-01-11T12:22:38"/>
        <d v="2025-01-11T12:32:11"/>
        <d v="2025-01-11T12:40:23"/>
        <d v="2025-01-11T14:08:31"/>
        <d v="2025-01-11T14:11:37"/>
        <d v="2025-01-11T14:58:32"/>
        <d v="2025-01-11T17:33:34"/>
        <d v="2025-01-12T12:09:23"/>
        <d v="2025-01-12T12:14:03"/>
        <d v="2025-01-12T12:44:53"/>
        <d v="2025-01-12T17:22:46"/>
        <d v="2025-01-12T18:59:41"/>
        <d v="2025-01-12T19:15:59"/>
        <d v="2025-01-12T21:49:34"/>
        <d v="2025-01-12T23:40:48"/>
        <d v="2025-01-13T10:26:53"/>
        <d v="2025-01-13T12:33:47"/>
        <d v="2025-01-13T13:18:33"/>
        <d v="2025-01-13T14:22:20"/>
        <d v="2025-01-13T14:34:23"/>
        <d v="2025-01-13T20:37:35"/>
        <d v="2025-01-14T09:06:57"/>
        <d v="2025-01-14T10:13:49"/>
        <d v="2025-01-14T12:44:50"/>
        <d v="2025-01-14T16:18:00"/>
        <d v="2025-01-14T17:44:10"/>
        <d v="2025-01-14T18:41:52"/>
        <d v="2025-01-14T18:42:38"/>
        <d v="2025-01-14T23:40:29"/>
        <d v="2025-01-15T00:02:33"/>
        <d v="2025-01-15T00:39:16"/>
        <d v="2025-01-15T09:21:07"/>
        <d v="2025-01-15T11:03:20"/>
        <d v="2025-01-15T11:10:57"/>
        <d v="2025-01-15T12:23:31"/>
        <d v="2025-01-15T13:27:47"/>
        <d v="2025-01-15T14:23:33"/>
        <d v="2025-01-15T14:29:10"/>
        <d v="2025-01-15T14:48:04"/>
        <d v="2025-01-15T16:17:48"/>
        <d v="2025-01-15T19:26:20"/>
        <d v="2025-01-15T23:45:20"/>
        <d v="2025-01-16T07:01:42"/>
        <d v="2025-01-16T09:15:31"/>
        <d v="2025-01-16T09:57:44"/>
        <d v="2025-01-16T11:51:48"/>
        <d v="2025-01-16T17:37:54"/>
        <d v="2025-01-16T19:35:51"/>
        <d v="2025-01-17T08:55:12"/>
        <d v="2025-01-17T09:18:21"/>
        <d v="2025-01-17T11:45:10"/>
        <d v="2025-01-17T12:25:14"/>
        <d v="2025-01-17T13:38:23"/>
        <d v="2025-01-17T14:49:01"/>
        <d v="2025-01-17T14:55:33"/>
        <d v="2025-01-17T17:51:04"/>
        <d v="2025-01-17T19:42:11"/>
        <d v="2025-01-17T22:39:38"/>
        <d v="2025-01-17T23:51:02"/>
        <d v="2025-01-18T01:28:06"/>
        <d v="2025-01-18T08:26:55"/>
        <d v="2025-01-18T10:18:47"/>
        <d v="2025-01-18T11:08:03"/>
        <d v="2025-01-18T16:20:19"/>
        <d v="2025-01-18T16:55:26"/>
        <d v="2025-01-18T16:58:11"/>
        <d v="2025-01-18T17:02:38"/>
        <d v="2025-01-18T17:23:30"/>
        <d v="2025-01-18T17:37:32"/>
        <d v="2025-01-18T18:03:18"/>
        <d v="2025-01-19T09:06:32"/>
        <d v="2025-01-19T09:31:00"/>
        <d v="2025-01-19T09:51:58"/>
        <d v="2025-01-19T11:30:25"/>
        <d v="2025-01-19T12:01:53"/>
        <d v="2025-01-19T14:39:08"/>
        <d v="2025-01-19T14:59:17"/>
        <d v="2025-01-19T15:03:32"/>
        <d v="2025-01-19T16:22:49"/>
        <d v="2025-01-19T17:37:25"/>
        <d v="2025-01-19T18:11:35"/>
        <d v="2025-01-19T19:57:45"/>
        <d v="2025-01-19T20:58:09"/>
        <d v="2025-01-19T22:28:10"/>
        <d v="2025-01-19T22:44:47"/>
        <d v="2025-01-19T23:15:02"/>
        <d v="2025-01-19T23:48:14"/>
        <d v="2025-01-20T09:09:10"/>
        <d v="2025-01-20T12:08:02"/>
        <d v="2025-01-20T14:25:20"/>
        <d v="2025-01-20T18:22:40"/>
        <d v="2025-01-20T20:53:19"/>
        <d v="2025-01-20T21:19:00"/>
        <d v="2025-01-21T08:05:06"/>
        <d v="2025-01-21T09:44:44"/>
        <d v="2025-01-21T10:42:21"/>
        <d v="2025-01-21T12:14:40"/>
        <d v="2025-01-21T12:54:34"/>
        <d v="2025-01-21T14:31:08"/>
        <d v="2025-01-21T15:33:59"/>
        <d v="2025-01-21T16:57:47"/>
        <d v="2025-01-21T18:05:42"/>
        <d v="2025-01-21T18:29:01"/>
        <d v="2025-01-21T19:33:39"/>
        <d v="2025-01-21T20:07:00"/>
        <d v="2025-01-21T22:25:05"/>
        <d v="2025-01-21T23:12:04"/>
        <d v="2025-01-22T00:21:18"/>
        <d v="2025-01-22T04:42:47"/>
        <d v="2025-01-22T11:46:49"/>
        <d v="2025-01-22T15:57:07"/>
        <d v="2025-01-22T16:35:59"/>
        <d v="2025-01-22T18:47:11"/>
        <d v="2025-01-22T19:15:55"/>
        <d v="2025-01-22T20:20:37"/>
        <d v="2025-01-22T23:09:50"/>
        <d v="2025-01-23T09:00:17"/>
        <d v="2025-01-23T10:12:02"/>
        <d v="2025-01-23T10:25:23"/>
        <d v="2025-01-23T12:49:46"/>
        <d v="2025-01-23T13:23:32"/>
        <d v="2025-01-23T16:50:55"/>
        <d v="2025-01-23T22:06:02"/>
        <d v="2025-01-24T09:00:19"/>
        <d v="2025-01-24T09:55:53"/>
        <d v="2025-01-24T12:35:47"/>
        <d v="2025-01-24T14:48:32"/>
        <d v="2025-01-24T14:56:16"/>
        <d v="2025-01-24T16:30:12"/>
        <d v="2025-01-24T20:56:20"/>
        <d v="2025-01-24T23:55:14"/>
        <d v="2025-01-25T00:04:46"/>
        <d v="2025-01-25T01:34:08"/>
        <d v="2025-01-25T09:43:48"/>
        <d v="2025-01-25T10:40:09"/>
        <d v="2025-01-25T11:45:59"/>
        <d v="2025-01-25T12:04:20"/>
        <d v="2025-01-25T13:46:48"/>
        <d v="2025-01-25T14:30:58"/>
        <d v="2025-01-25T15:49:09"/>
        <d v="2025-01-25T18:07:54"/>
        <d v="2025-01-25T18:23:56"/>
        <d v="2025-01-25T18:47:44"/>
        <d v="2025-01-25T19:45:04"/>
        <d v="2025-01-25T21:21:05"/>
        <d v="2025-01-25T23:15:55"/>
        <d v="2025-01-26T10:17:17"/>
        <d v="2025-01-26T11:54:30"/>
        <d v="2025-01-26T12:46:09"/>
        <d v="2025-01-26T14:07:25"/>
        <d v="2025-01-26T15:18:44"/>
        <d v="2025-01-26T17:22:39"/>
        <d v="2025-01-26T17:52:50"/>
        <d v="2025-01-26T19:59:25"/>
        <d v="2025-01-27T09:00:16"/>
        <d v="2025-01-27T10:33:25"/>
        <d v="2025-01-27T12:01:19"/>
        <d v="2025-01-27T13:11:50"/>
        <d v="2025-01-27T14:19:37"/>
        <d v="2025-01-27T14:30:14"/>
        <d v="2025-01-27T14:50:49"/>
        <d v="2025-01-27T17:20:56"/>
        <d v="2025-01-28T06:53:22"/>
        <d v="2025-01-28T09:09:35"/>
        <d v="2025-01-28T10:22:04"/>
        <d v="2025-01-28T10:41:05"/>
        <d v="2025-01-28T11:16:42"/>
        <d v="2025-01-28T14:33:29"/>
        <d v="2025-01-28T16:44:17"/>
        <d v="2025-01-28T18:51:34"/>
        <d v="2025-01-29T08:48:13"/>
        <d v="2025-01-29T09:44:31"/>
        <d v="2025-01-29T11:03:02"/>
        <d v="2025-01-29T11:30:11"/>
        <d v="2025-01-29T11:59:43"/>
        <d v="2025-01-29T14:04:24"/>
        <d v="2025-01-29T15:02:08"/>
        <d v="2025-01-29T16:43:32"/>
        <d v="2025-01-29T16:47:58"/>
        <d v="2025-01-29T19:15:42"/>
        <d v="2025-01-29T21:00:11"/>
        <d v="2025-01-29T22:03:22"/>
        <d v="2025-01-30T01:06:18"/>
        <d v="2025-01-30T08:59:02"/>
        <d v="2025-01-30T09:57:20"/>
        <d v="2025-01-30T10:19:12"/>
        <d v="2025-01-30T11:19:19"/>
        <d v="2025-01-30T13:22:36"/>
        <d v="2025-01-30T15:15:55"/>
        <d v="2025-01-30T15:39:48"/>
        <d v="2025-01-30T15:57:02"/>
        <d v="2025-01-30T16:22:19"/>
        <d v="2025-01-30T17:21:48"/>
        <d v="2025-01-30T17:27:39"/>
        <d v="2025-01-30T17:43:06"/>
        <d v="2025-01-30T20:14:26"/>
        <d v="2025-01-30T23:43:29"/>
        <d v="2025-01-31T07:11:38"/>
        <d v="2025-01-31T08:58:21"/>
        <d v="2025-01-31T12:11:08"/>
        <d v="2025-01-31T17:42:13"/>
        <d v="2025-01-31T21:48:52"/>
        <d v="2025-02-01T08:10:53"/>
        <d v="2025-02-01T11:04:31"/>
        <d v="2025-02-01T15:59:32"/>
        <d v="2025-02-01T17:43:41"/>
        <d v="2025-02-01T18:25:28"/>
        <d v="2025-02-01T20:19:46"/>
        <d v="2025-02-02T01:46:59"/>
        <d v="2025-02-02T09:12:37"/>
        <d v="2025-02-02T10:12:23"/>
        <d v="2025-02-02T10:16:18"/>
        <d v="2025-02-02T10:36:03"/>
        <d v="2025-02-02T11:27:47"/>
        <d v="2025-02-02T13:14:47"/>
        <d v="2025-02-02T13:15:26"/>
        <d v="2025-02-02T16:13:01"/>
        <d v="2025-02-02T18:20:33"/>
        <d v="2025-02-02T18:47:03"/>
        <d v="2025-02-02T18:52:37"/>
        <d v="2025-02-02T19:12:25"/>
        <d v="2025-02-02T19:16:04"/>
        <d v="2025-02-02T19:27:47"/>
        <d v="2025-02-02T20:58:23"/>
        <d v="2025-02-02T21:17:54"/>
        <d v="2025-02-02T23:33:19"/>
        <d v="2025-02-03T09:16:39"/>
        <d v="2025-02-03T12:05:17"/>
        <d v="2025-02-03T19:22:59"/>
        <d v="2025-02-03T22:23:56"/>
        <d v="2025-02-03T23:14:41"/>
        <d v="2025-02-04T00:47:25"/>
        <d v="2025-02-04T08:25:06"/>
        <d v="2025-02-04T09:06:23"/>
        <d v="2025-02-04T10:13:03"/>
        <d v="2025-02-04T12:14:50"/>
        <d v="2025-02-04T13:17:23"/>
        <d v="2025-02-04T17:34:32"/>
        <d v="2025-02-04T18:23:25"/>
        <d v="2025-02-05T07:39:29"/>
        <d v="2025-02-05T08:31:31"/>
        <d v="2025-02-05T09:38:30"/>
        <d v="2025-02-05T11:34:30"/>
        <d v="2025-02-05T12:42:25"/>
        <d v="2025-02-05T13:09:07"/>
        <d v="2025-02-05T18:51:31"/>
        <d v="2025-02-05T20:18:39"/>
        <d v="2025-02-05T22:01:17"/>
        <d v="2025-02-05T22:06:46"/>
        <d v="2025-02-05T23:07:40"/>
        <d v="2025-02-06T01:15:04"/>
        <d v="2025-02-06T10:07:19"/>
        <d v="2025-02-06T10:13:59"/>
        <d v="2025-02-06T13:50:57"/>
        <d v="2025-02-06T16:27:53"/>
        <d v="2025-02-06T18:55:05"/>
        <d v="2025-02-06T19:40:33"/>
        <d v="2025-02-06T19:54:02"/>
        <d v="2025-02-06T20:14:37"/>
        <d v="2025-02-07T09:24:50"/>
        <d v="2025-02-07T11:06:58"/>
        <d v="2025-02-07T11:26:12"/>
        <d v="2025-02-07T12:14:44"/>
        <d v="2025-02-07T15:58:23"/>
        <d v="2025-02-07T18:04:25"/>
        <d v="2025-02-08T00:12:49"/>
        <d v="2025-02-08T08:11:13"/>
        <d v="2025-02-08T10:50:00"/>
        <d v="2025-02-08T13:11:57"/>
        <d v="2025-02-09T21:45:20"/>
        <d v="2025-02-10T01:08:53"/>
        <d v="2025-02-10T12:54:56"/>
        <d v="2025-02-10T17:07:43"/>
        <d v="2025-02-10T18:06:55"/>
        <d v="2025-02-10T20:24:46"/>
        <d v="2025-02-11T10:13:06"/>
        <d v="2025-02-11T13:46:18"/>
        <d v="2025-02-11T17:01:00"/>
        <d v="2025-02-13T10:09:14"/>
        <d v="2025-02-13T16:12:42"/>
        <d v="2025-02-13T16:13:37"/>
        <d v="2025-02-14T09:30:59"/>
        <d v="2025-02-14T12:57:00"/>
        <d v="2025-02-15T08:55:32"/>
        <d v="2025-02-15T12:05:56"/>
        <d v="2025-02-15T17:56:25"/>
        <d v="2025-02-15T23:49:20"/>
        <d v="2025-02-16T00:03:37"/>
        <d v="2025-02-16T11:48:53"/>
        <d v="2025-02-16T16:34:15"/>
        <d v="2025-02-17T00:51:56"/>
        <d v="2025-02-17T10:41:30"/>
        <d v="2025-02-17T15:35:33"/>
        <d v="2025-02-19T10:36:20"/>
        <d v="2025-02-20T10:37:08"/>
        <d v="2025-02-20T13:13:45"/>
        <d v="2025-02-20T18:03:48"/>
        <d v="2025-02-20T18:47:45"/>
        <d v="2025-02-20T19:23:58"/>
        <d v="2025-02-20T20:14:24"/>
        <d v="2025-02-21T00:07:27"/>
        <d v="2025-02-21T01:32:32"/>
        <d v="2025-02-21T08:18:02"/>
        <d v="2025-02-21T10:59:21"/>
        <d v="2025-02-21T13:53:47"/>
        <d v="2025-02-21T14:10:28"/>
        <d v="2025-02-21T16:28:19"/>
        <d v="2025-02-21T16:36:05"/>
        <d v="2025-02-21T18:08:33"/>
        <d v="2025-02-21T23:51:02"/>
        <d v="2025-02-22T01:25:10"/>
        <d v="2025-02-22T07:43:27"/>
        <d v="2025-02-22T09:45:00"/>
        <d v="2025-02-22T10:21:58"/>
        <d v="2025-02-22T13:47:39"/>
        <d v="2025-02-22T13:56:45"/>
        <d v="2025-02-22T15:18:51"/>
        <d v="2025-02-22T20:38:23"/>
        <d v="2025-02-22T21:35:18"/>
        <d v="2025-02-22T22:44:54"/>
        <d v="2025-02-23T11:59:15"/>
        <d v="2025-02-23T16:21:41"/>
        <d v="2025-02-24T11:17:08"/>
        <d v="2025-02-24T13:10:24"/>
        <d v="2025-02-24T14:56:45"/>
        <d v="2025-02-24T15:13:53"/>
        <d v="2025-02-24T19:54:28"/>
        <d v="2025-02-25T01:16:45"/>
        <d v="2025-02-25T12:38:37"/>
        <d v="2025-02-25T17:27:58"/>
        <d v="2025-02-25T22:47:45"/>
        <d v="2025-02-26T00:01:38"/>
        <d v="2025-02-26T11:08:17"/>
        <d v="2025-02-26T11:24:00"/>
        <d v="2025-02-26T17:27:15"/>
        <d v="2025-02-27T09:54:41"/>
        <d v="2025-02-27T10:41:44"/>
        <d v="2025-02-27T15:51:54"/>
        <d v="2025-02-27T23:42:47"/>
        <d v="2025-02-28T06:32:58"/>
        <d v="2025-02-28T09:00:29"/>
        <d v="2025-02-28T10:10:52"/>
        <d v="2025-02-28T11:14:08"/>
        <d v="2025-02-28T16:52:36"/>
        <d v="2025-02-28T19:16:59"/>
        <d v="2025-02-28T19:23:27"/>
        <d v="2025-02-28T22:30:30"/>
        <d v="2025-03-01T01:34:13"/>
        <d v="2025-03-01T09:00:11"/>
        <d v="2025-03-01T11:25:06"/>
        <d v="2025-03-01T12:18:02"/>
        <d v="2025-03-01T12:46:52"/>
        <d v="2025-03-01T14:51:40"/>
        <d v="2025-03-01T18:39:10"/>
        <d v="2025-03-01T18:45:14"/>
        <d v="2025-03-02T00:08:35"/>
        <d v="2025-03-02T01:37:35"/>
        <d v="2025-03-02T03:17:41"/>
        <d v="2025-03-02T09:00:16"/>
        <d v="2025-03-02T12:24:59"/>
        <d v="2025-03-02T12:45:31"/>
        <d v="2025-03-02T17:38:19"/>
        <d v="2025-03-02T17:58:20"/>
        <d v="2025-03-02T18:49:24"/>
        <d v="2025-03-03T12:37:55"/>
        <d v="2025-03-03T13:24:44"/>
        <d v="2025-03-03T19:20:40"/>
        <d v="2025-03-03T20:13:33"/>
        <d v="2025-03-04T01:17:27"/>
        <d v="2025-03-04T12:08:09"/>
        <d v="2025-03-04T15:11:30"/>
        <d v="2025-03-04T23:38:15"/>
        <d v="2025-03-05T09:39:01"/>
        <d v="2025-03-05T20:00:47"/>
        <d v="2025-03-05T21:40:00"/>
        <d v="2025-03-06T09:00:04"/>
        <d v="2025-03-06T11:05:59"/>
        <d v="2025-03-06T17:19:15"/>
        <d v="2025-03-06T23:38:52"/>
        <d v="2025-03-07T09:01:19"/>
        <d v="2025-03-07T09:13:38"/>
        <d v="2025-03-07T14:50:59"/>
        <d v="2025-03-07T15:19:44"/>
        <d v="2025-03-08T17:17:21"/>
        <d v="2025-03-08T18:06:34"/>
        <d v="2025-03-09T00:49:12"/>
        <d v="2025-03-09T11:17:34"/>
        <d v="2025-03-09T12:47:57"/>
        <d v="2025-03-09T15:27:08"/>
        <d v="2025-03-09T17:08:00"/>
        <d v="2025-03-09T18:21:20"/>
        <d v="2025-03-09T19:27:27"/>
        <d v="2025-03-10T12:14:48"/>
        <d v="2025-03-10T17:28:22"/>
        <d v="2025-03-10T18:23:56"/>
        <d v="2025-03-10T19:06:37"/>
        <d v="2025-03-10T23:14:39"/>
        <d v="2025-03-11T08:43:58"/>
        <d v="2025-03-11T11:06:25"/>
        <d v="2025-03-11T11:48:13"/>
        <d v="2025-03-11T18:01:43"/>
        <d v="2025-03-11T18:09:42"/>
        <d v="2025-03-12T01:41:54"/>
        <d v="2025-03-12T23:46:14"/>
        <d v="2025-03-13T09:40:40"/>
        <d v="2025-03-14T01:48:11"/>
        <d v="2025-03-14T09:51:07"/>
        <d v="2025-03-14T16:45:10"/>
        <d v="2025-03-15T09:00:15"/>
        <d v="2025-03-15T09:14:26"/>
        <d v="2025-03-16T22:02:45"/>
        <d v="2025-03-16T22:05:04"/>
        <d v="2025-03-17T02:13:24"/>
        <d v="2025-03-17T09:39:08"/>
        <d v="2025-03-17T11:21:20"/>
        <d v="2025-03-17T12:20:51"/>
        <d v="2025-03-17T17:31:55"/>
        <d v="2025-03-17T17:36:53"/>
        <d v="2025-03-17T21:55:44"/>
        <d v="2025-03-17T22:52:53"/>
        <d v="2025-03-18T00:14:51"/>
        <d v="2025-03-18T08:13:27"/>
        <d v="2025-03-18T12:20:43"/>
        <d v="2025-03-18T17:17:39"/>
        <d v="2025-03-19T00:11:16"/>
        <d v="2025-03-19T12:50:26"/>
        <d v="2025-03-19T17:18:15"/>
        <d v="2025-03-20T01:56:13"/>
        <d v="2025-03-20T15:59:07"/>
        <d v="2025-03-20T16:49:22"/>
        <d v="2025-03-20T19:26:26"/>
        <d v="2025-03-20T23:46:34"/>
        <d v="2025-03-21T00:10:19"/>
        <d v="2025-03-21T11:20:37"/>
        <d v="2025-03-22T11:29:14"/>
        <d v="2025-03-22T18:05:07"/>
        <d v="2025-03-23T15:21:18"/>
        <d v="2025-03-23T15:41:59"/>
        <d v="2025-03-24T09:00:19"/>
        <d v="2025-03-24T11:20:00"/>
        <d v="2025-03-27T08:40:18"/>
        <d v="2025-03-27T09:17:18"/>
        <d v="2025-03-27T16:28:23"/>
        <d v="2025-03-27T17:04:29"/>
        <d v="2025-03-27T19:20:17"/>
        <d v="2025-03-27T22:45:22"/>
        <d v="2025-03-28T09:33:49"/>
        <d v="2025-03-28T14:37:01"/>
        <d v="2025-03-28T18:29:00"/>
        <d v="2025-03-29T11:28:23"/>
        <d v="2025-03-29T11:46:34"/>
        <d v="2025-03-30T19:21:37"/>
        <d v="2025-03-30T20:55:40"/>
        <d v="2025-03-30T21:37:46"/>
        <d v="2025-03-30T21:49:39"/>
        <d v="2025-03-30T23:00:56"/>
        <d v="2025-03-31T00:24:59"/>
        <d v="2025-03-31T00:30:58"/>
        <d v="2025-03-31T08:30:39"/>
        <d v="2025-03-31T13:29:15"/>
        <d v="2025-03-31T14:17:46"/>
        <d v="2025-03-31T17:40:55"/>
        <d v="2025-03-31T23:37:08"/>
        <d v="2025-04-01T08:26:44"/>
        <d v="2025-04-01T21:34:13"/>
        <d v="2025-04-02T09:06:46"/>
        <d v="2025-04-02T10:17:08"/>
        <d v="2025-04-02T10:44:23"/>
        <d v="2025-04-02T14:45:11"/>
        <d v="2025-04-02T18:09:52"/>
        <d v="2025-04-02T21:35:56"/>
        <d v="2025-04-02T22:52:13"/>
        <d v="2025-04-03T00:26:11"/>
        <d v="2025-04-03T14:49:40"/>
        <d v="2025-04-03T15:00:51"/>
        <d v="2025-04-03T16:51:04"/>
        <d v="2025-04-03T22:39:04"/>
        <d v="2025-04-04T01:09:31"/>
        <d v="2025-04-04T11:43:28"/>
        <d v="2025-04-04T14:59:56"/>
        <d v="2025-04-04T15:24:55"/>
        <d v="2025-04-04T22:27:39"/>
        <d v="2025-04-05T07:20:35"/>
        <d v="2025-04-05T09:03:52"/>
        <d v="2025-04-05T09:58:43"/>
        <d v="2025-04-05T11:54:04"/>
        <d v="2025-04-05T12:33:29"/>
        <d v="2025-04-05T17:52:56"/>
        <d v="2025-04-06T10:21:29"/>
        <d v="2025-04-06T10:53:12"/>
        <d v="2025-04-06T12:46:03"/>
        <d v="2025-04-06T17:24:19"/>
        <d v="2025-04-06T19:32:31"/>
        <d v="2025-04-07T09:00:23"/>
        <d v="2025-04-07T18:28:41"/>
        <d v="2025-04-07T23:29:21"/>
        <d v="2025-04-08T17:11:58"/>
        <d v="2025-04-08T17:46:31"/>
        <d v="2025-04-09T12:15:19"/>
        <d v="2025-04-09T17:41:34"/>
        <d v="2025-04-10T09:25:48"/>
        <d v="2025-04-10T11:18:44"/>
        <d v="2025-04-10T15:50:53"/>
        <d v="2025-04-11T07:57:26"/>
        <d v="2025-04-13T16:31:33"/>
        <d v="2025-04-16T09:59:08"/>
        <d v="2025-04-16T10:18:26"/>
        <d v="2025-04-16T12:03:33"/>
        <d v="2025-04-16T12:29:06"/>
        <d v="2025-04-17T22:42:28"/>
        <d v="2025-04-18T08:06:27"/>
        <d v="2025-04-18T08:13:03"/>
        <d v="2025-04-18T08:45:37"/>
        <d v="2025-04-18T10:12:30"/>
        <d v="2025-04-18T12:49:41"/>
        <d v="2025-04-18T14:21:01"/>
        <d v="2025-04-18T20:05:22"/>
        <d v="2025-04-18T20:21:02"/>
        <d v="2025-04-18T20:59:47"/>
        <d v="2025-04-19T11:14:32"/>
        <d v="2025-04-19T14:21:14"/>
        <d v="2025-04-19T14:55:42"/>
        <d v="2025-04-21T01:43:44"/>
        <d v="2025-04-21T10:07:17"/>
        <d v="2025-04-21T15:15:11"/>
        <d v="2025-04-21T18:39:13"/>
        <d v="2025-04-21T20:09:21"/>
        <d v="2025-04-21T21:03:22"/>
        <d v="2025-04-21T23:43:46"/>
        <d v="2025-04-22T09:46:09"/>
        <d v="2025-04-22T18:07:16"/>
        <d v="2025-04-23T00:26:53"/>
        <d v="2025-04-23T12:20:14"/>
        <d v="2025-04-23T12:45:57"/>
        <d v="2025-04-23T23:18:29"/>
        <d v="2025-04-24T10:04:48"/>
        <d v="2025-04-24T13:26:57"/>
        <d v="2025-04-24T15:17:18"/>
        <d v="2025-04-24T16:48:54"/>
        <d v="2025-04-24T17:08:02"/>
        <d v="2025-04-24T17:30:21"/>
        <d v="2025-04-24T21:01:30"/>
        <d v="2025-04-24T22:20:33"/>
        <d v="2025-04-25T04:48:10"/>
        <d v="2025-04-25T09:42:04"/>
        <d v="2025-04-25T10:39:09"/>
        <d v="2025-04-25T10:58:14"/>
        <d v="2025-04-25T12:07:29"/>
        <d v="2025-04-25T12:21:13"/>
        <d v="2025-04-25T12:24:06"/>
        <d v="2025-04-25T12:42:40"/>
        <d v="2025-04-25T15:45:14"/>
        <d v="2025-04-25T18:00:50"/>
        <d v="2025-04-25T23:56:32"/>
        <d v="2025-04-26T09:20:38"/>
        <d v="2025-04-26T09:27:40"/>
        <d v="2025-04-26T09:53:14"/>
        <d v="2025-04-26T10:49:18"/>
        <d v="2025-04-26T11:08:20"/>
        <d v="2025-04-26T12:42:22"/>
        <d v="2025-04-26T13:02:42"/>
        <d v="2025-04-26T18:53:25"/>
        <d v="2025-04-26T21:09:43"/>
        <d v="2025-04-26T23:39:56"/>
        <d v="2025-04-26T23:43:41"/>
        <d v="2025-04-27T08:57:52"/>
        <d v="2025-04-27T09:40:03"/>
        <d v="2025-04-27T11:27:16"/>
        <d v="2025-04-27T12:12:04"/>
        <d v="2025-04-27T14:31:42"/>
        <d v="2025-04-27T20:03:25"/>
        <d v="2025-04-27T21:46:28"/>
        <d v="2025-04-28T00:12:56"/>
        <d v="2025-04-28T06:32:41"/>
        <d v="2025-04-29T00:16:11"/>
        <d v="2025-04-29T08:47:06"/>
        <d v="2025-04-29T09:09:10"/>
        <d v="2025-04-29T17:28:58"/>
        <d v="2025-04-29T17:42:40"/>
        <d v="2025-04-29T22:00:58"/>
        <d v="2025-04-30T11:18:35"/>
        <d v="2025-04-30T12:05:18"/>
        <d v="2025-04-30T12:30:27"/>
        <d v="2025-04-30T21:59:30"/>
        <d v="2025-04-30T22:53:58"/>
        <d v="2025-05-01T01:50:59"/>
        <d v="2025-05-01T19:01:21"/>
        <d v="2025-05-02T09:55:41"/>
        <d v="2025-05-02T12:38:41"/>
        <d v="2025-05-02T15:01:10"/>
        <d v="2025-05-02T16:49:20"/>
        <d v="2025-05-03T09:18:30"/>
        <d v="2025-05-03T11:16:46"/>
        <d v="2025-05-03T12:39:45"/>
        <d v="2025-05-03T21:05:52"/>
        <d v="2025-05-04T09:59:21"/>
        <d v="2025-05-04T11:00:28"/>
        <d v="2025-05-04T15:07:55"/>
        <d v="2025-05-04T20:24:45"/>
        <d v="2025-05-04T23:03:35"/>
        <d v="2025-05-05T08:54:22"/>
        <d v="2025-05-05T09:00:08"/>
        <d v="2025-05-05T10:21:48"/>
        <d v="2025-05-05T11:35:27"/>
        <d v="2025-05-05T12:15:50"/>
        <d v="2025-05-05T15:38:40"/>
        <d v="2025-05-05T16:13:50"/>
        <d v="2025-05-05T17:03:58"/>
        <d v="2025-05-05T19:27:49"/>
        <d v="2025-05-05T19:28:28"/>
        <d v="2025-05-05T21:21:17"/>
        <d v="2025-05-06T09:24:36"/>
        <d v="2025-05-06T12:18:27"/>
        <d v="2025-05-06T12:55:21"/>
        <d v="2025-05-06T15:27:22"/>
        <d v="2025-05-07T15:20:46"/>
        <d v="2025-05-07T16:01:36"/>
        <d v="2025-05-07T16:37:22"/>
        <d v="2025-05-08T12:01:00"/>
        <d v="2025-05-08T15:27:57"/>
        <d v="2025-05-08T17:02:20"/>
        <d v="2025-05-08T17:52:51"/>
        <d v="2025-05-08T19:46:24"/>
        <d v="2025-05-08T20:21:08"/>
        <d v="2025-05-09T08:24:14"/>
        <d v="2025-05-09T08:50:53"/>
        <d v="2025-05-09T09:21:42"/>
        <d v="2025-05-09T10:07:40"/>
        <d v="2025-05-09T11:52:11"/>
        <d v="2025-05-09T17:04:20"/>
        <d v="2025-05-10T12:58:12"/>
        <d v="2025-05-10T13:58:23"/>
        <d v="2025-05-10T23:23:21"/>
        <d v="2025-05-11T07:50:29"/>
        <d v="2025-05-11T09:19:48"/>
        <d v="2025-05-11T14:50:14"/>
        <d v="2025-05-11T16:57:32"/>
        <d v="2025-05-11T18:03:57"/>
        <d v="2025-05-11T20:39:03"/>
        <d v="2025-05-12T13:34:28"/>
        <d v="2025-05-12T16:48:32"/>
        <d v="2025-05-12T17:07:49"/>
        <d v="2025-05-13T18:10:59"/>
        <d v="2025-05-14T09:38:48"/>
        <d v="2025-05-14T14:15:32"/>
        <d v="2025-05-14T18:39:31"/>
        <d v="2025-05-14T19:21:55"/>
        <d v="2025-05-15T11:02:12"/>
        <d v="2025-05-15T11:09:56"/>
        <d v="2025-05-15T11:51:22"/>
        <d v="2025-05-15T16:27:54"/>
        <d v="2025-05-16T20:43:43"/>
        <d v="2025-05-17T09:53:21"/>
        <d v="2025-05-17T20:41:17"/>
        <d v="2025-05-17T21:21:09"/>
        <d v="2025-05-18T08:59:37"/>
        <d v="2025-05-18T10:33:36"/>
        <d v="2025-05-18T14:58:40"/>
        <d v="2025-05-18T19:27:53"/>
        <d v="2025-05-19T09:47:39"/>
        <d v="2025-05-19T22:14:51"/>
        <d v="2025-05-19T22:26:34"/>
        <d v="2025-05-20T08:41:34"/>
        <d v="2025-05-20T11:54:23"/>
        <d v="2025-05-20T16:55:51"/>
        <d v="2025-05-20T17:20:12"/>
        <d v="2025-05-20T18:59:14"/>
        <d v="2025-05-20T20:56:36"/>
        <d v="2025-05-21T00:36:53"/>
        <d v="2025-05-21T09:27:40"/>
        <d v="2025-05-21T10:43:38"/>
        <d v="2025-05-21T11:08:43"/>
        <d v="2025-05-21T12:55:29"/>
        <d v="2025-05-21T13:52:57"/>
        <d v="2025-05-22T20:58:56"/>
        <d v="2025-05-22T20:59:36"/>
        <d v="2025-05-22T21:27:06"/>
        <d v="2025-05-22T23:10:30"/>
        <d v="2025-05-23T08:46:35"/>
        <d v="2025-05-23T09:00:07"/>
        <d v="2025-05-23T09:36:17"/>
        <d v="2025-05-23T15:34:49"/>
        <d v="2025-05-23T16:50:49"/>
        <d v="2025-05-23T17:14:28"/>
        <d v="2025-05-24T06:12:04"/>
        <d v="2025-05-24T09:20:16"/>
        <d v="2025-05-24T10:21:24"/>
        <d v="2025-05-24T13:33:24"/>
        <d v="2025-05-24T16:20:22"/>
        <d v="2025-05-24T17:16:59"/>
        <d v="2025-05-24T19:43:55"/>
        <d v="2025-05-25T00:03:05"/>
        <d v="2025-05-25T09:00:07"/>
        <d v="2025-05-26T10:29:17"/>
        <d v="2025-05-26T11:51:38"/>
        <d v="2025-05-26T15:12:11"/>
        <d v="2025-05-26T15:21:44"/>
        <d v="2025-05-26T17:56:00"/>
        <d v="2025-05-26T18:04:00"/>
        <d v="2025-05-27T04:41:16"/>
        <d v="2025-05-27T10:45:00"/>
        <d v="2025-05-27T10:46:00"/>
        <d v="2025-05-27T10:48:00"/>
        <d v="2025-05-27T10:50:00"/>
        <d v="2025-05-27T15:10:30"/>
        <d v="2025-05-27T18:41:10"/>
        <d v="2025-05-28T13:05:05"/>
        <d v="2025-05-28T16:34:48"/>
        <d v="2025-05-28T20:22:59"/>
        <d v="2025-05-29T06:05:01"/>
        <d v="2025-05-29T09:44:42"/>
        <d v="2025-05-30T08:15:26"/>
        <d v="2025-05-30T16:44:05"/>
        <d v="2025-05-31T09:18:30"/>
        <d v="2025-05-31T15:46:15"/>
        <d v="2025-05-31T16:41:38"/>
        <d v="2025-05-31T17:58:03"/>
        <d v="2025-06-01T00:43:04"/>
        <d v="2025-06-01T11:38:57"/>
        <d v="2025-06-01T11:56:55"/>
        <d v="2025-06-01T12:54:23"/>
        <d v="2025-06-01T15:04:58"/>
        <d v="2025-06-01T20:54:47"/>
        <d v="2025-06-01T20:59:51"/>
        <d v="2025-06-01T21:13:15"/>
        <d v="2025-06-01T21:15:52"/>
        <d v="2025-06-01T23:05:27"/>
        <d v="2025-06-01T23:36:27"/>
        <d v="2025-06-02T01:33:53"/>
        <d v="2025-06-02T07:41:20"/>
        <d v="2025-06-02T08:15:35"/>
        <d v="2025-06-02T11:58:55"/>
        <d v="2025-06-02T12:50:21"/>
        <d v="2025-06-02T19:19:05"/>
        <d v="2025-06-02T20:26:38"/>
        <d v="2025-06-02T22:47:28"/>
        <d v="2025-06-03T00:56:59"/>
        <d v="2025-06-03T08:13:33"/>
        <d v="2025-06-03T08:56:39"/>
        <d v="2025-06-03T09:02:23"/>
        <d v="2025-06-03T09:16:28"/>
        <d v="2025-06-03T11:59:29"/>
        <d v="2025-06-03T14:20:50"/>
        <d v="2025-06-03T14:40:15"/>
        <d v="2025-06-03T17:14:31"/>
        <d v="2025-06-03T19:10:59"/>
        <d v="2025-06-03T19:14:59"/>
        <d v="2025-06-03T23:26:16"/>
        <d v="2025-06-04T07:06:01"/>
        <d v="2025-06-04T07:56:31"/>
        <d v="2025-06-04T08:40:26"/>
        <d v="2025-06-04T09:36:34"/>
        <d v="2025-06-04T09:39:40"/>
        <d v="2025-06-04T09:48:40"/>
        <d v="2025-06-04T10:21:13"/>
        <d v="2025-06-04T11:26:45"/>
        <d v="2025-06-04T15:47:53"/>
        <d v="2025-06-04T16:00:34"/>
        <d v="2025-06-04T18:26:18"/>
        <d v="2025-06-04T20:44:23"/>
        <d v="2025-06-04T21:20:48"/>
        <d v="2025-06-04T21:23:21"/>
        <d v="2025-06-04T21:26:26"/>
        <d v="2025-06-04T22:09:15"/>
        <d v="2025-06-04T22:20:31"/>
        <d v="2025-06-04T22:39:45"/>
        <d v="2025-06-04T22:41:33"/>
        <d v="2025-06-04T23:30:04"/>
        <d v="2025-06-05T00:12:09"/>
        <d v="2025-06-05T06:42:21"/>
        <d v="2025-06-05T06:57:08"/>
        <d v="2025-06-05T13:13:24"/>
        <d v="2025-06-05T16:05:41"/>
        <d v="2025-06-05T16:50:01"/>
        <d v="2025-06-05T17:02:44"/>
        <d v="2025-06-05T18:04:20"/>
        <d v="2025-06-05T18:19:00"/>
        <d v="2025-06-05T20:17:05"/>
        <d v="2025-06-05T21:03:08"/>
        <d v="2025-06-05T21:27:11"/>
        <d v="2025-06-06T02:36:08"/>
        <d v="2025-06-06T10:50:40"/>
        <d v="2025-06-06T15:56:14"/>
        <d v="2025-06-06T17:42:33"/>
        <d v="2025-06-07T10:07:41"/>
        <d v="2025-06-08T04:04:40"/>
        <d v="2025-06-08T11:44:41"/>
        <d v="2025-06-08T14:33:39"/>
        <d v="2025-06-08T17:58:02"/>
        <d v="2025-06-09T10:26:52"/>
        <d v="2025-06-09T15:05:24"/>
        <d v="2025-06-09T17:59:05"/>
        <d v="2025-06-09T21:12:28"/>
        <d v="2025-06-10T10:29:46"/>
        <d v="2025-06-10T17:29:08"/>
        <d v="2025-06-10T19:02:12"/>
        <d v="2025-06-10T23:26:52"/>
        <d v="2025-06-11T08:29:17"/>
        <d v="2025-06-11T21:08:38"/>
        <d v="2025-06-12T14:38:46"/>
        <d v="2025-06-14T10:37:42"/>
        <d v="2025-06-14T18:29:41"/>
        <d v="2025-06-14T23:35:10"/>
        <d v="2025-06-15T10:31:09"/>
        <d v="2025-06-15T18:25:00"/>
        <d v="2025-06-15T20:02:57"/>
        <d v="2025-06-16T09:21:31"/>
        <d v="2025-06-16T10:09:28"/>
        <d v="2025-06-17T07:23:46"/>
        <d v="2025-06-17T16:50:05"/>
        <d v="2025-06-17T20:45:13"/>
        <d v="2025-06-18T01:13:36"/>
        <d v="2025-06-18T13:38:17"/>
        <d v="2025-06-18T21:22:33"/>
        <d v="2025-06-19T13:33:47"/>
        <d v="2025-06-19T15:36:35"/>
        <d v="2025-06-20T09:25:41"/>
        <d v="2025-06-20T20:50:07"/>
        <m/>
      </sharedItems>
      <fieldGroup par="8"/>
    </cacheField>
    <cacheField name="Codigo" numFmtId="0">
      <sharedItems containsBlank="1"/>
    </cacheField>
    <cacheField name="Categoría" numFmtId="0">
      <sharedItems containsBlank="1"/>
    </cacheField>
    <cacheField name="Producto" numFmtId="0">
      <sharedItems containsBlank="1"/>
    </cacheField>
    <cacheField name="Cantidad" numFmtId="0">
      <sharedItems containsString="0" containsBlank="1" containsNumber="1" containsInteger="1" minValue="1" maxValue="5"/>
    </cacheField>
    <cacheField name="Venta Bruta" numFmtId="0">
      <sharedItems containsString="0" containsBlank="1" containsNumber="1" containsInteger="1" minValue="10" maxValue="59980"/>
    </cacheField>
    <cacheField name="Costo venta" numFmtId="0">
      <sharedItems containsString="0" containsBlank="1" containsNumber="1" containsInteger="1" minValue="500" maxValue="26307"/>
    </cacheField>
    <cacheField name="Días (Fecha)" numFmtId="0" databaseField="0">
      <fieldGroup base="0">
        <rangePr groupBy="days" startDate="2025-01-01T02:49:49" endDate="2025-06-20T20:50:07"/>
        <groupItems count="368">
          <s v="&lt;01-01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5"/>
        </groupItems>
      </fieldGroup>
    </cacheField>
    <cacheField name="Meses (Fecha)" numFmtId="0" databaseField="0">
      <fieldGroup base="0">
        <rangePr groupBy="months" startDate="2025-01-01T02:49:49" endDate="2025-06-20T20:50:07"/>
        <groupItems count="14">
          <s v="&lt;01-01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829.775988657413" createdVersion="3" refreshedVersion="8" minRefreshableVersion="3" recordCount="5753" xr:uid="{00000000-000A-0000-FFFF-FFFF01000000}">
  <cacheSource type="worksheet">
    <worksheetSource ref="A1:G50000" sheet="Ventas"/>
  </cacheSource>
  <cacheFields count="9">
    <cacheField name="Fecha" numFmtId="0">
      <sharedItems containsNonDate="0" containsDate="1" containsString="0" containsBlank="1" minDate="2025-01-01T02:49:49" maxDate="2025-06-20T20:50:07" count="1015">
        <d v="2025-01-01T02:49:49"/>
        <d v="2025-01-01T10:12:00"/>
        <d v="2025-01-01T10:19:02"/>
        <d v="2025-01-01T13:17:32"/>
        <d v="2025-01-01T13:49:22"/>
        <d v="2025-01-01T14:04:38"/>
        <d v="2025-01-01T14:48:23"/>
        <d v="2025-01-01T15:14:54"/>
        <d v="2025-01-01T17:14:35"/>
        <d v="2025-01-01T17:19:11"/>
        <d v="2025-01-01T19:12:53"/>
        <d v="2025-01-01T21:46:26"/>
        <d v="2025-01-01T23:47:10"/>
        <d v="2025-01-02T00:42:11"/>
        <d v="2025-01-02T06:48:24"/>
        <d v="2025-01-02T08:50:43"/>
        <d v="2025-01-02T09:00:17"/>
        <d v="2025-01-02T09:20:18"/>
        <d v="2025-01-02T09:28:54"/>
        <d v="2025-01-02T09:41:48"/>
        <d v="2025-01-02T09:55:53"/>
        <d v="2025-01-02T12:33:02"/>
        <d v="2025-01-02T14:23:51"/>
        <d v="2025-01-02T16:25:50"/>
        <d v="2025-01-02T16:56:36"/>
        <d v="2025-01-02T17:51:48"/>
        <d v="2025-01-02T18:03:27"/>
        <d v="2025-01-02T19:24:03"/>
        <d v="2025-01-02T20:20:20"/>
        <d v="2025-01-02T20:28:17"/>
        <d v="2025-01-02T20:44:55"/>
        <d v="2025-01-02T20:54:59"/>
        <d v="2025-01-02T21:25:23"/>
        <d v="2025-01-02T22:45:54"/>
        <d v="2025-01-02T23:09:55"/>
        <d v="2025-01-03T00:03:57"/>
        <d v="2025-01-03T07:03:44"/>
        <d v="2025-01-03T07:24:24"/>
        <d v="2025-01-03T11:42:43"/>
        <d v="2025-01-03T12:17:22"/>
        <d v="2025-01-03T13:05:21"/>
        <d v="2025-01-03T13:06:01"/>
        <d v="2025-01-03T13:40:09"/>
        <d v="2025-01-03T15:11:04"/>
        <d v="2025-01-03T15:52:14"/>
        <d v="2025-01-03T16:24:46"/>
        <d v="2025-01-03T18:53:40"/>
        <d v="2025-01-03T19:11:06"/>
        <d v="2025-01-03T19:26:46"/>
        <d v="2025-01-03T21:17:58"/>
        <d v="2025-01-03T23:55:41"/>
        <d v="2025-01-04T08:45:28"/>
        <d v="2025-01-04T09:31:57"/>
        <d v="2025-01-04T10:18:55"/>
        <d v="2025-01-04T10:47:47"/>
        <d v="2025-01-04T11:00:01"/>
        <d v="2025-01-04T11:05:43"/>
        <d v="2025-01-04T11:34:14"/>
        <d v="2025-01-04T11:48:40"/>
        <d v="2025-01-04T11:52:44"/>
        <d v="2025-01-04T12:04:46"/>
        <d v="2025-01-04T13:22:11"/>
        <d v="2025-01-04T14:33:48"/>
        <d v="2025-01-04T16:14:00"/>
        <d v="2025-01-04T16:25:20"/>
        <d v="2025-01-04T20:11:26"/>
        <d v="2025-01-04T20:29:35"/>
        <d v="2025-01-04T21:21:04"/>
        <d v="2025-01-04T21:27:54"/>
        <d v="2025-01-04T23:06:36"/>
        <d v="2025-01-05T00:37:51"/>
        <d v="2025-01-05T05:36:20"/>
        <d v="2025-01-05T10:37:12"/>
        <d v="2025-01-05T12:43:47"/>
        <d v="2025-01-05T12:47:33"/>
        <d v="2025-01-05T13:09:21"/>
        <d v="2025-01-05T13:18:45"/>
        <d v="2025-01-05T14:13:34"/>
        <d v="2025-01-05T14:31:21"/>
        <d v="2025-01-05T14:59:41"/>
        <d v="2025-01-05T14:59:56"/>
        <d v="2025-01-05T17:31:47"/>
        <d v="2025-01-05T18:10:45"/>
        <d v="2025-01-05T18:13:53"/>
        <d v="2025-01-05T18:16:42"/>
        <d v="2025-01-05T19:31:51"/>
        <d v="2025-01-05T19:36:57"/>
        <d v="2025-01-05T21:10:06"/>
        <d v="2025-01-05T21:39:58"/>
        <d v="2025-01-05T23:13:01"/>
        <d v="2025-01-05T23:16:17"/>
        <d v="2025-01-06T00:49:34"/>
        <d v="2025-01-06T07:32:06"/>
        <d v="2025-01-06T08:00:24"/>
        <d v="2025-01-06T09:00:14"/>
        <d v="2025-01-06T09:00:17"/>
        <d v="2025-01-06T11:12:53"/>
        <d v="2025-01-06T11:13:00"/>
        <d v="2025-01-06T11:15:34"/>
        <d v="2025-01-06T15:35:15"/>
        <d v="2025-01-06T16:06:31"/>
        <d v="2025-01-06T16:09:00"/>
        <d v="2025-01-06T16:48:06"/>
        <d v="2025-01-06T17:33:32"/>
        <d v="2025-01-06T17:46:52"/>
        <d v="2025-01-06T18:09:39"/>
        <d v="2025-01-06T18:35:00"/>
        <d v="2025-01-06T19:36:11"/>
        <d v="2025-01-06T19:37:42"/>
        <d v="2025-01-06T19:45:59"/>
        <d v="2025-01-06T19:58:53"/>
        <d v="2025-01-06T20:12:22"/>
        <d v="2025-01-06T20:39:35"/>
        <d v="2025-01-06T22:31:34"/>
        <d v="2025-01-06T23:32:24"/>
        <d v="2025-01-07T08:18:31"/>
        <d v="2025-01-07T09:22:44"/>
        <d v="2025-01-07T12:06:40"/>
        <d v="2025-01-07T12:39:53"/>
        <d v="2025-01-07T14:33:51"/>
        <d v="2025-01-07T16:21:05"/>
        <d v="2025-01-07T16:25:47"/>
        <d v="2025-01-07T16:40:04"/>
        <d v="2025-01-07T16:48:00"/>
        <d v="2025-01-07T17:16:59"/>
        <d v="2025-01-07T18:10:16"/>
        <d v="2025-01-07T18:20:07"/>
        <d v="2025-01-07T18:43:41"/>
        <d v="2025-01-07T19:19:19"/>
        <d v="2025-01-07T19:56:34"/>
        <d v="2025-01-07T20:56:27"/>
        <d v="2025-01-07T22:42:35"/>
        <d v="2025-01-08T06:51:45"/>
        <d v="2025-01-08T07:08:31"/>
        <d v="2025-01-08T08:34:54"/>
        <d v="2025-01-08T09:44:20"/>
        <d v="2025-01-08T10:11:53"/>
        <d v="2025-01-08T10:49:37"/>
        <d v="2025-01-08T10:53:01"/>
        <d v="2025-01-08T12:03:49"/>
        <d v="2025-01-08T12:08:28"/>
        <d v="2025-01-08T14:11:28"/>
        <d v="2025-01-08T14:24:54"/>
        <d v="2025-01-08T14:26:04"/>
        <d v="2025-01-08T14:57:05"/>
        <d v="2025-01-08T15:11:52"/>
        <d v="2025-01-08T16:08:21"/>
        <d v="2025-01-08T16:12:14"/>
        <d v="2025-01-08T17:20:16"/>
        <d v="2025-01-08T18:11:02"/>
        <d v="2025-01-08T18:24:01"/>
        <d v="2025-01-08T18:45:37"/>
        <d v="2025-01-08T19:03:12"/>
        <d v="2025-01-08T21:17:06"/>
        <d v="2025-01-08T21:47:51"/>
        <d v="2025-01-08T22:31:21"/>
        <d v="2025-01-09T11:33:39"/>
        <d v="2025-01-09T12:30:42"/>
        <d v="2025-01-09T13:26:45"/>
        <d v="2025-01-09T15:08:43"/>
        <d v="2025-01-09T15:11:16"/>
        <d v="2025-01-09T15:31:40"/>
        <d v="2025-01-09T16:49:42"/>
        <d v="2025-01-09T16:59:23"/>
        <d v="2025-01-09T17:22:47"/>
        <d v="2025-01-09T17:54:28"/>
        <d v="2025-01-09T18:38:05"/>
        <d v="2025-01-09T19:38:08"/>
        <d v="2025-01-09T20:14:39"/>
        <d v="2025-01-09T20:50:29"/>
        <d v="2025-01-09T20:54:46"/>
        <d v="2025-01-09T21:37:39"/>
        <d v="2025-01-09T22:02:28"/>
        <d v="2025-01-09T23:19:56"/>
        <d v="2025-01-10T10:04:11"/>
        <d v="2025-01-10T10:18:12"/>
        <d v="2025-01-10T10:23:17"/>
        <d v="2025-01-10T10:26:57"/>
        <d v="2025-01-10T11:30:35"/>
        <d v="2025-01-10T11:50:24"/>
        <d v="2025-01-10T12:54:20"/>
        <d v="2025-01-10T14:11:55"/>
        <d v="2025-01-10T14:28:06"/>
        <d v="2025-01-10T15:11:52"/>
        <d v="2025-01-10T17:39:43"/>
        <d v="2025-01-10T19:41:31"/>
        <d v="2025-01-10T22:12:54"/>
        <d v="2025-01-10T23:48:22"/>
        <d v="2025-01-11T00:12:08"/>
        <d v="2025-01-11T09:00:21"/>
        <d v="2025-01-11T09:02:42"/>
        <d v="2025-01-11T10:14:35"/>
        <d v="2025-01-11T10:15:10"/>
        <d v="2025-01-11T10:32:12"/>
        <d v="2025-01-11T11:34:13"/>
        <d v="2025-01-11T11:46:47"/>
        <d v="2025-01-11T12:22:38"/>
        <d v="2025-01-11T12:32:11"/>
        <d v="2025-01-11T12:40:23"/>
        <d v="2025-01-11T14:08:31"/>
        <d v="2025-01-11T14:11:37"/>
        <d v="2025-01-11T14:58:32"/>
        <d v="2025-01-11T17:33:34"/>
        <d v="2025-01-12T12:09:23"/>
        <d v="2025-01-12T12:14:03"/>
        <d v="2025-01-12T12:44:53"/>
        <d v="2025-01-12T17:22:46"/>
        <d v="2025-01-12T18:59:41"/>
        <d v="2025-01-12T19:15:59"/>
        <d v="2025-01-12T21:49:34"/>
        <d v="2025-01-12T23:40:48"/>
        <d v="2025-01-13T10:26:53"/>
        <d v="2025-01-13T12:33:47"/>
        <d v="2025-01-13T13:18:33"/>
        <d v="2025-01-13T14:22:20"/>
        <d v="2025-01-13T14:34:23"/>
        <d v="2025-01-13T20:37:35"/>
        <d v="2025-01-14T09:06:57"/>
        <d v="2025-01-14T10:13:49"/>
        <d v="2025-01-14T12:44:50"/>
        <d v="2025-01-14T16:18:00"/>
        <d v="2025-01-14T17:44:10"/>
        <d v="2025-01-14T18:41:52"/>
        <d v="2025-01-14T18:42:38"/>
        <d v="2025-01-14T23:40:29"/>
        <d v="2025-01-15T00:02:33"/>
        <d v="2025-01-15T00:39:16"/>
        <d v="2025-01-15T09:21:07"/>
        <d v="2025-01-15T11:03:20"/>
        <d v="2025-01-15T11:10:57"/>
        <d v="2025-01-15T12:23:31"/>
        <d v="2025-01-15T13:27:47"/>
        <d v="2025-01-15T14:23:33"/>
        <d v="2025-01-15T14:29:10"/>
        <d v="2025-01-15T14:48:04"/>
        <d v="2025-01-15T16:17:48"/>
        <d v="2025-01-15T19:26:20"/>
        <d v="2025-01-15T23:45:20"/>
        <d v="2025-01-16T07:01:42"/>
        <d v="2025-01-16T09:15:31"/>
        <d v="2025-01-16T09:57:44"/>
        <d v="2025-01-16T11:51:48"/>
        <d v="2025-01-16T17:37:54"/>
        <d v="2025-01-16T19:35:51"/>
        <d v="2025-01-17T08:55:12"/>
        <d v="2025-01-17T09:18:21"/>
        <d v="2025-01-17T11:45:10"/>
        <d v="2025-01-17T12:25:14"/>
        <d v="2025-01-17T13:38:23"/>
        <d v="2025-01-17T14:49:01"/>
        <d v="2025-01-17T14:55:33"/>
        <d v="2025-01-17T17:51:04"/>
        <d v="2025-01-17T19:42:11"/>
        <d v="2025-01-17T22:39:38"/>
        <d v="2025-01-17T23:51:02"/>
        <d v="2025-01-18T01:28:06"/>
        <d v="2025-01-18T08:26:55"/>
        <d v="2025-01-18T10:18:47"/>
        <d v="2025-01-18T11:08:03"/>
        <d v="2025-01-18T16:20:19"/>
        <d v="2025-01-18T16:55:26"/>
        <d v="2025-01-18T16:58:11"/>
        <d v="2025-01-18T17:02:38"/>
        <d v="2025-01-18T17:23:30"/>
        <d v="2025-01-18T17:37:32"/>
        <d v="2025-01-18T18:03:18"/>
        <d v="2025-01-19T09:06:32"/>
        <d v="2025-01-19T09:31:00"/>
        <d v="2025-01-19T09:51:58"/>
        <d v="2025-01-19T11:30:25"/>
        <d v="2025-01-19T12:01:53"/>
        <d v="2025-01-19T14:39:08"/>
        <d v="2025-01-19T14:59:17"/>
        <d v="2025-01-19T15:03:32"/>
        <d v="2025-01-19T16:22:49"/>
        <d v="2025-01-19T17:37:25"/>
        <d v="2025-01-19T18:11:35"/>
        <d v="2025-01-19T19:57:45"/>
        <d v="2025-01-19T20:58:09"/>
        <d v="2025-01-19T22:28:10"/>
        <d v="2025-01-19T22:44:47"/>
        <d v="2025-01-19T23:15:02"/>
        <d v="2025-01-19T23:48:14"/>
        <d v="2025-01-20T09:09:10"/>
        <d v="2025-01-20T12:08:02"/>
        <d v="2025-01-20T14:25:20"/>
        <d v="2025-01-20T18:22:40"/>
        <d v="2025-01-20T20:53:19"/>
        <d v="2025-01-20T21:19:00"/>
        <d v="2025-01-21T08:05:06"/>
        <d v="2025-01-21T09:44:44"/>
        <d v="2025-01-21T10:42:21"/>
        <d v="2025-01-21T12:14:40"/>
        <d v="2025-01-21T12:54:34"/>
        <d v="2025-01-21T14:31:08"/>
        <d v="2025-01-21T15:33:59"/>
        <d v="2025-01-21T16:57:47"/>
        <d v="2025-01-21T18:05:42"/>
        <d v="2025-01-21T18:29:01"/>
        <d v="2025-01-21T19:33:39"/>
        <d v="2025-01-21T20:07:00"/>
        <d v="2025-01-21T22:25:05"/>
        <d v="2025-01-21T23:12:04"/>
        <d v="2025-01-22T00:21:18"/>
        <d v="2025-01-22T04:42:47"/>
        <d v="2025-01-22T11:46:49"/>
        <d v="2025-01-22T15:57:07"/>
        <d v="2025-01-22T16:35:59"/>
        <d v="2025-01-22T18:47:11"/>
        <d v="2025-01-22T19:15:55"/>
        <d v="2025-01-22T20:20:37"/>
        <d v="2025-01-22T23:09:50"/>
        <d v="2025-01-23T09:00:17"/>
        <d v="2025-01-23T10:12:02"/>
        <d v="2025-01-23T10:25:23"/>
        <d v="2025-01-23T12:49:46"/>
        <d v="2025-01-23T13:23:32"/>
        <d v="2025-01-23T16:50:55"/>
        <d v="2025-01-23T22:06:02"/>
        <d v="2025-01-24T09:00:19"/>
        <d v="2025-01-24T09:55:53"/>
        <d v="2025-01-24T12:35:47"/>
        <d v="2025-01-24T14:48:32"/>
        <d v="2025-01-24T14:56:16"/>
        <d v="2025-01-24T16:30:12"/>
        <d v="2025-01-24T20:56:20"/>
        <d v="2025-01-24T23:55:14"/>
        <d v="2025-01-25T00:04:46"/>
        <d v="2025-01-25T01:34:08"/>
        <d v="2025-01-25T09:43:48"/>
        <d v="2025-01-25T10:40:09"/>
        <d v="2025-01-25T11:45:59"/>
        <d v="2025-01-25T12:04:20"/>
        <d v="2025-01-25T13:46:48"/>
        <d v="2025-01-25T14:30:58"/>
        <d v="2025-01-25T15:49:09"/>
        <d v="2025-01-25T18:07:54"/>
        <d v="2025-01-25T18:23:56"/>
        <d v="2025-01-25T18:47:44"/>
        <d v="2025-01-25T19:45:04"/>
        <d v="2025-01-25T21:21:05"/>
        <d v="2025-01-25T23:15:55"/>
        <d v="2025-01-26T10:17:17"/>
        <d v="2025-01-26T11:54:30"/>
        <d v="2025-01-26T12:46:09"/>
        <d v="2025-01-26T14:07:25"/>
        <d v="2025-01-26T15:18:44"/>
        <d v="2025-01-26T17:22:39"/>
        <d v="2025-01-26T17:52:50"/>
        <d v="2025-01-26T19:59:25"/>
        <d v="2025-01-27T09:00:16"/>
        <d v="2025-01-27T10:33:25"/>
        <d v="2025-01-27T12:01:19"/>
        <d v="2025-01-27T13:11:50"/>
        <d v="2025-01-27T14:19:37"/>
        <d v="2025-01-27T14:30:14"/>
        <d v="2025-01-27T14:50:49"/>
        <d v="2025-01-27T17:20:56"/>
        <d v="2025-01-28T06:53:22"/>
        <d v="2025-01-28T09:09:35"/>
        <d v="2025-01-28T10:22:04"/>
        <d v="2025-01-28T10:41:05"/>
        <d v="2025-01-28T11:16:42"/>
        <d v="2025-01-28T14:33:29"/>
        <d v="2025-01-28T16:44:17"/>
        <d v="2025-01-28T18:51:34"/>
        <d v="2025-01-29T08:48:13"/>
        <d v="2025-01-29T09:44:31"/>
        <d v="2025-01-29T11:03:02"/>
        <d v="2025-01-29T11:30:11"/>
        <d v="2025-01-29T11:59:43"/>
        <d v="2025-01-29T14:04:24"/>
        <d v="2025-01-29T15:02:08"/>
        <d v="2025-01-29T16:43:32"/>
        <d v="2025-01-29T16:47:58"/>
        <d v="2025-01-29T19:15:42"/>
        <d v="2025-01-29T21:00:11"/>
        <d v="2025-01-29T22:03:22"/>
        <d v="2025-01-30T01:06:18"/>
        <d v="2025-01-30T08:59:02"/>
        <d v="2025-01-30T09:57:20"/>
        <d v="2025-01-30T10:19:12"/>
        <d v="2025-01-30T11:19:19"/>
        <d v="2025-01-30T13:22:36"/>
        <d v="2025-01-30T15:15:55"/>
        <d v="2025-01-30T15:39:48"/>
        <d v="2025-01-30T15:57:02"/>
        <d v="2025-01-30T16:22:19"/>
        <d v="2025-01-30T17:21:48"/>
        <d v="2025-01-30T17:27:39"/>
        <d v="2025-01-30T17:43:06"/>
        <d v="2025-01-30T20:14:26"/>
        <d v="2025-01-30T23:43:29"/>
        <d v="2025-01-31T07:11:38"/>
        <d v="2025-01-31T08:58:21"/>
        <d v="2025-01-31T12:11:08"/>
        <d v="2025-01-31T17:42:13"/>
        <d v="2025-01-31T21:48:52"/>
        <d v="2025-02-01T08:10:53"/>
        <d v="2025-02-01T11:04:31"/>
        <d v="2025-02-01T15:59:32"/>
        <d v="2025-02-01T17:43:41"/>
        <d v="2025-02-01T18:25:28"/>
        <d v="2025-02-01T20:19:46"/>
        <d v="2025-02-02T01:46:59"/>
        <d v="2025-02-02T09:12:37"/>
        <d v="2025-02-02T10:12:23"/>
        <d v="2025-02-02T10:16:18"/>
        <d v="2025-02-02T10:36:03"/>
        <d v="2025-02-02T11:27:47"/>
        <d v="2025-02-02T13:14:47"/>
        <d v="2025-02-02T13:15:26"/>
        <d v="2025-02-02T16:13:01"/>
        <d v="2025-02-02T18:20:33"/>
        <d v="2025-02-02T18:47:03"/>
        <d v="2025-02-02T18:52:37"/>
        <d v="2025-02-02T19:12:25"/>
        <d v="2025-02-02T19:16:04"/>
        <d v="2025-02-02T19:27:47"/>
        <d v="2025-02-02T20:58:23"/>
        <d v="2025-02-02T21:17:54"/>
        <d v="2025-02-02T23:33:19"/>
        <d v="2025-02-03T09:16:39"/>
        <d v="2025-02-03T12:05:17"/>
        <d v="2025-02-03T19:22:59"/>
        <d v="2025-02-03T22:23:56"/>
        <d v="2025-02-03T23:14:41"/>
        <d v="2025-02-04T00:47:25"/>
        <d v="2025-02-04T08:25:06"/>
        <d v="2025-02-04T09:06:23"/>
        <d v="2025-02-04T10:13:03"/>
        <d v="2025-02-04T12:14:50"/>
        <d v="2025-02-04T13:17:23"/>
        <d v="2025-02-04T17:34:32"/>
        <d v="2025-02-04T18:23:25"/>
        <d v="2025-02-05T07:39:29"/>
        <d v="2025-02-05T08:31:31"/>
        <d v="2025-02-05T09:38:30"/>
        <d v="2025-02-05T11:34:30"/>
        <d v="2025-02-05T12:42:25"/>
        <d v="2025-02-05T13:09:07"/>
        <d v="2025-02-05T18:51:31"/>
        <d v="2025-02-05T20:18:39"/>
        <d v="2025-02-05T22:01:17"/>
        <d v="2025-02-05T22:06:46"/>
        <d v="2025-02-05T23:07:40"/>
        <d v="2025-02-06T01:15:04"/>
        <d v="2025-02-06T10:07:19"/>
        <d v="2025-02-06T10:13:59"/>
        <d v="2025-02-06T13:50:57"/>
        <d v="2025-02-06T16:27:53"/>
        <d v="2025-02-06T18:55:05"/>
        <d v="2025-02-06T19:40:33"/>
        <d v="2025-02-06T19:54:02"/>
        <d v="2025-02-06T20:14:37"/>
        <d v="2025-02-07T09:24:50"/>
        <d v="2025-02-07T11:06:58"/>
        <d v="2025-02-07T11:26:12"/>
        <d v="2025-02-07T12:14:44"/>
        <d v="2025-02-07T15:58:23"/>
        <d v="2025-02-07T18:04:25"/>
        <d v="2025-02-08T00:12:49"/>
        <d v="2025-02-08T08:11:13"/>
        <d v="2025-02-08T10:50:00"/>
        <d v="2025-02-08T13:11:57"/>
        <d v="2025-02-09T21:45:20"/>
        <d v="2025-02-10T01:08:53"/>
        <d v="2025-02-10T12:54:56"/>
        <d v="2025-02-10T17:07:43"/>
        <d v="2025-02-10T18:06:55"/>
        <d v="2025-02-10T20:24:46"/>
        <d v="2025-02-11T10:13:06"/>
        <d v="2025-02-11T13:46:18"/>
        <d v="2025-02-11T17:01:00"/>
        <d v="2025-02-13T10:09:14"/>
        <d v="2025-02-13T16:12:42"/>
        <d v="2025-02-13T16:13:37"/>
        <d v="2025-02-14T09:30:59"/>
        <d v="2025-02-14T12:57:00"/>
        <d v="2025-02-15T08:55:32"/>
        <d v="2025-02-15T12:05:56"/>
        <d v="2025-02-15T17:56:25"/>
        <d v="2025-02-15T23:49:20"/>
        <d v="2025-02-16T00:03:37"/>
        <d v="2025-02-16T11:48:53"/>
        <d v="2025-02-16T16:34:15"/>
        <d v="2025-02-17T00:51:56"/>
        <d v="2025-02-17T10:41:30"/>
        <d v="2025-02-17T15:35:33"/>
        <d v="2025-02-19T10:36:20"/>
        <d v="2025-02-20T10:37:08"/>
        <d v="2025-02-20T13:13:45"/>
        <d v="2025-02-20T18:03:48"/>
        <d v="2025-02-20T18:47:45"/>
        <d v="2025-02-20T19:23:58"/>
        <d v="2025-02-20T20:14:24"/>
        <d v="2025-02-21T00:07:27"/>
        <d v="2025-02-21T01:32:32"/>
        <d v="2025-02-21T08:18:02"/>
        <d v="2025-02-21T10:59:21"/>
        <d v="2025-02-21T13:53:47"/>
        <d v="2025-02-21T14:10:28"/>
        <d v="2025-02-21T16:28:19"/>
        <d v="2025-02-21T16:36:05"/>
        <d v="2025-02-21T18:08:33"/>
        <d v="2025-02-21T23:51:02"/>
        <d v="2025-02-22T01:25:10"/>
        <d v="2025-02-22T07:43:27"/>
        <d v="2025-02-22T09:45:00"/>
        <d v="2025-02-22T10:21:58"/>
        <d v="2025-02-22T13:47:39"/>
        <d v="2025-02-22T13:56:45"/>
        <d v="2025-02-22T15:18:51"/>
        <d v="2025-02-22T20:38:23"/>
        <d v="2025-02-22T21:35:18"/>
        <d v="2025-02-22T22:44:54"/>
        <d v="2025-02-23T11:59:15"/>
        <d v="2025-02-23T16:21:41"/>
        <d v="2025-02-24T11:17:08"/>
        <d v="2025-02-24T13:10:24"/>
        <d v="2025-02-24T14:56:45"/>
        <d v="2025-02-24T15:13:53"/>
        <d v="2025-02-24T19:54:28"/>
        <d v="2025-02-25T01:16:45"/>
        <d v="2025-02-25T12:38:37"/>
        <d v="2025-02-25T17:27:58"/>
        <d v="2025-02-25T22:47:45"/>
        <d v="2025-02-26T00:01:38"/>
        <d v="2025-02-26T11:08:17"/>
        <d v="2025-02-26T11:24:00"/>
        <d v="2025-02-26T17:27:15"/>
        <d v="2025-02-27T09:54:41"/>
        <d v="2025-02-27T10:41:44"/>
        <d v="2025-02-27T15:51:54"/>
        <d v="2025-02-27T23:42:47"/>
        <d v="2025-02-28T06:32:58"/>
        <d v="2025-02-28T09:00:29"/>
        <d v="2025-02-28T10:10:52"/>
        <d v="2025-02-28T11:14:08"/>
        <d v="2025-02-28T16:52:36"/>
        <d v="2025-02-28T19:16:59"/>
        <d v="2025-02-28T19:23:27"/>
        <d v="2025-02-28T22:30:30"/>
        <d v="2025-03-01T01:34:13"/>
        <d v="2025-03-01T09:00:11"/>
        <d v="2025-03-01T11:25:06"/>
        <d v="2025-03-01T12:18:02"/>
        <d v="2025-03-01T12:46:52"/>
        <d v="2025-03-01T14:51:40"/>
        <d v="2025-03-01T18:39:10"/>
        <d v="2025-03-01T18:45:14"/>
        <d v="2025-03-02T00:08:35"/>
        <d v="2025-03-02T01:37:35"/>
        <d v="2025-03-02T03:17:41"/>
        <d v="2025-03-02T09:00:16"/>
        <d v="2025-03-02T12:24:59"/>
        <d v="2025-03-02T12:45:31"/>
        <d v="2025-03-02T17:38:19"/>
        <d v="2025-03-02T17:58:20"/>
        <d v="2025-03-02T18:49:24"/>
        <d v="2025-03-03T12:37:55"/>
        <d v="2025-03-03T13:24:44"/>
        <d v="2025-03-03T19:20:40"/>
        <d v="2025-03-03T20:13:33"/>
        <d v="2025-03-04T01:17:27"/>
        <d v="2025-03-04T12:08:09"/>
        <d v="2025-03-04T15:11:30"/>
        <d v="2025-03-04T23:38:15"/>
        <d v="2025-03-05T09:39:01"/>
        <d v="2025-03-05T20:00:47"/>
        <d v="2025-03-05T21:40:00"/>
        <d v="2025-03-06T09:00:04"/>
        <d v="2025-03-06T11:05:59"/>
        <d v="2025-03-06T17:19:15"/>
        <d v="2025-03-06T23:38:52"/>
        <d v="2025-03-07T09:01:19"/>
        <d v="2025-03-07T09:13:38"/>
        <d v="2025-03-07T14:50:59"/>
        <d v="2025-03-07T15:19:44"/>
        <d v="2025-03-08T17:17:21"/>
        <d v="2025-03-08T18:06:34"/>
        <d v="2025-03-09T00:49:12"/>
        <d v="2025-03-09T11:17:34"/>
        <d v="2025-03-09T12:47:57"/>
        <d v="2025-03-09T15:27:08"/>
        <d v="2025-03-09T17:08:00"/>
        <d v="2025-03-09T18:21:20"/>
        <d v="2025-03-09T19:27:27"/>
        <d v="2025-03-10T12:14:48"/>
        <d v="2025-03-10T17:28:22"/>
        <d v="2025-03-10T18:23:56"/>
        <d v="2025-03-10T19:06:37"/>
        <d v="2025-03-10T23:14:39"/>
        <d v="2025-03-11T08:43:58"/>
        <d v="2025-03-11T11:06:25"/>
        <d v="2025-03-11T11:48:13"/>
        <d v="2025-03-11T18:01:43"/>
        <d v="2025-03-11T18:09:42"/>
        <d v="2025-03-12T01:41:54"/>
        <d v="2025-03-12T23:46:14"/>
        <d v="2025-03-13T09:40:40"/>
        <d v="2025-03-14T01:48:11"/>
        <d v="2025-03-14T09:51:07"/>
        <d v="2025-03-14T16:45:10"/>
        <d v="2025-03-15T09:00:15"/>
        <d v="2025-03-15T09:14:26"/>
        <d v="2025-03-16T22:02:45"/>
        <d v="2025-03-16T22:05:04"/>
        <d v="2025-03-17T02:13:24"/>
        <d v="2025-03-17T09:39:08"/>
        <d v="2025-03-17T11:21:20"/>
        <d v="2025-03-17T12:20:51"/>
        <d v="2025-03-17T17:31:55"/>
        <d v="2025-03-17T17:36:53"/>
        <d v="2025-03-17T21:55:44"/>
        <d v="2025-03-17T22:52:53"/>
        <d v="2025-03-18T00:14:51"/>
        <d v="2025-03-18T08:13:27"/>
        <d v="2025-03-18T12:20:43"/>
        <d v="2025-03-18T17:17:39"/>
        <d v="2025-03-19T00:11:16"/>
        <d v="2025-03-19T12:50:26"/>
        <d v="2025-03-19T17:18:15"/>
        <d v="2025-03-20T01:56:13"/>
        <d v="2025-03-20T15:59:07"/>
        <d v="2025-03-20T16:49:22"/>
        <d v="2025-03-20T19:26:26"/>
        <d v="2025-03-20T23:46:34"/>
        <d v="2025-03-21T00:10:19"/>
        <d v="2025-03-21T11:20:37"/>
        <d v="2025-03-22T11:29:14"/>
        <d v="2025-03-22T18:05:07"/>
        <d v="2025-03-23T15:21:18"/>
        <d v="2025-03-23T15:41:59"/>
        <d v="2025-03-24T09:00:19"/>
        <d v="2025-03-24T11:20:00"/>
        <d v="2025-03-27T08:40:18"/>
        <d v="2025-03-27T09:17:18"/>
        <d v="2025-03-27T16:28:23"/>
        <d v="2025-03-27T17:04:29"/>
        <d v="2025-03-27T19:20:17"/>
        <d v="2025-03-27T22:45:22"/>
        <d v="2025-03-28T09:33:49"/>
        <d v="2025-03-28T14:37:01"/>
        <d v="2025-03-28T18:29:00"/>
        <d v="2025-03-29T11:28:23"/>
        <d v="2025-03-29T11:46:34"/>
        <d v="2025-03-30T19:21:37"/>
        <d v="2025-03-30T20:55:40"/>
        <d v="2025-03-30T21:37:46"/>
        <d v="2025-03-30T21:49:39"/>
        <d v="2025-03-30T23:00:56"/>
        <d v="2025-03-31T00:24:59"/>
        <d v="2025-03-31T00:30:58"/>
        <d v="2025-03-31T08:30:39"/>
        <d v="2025-03-31T13:29:15"/>
        <d v="2025-03-31T14:17:46"/>
        <d v="2025-03-31T17:40:55"/>
        <d v="2025-03-31T23:37:08"/>
        <d v="2025-04-01T08:26:44"/>
        <d v="2025-04-01T21:34:13"/>
        <d v="2025-04-02T09:06:46"/>
        <d v="2025-04-02T10:17:08"/>
        <d v="2025-04-02T10:44:23"/>
        <d v="2025-04-02T14:45:11"/>
        <d v="2025-04-02T18:09:52"/>
        <d v="2025-04-02T21:35:56"/>
        <d v="2025-04-02T22:52:13"/>
        <d v="2025-04-03T00:26:11"/>
        <d v="2025-04-03T14:49:40"/>
        <d v="2025-04-03T15:00:51"/>
        <d v="2025-04-03T16:51:04"/>
        <d v="2025-04-03T22:39:04"/>
        <d v="2025-04-04T01:09:31"/>
        <d v="2025-04-04T11:43:28"/>
        <d v="2025-04-04T14:59:56"/>
        <d v="2025-04-04T15:24:55"/>
        <d v="2025-04-04T22:27:39"/>
        <d v="2025-04-05T07:20:35"/>
        <d v="2025-04-05T09:03:52"/>
        <d v="2025-04-05T09:58:43"/>
        <d v="2025-04-05T11:54:04"/>
        <d v="2025-04-05T12:33:29"/>
        <d v="2025-04-05T17:52:56"/>
        <d v="2025-04-06T10:21:29"/>
        <d v="2025-04-06T10:53:12"/>
        <d v="2025-04-06T12:46:03"/>
        <d v="2025-04-06T17:24:19"/>
        <d v="2025-04-06T19:32:31"/>
        <d v="2025-04-07T09:00:23"/>
        <d v="2025-04-07T18:28:41"/>
        <d v="2025-04-07T23:29:21"/>
        <d v="2025-04-08T17:11:58"/>
        <d v="2025-04-08T17:46:31"/>
        <d v="2025-04-09T12:15:19"/>
        <d v="2025-04-09T17:41:34"/>
        <d v="2025-04-10T09:25:48"/>
        <d v="2025-04-10T11:18:44"/>
        <d v="2025-04-10T15:50:53"/>
        <d v="2025-04-11T07:57:26"/>
        <d v="2025-04-13T16:31:33"/>
        <d v="2025-04-16T09:59:08"/>
        <d v="2025-04-16T10:18:26"/>
        <d v="2025-04-16T12:03:33"/>
        <d v="2025-04-16T12:29:06"/>
        <d v="2025-04-17T22:42:28"/>
        <d v="2025-04-18T08:06:27"/>
        <d v="2025-04-18T08:13:03"/>
        <d v="2025-04-18T08:45:37"/>
        <d v="2025-04-18T10:12:30"/>
        <d v="2025-04-18T12:49:41"/>
        <d v="2025-04-18T14:21:01"/>
        <d v="2025-04-18T20:05:22"/>
        <d v="2025-04-18T20:21:02"/>
        <d v="2025-04-18T20:59:47"/>
        <d v="2025-04-19T11:14:32"/>
        <d v="2025-04-19T14:21:14"/>
        <d v="2025-04-19T14:55:42"/>
        <d v="2025-04-21T01:43:44"/>
        <d v="2025-04-21T10:07:17"/>
        <d v="2025-04-21T15:15:11"/>
        <d v="2025-04-21T18:39:13"/>
        <d v="2025-04-21T20:09:21"/>
        <d v="2025-04-21T21:03:22"/>
        <d v="2025-04-21T23:43:46"/>
        <d v="2025-04-22T09:46:09"/>
        <d v="2025-04-22T18:07:16"/>
        <d v="2025-04-23T00:26:53"/>
        <d v="2025-04-23T12:20:14"/>
        <d v="2025-04-23T12:45:57"/>
        <d v="2025-04-23T23:18:29"/>
        <d v="2025-04-24T10:04:48"/>
        <d v="2025-04-24T13:26:57"/>
        <d v="2025-04-24T15:17:18"/>
        <d v="2025-04-24T16:48:54"/>
        <d v="2025-04-24T17:08:02"/>
        <d v="2025-04-24T17:30:21"/>
        <d v="2025-04-24T21:01:30"/>
        <d v="2025-04-24T22:20:33"/>
        <d v="2025-04-25T04:48:10"/>
        <d v="2025-04-25T09:42:04"/>
        <d v="2025-04-25T10:39:09"/>
        <d v="2025-04-25T10:58:14"/>
        <d v="2025-04-25T12:07:29"/>
        <d v="2025-04-25T12:21:13"/>
        <d v="2025-04-25T12:24:06"/>
        <d v="2025-04-25T12:42:40"/>
        <d v="2025-04-25T15:45:14"/>
        <d v="2025-04-25T18:00:50"/>
        <d v="2025-04-25T23:56:32"/>
        <d v="2025-04-26T09:20:38"/>
        <d v="2025-04-26T09:27:40"/>
        <d v="2025-04-26T09:53:14"/>
        <d v="2025-04-26T10:49:18"/>
        <d v="2025-04-26T11:08:20"/>
        <d v="2025-04-26T12:42:22"/>
        <d v="2025-04-26T13:02:42"/>
        <d v="2025-04-26T18:53:25"/>
        <d v="2025-04-26T21:09:43"/>
        <d v="2025-04-26T23:39:56"/>
        <d v="2025-04-26T23:43:41"/>
        <d v="2025-04-27T08:57:52"/>
        <d v="2025-04-27T09:40:03"/>
        <d v="2025-04-27T11:27:16"/>
        <d v="2025-04-27T12:12:04"/>
        <d v="2025-04-27T14:31:42"/>
        <d v="2025-04-27T20:03:25"/>
        <d v="2025-04-27T21:46:28"/>
        <d v="2025-04-28T00:12:56"/>
        <d v="2025-04-28T06:32:41"/>
        <d v="2025-04-29T00:16:11"/>
        <d v="2025-04-29T08:47:06"/>
        <d v="2025-04-29T09:09:10"/>
        <d v="2025-04-29T17:28:58"/>
        <d v="2025-04-29T17:42:40"/>
        <d v="2025-04-29T22:00:58"/>
        <d v="2025-04-30T11:18:35"/>
        <d v="2025-04-30T12:05:18"/>
        <d v="2025-04-30T12:30:27"/>
        <d v="2025-04-30T21:59:30"/>
        <d v="2025-04-30T22:53:58"/>
        <d v="2025-05-01T01:50:59"/>
        <d v="2025-05-01T19:01:21"/>
        <d v="2025-05-02T09:55:41"/>
        <d v="2025-05-02T12:38:41"/>
        <d v="2025-05-02T15:01:10"/>
        <d v="2025-05-02T16:49:20"/>
        <d v="2025-05-03T09:18:30"/>
        <d v="2025-05-03T11:16:46"/>
        <d v="2025-05-03T12:39:45"/>
        <d v="2025-05-03T21:05:52"/>
        <d v="2025-05-04T09:59:21"/>
        <d v="2025-05-04T11:00:28"/>
        <d v="2025-05-04T15:07:55"/>
        <d v="2025-05-04T20:24:45"/>
        <d v="2025-05-04T23:03:35"/>
        <d v="2025-05-05T08:54:22"/>
        <d v="2025-05-05T09:00:08"/>
        <d v="2025-05-05T10:21:48"/>
        <d v="2025-05-05T11:35:27"/>
        <d v="2025-05-05T12:15:50"/>
        <d v="2025-05-05T15:38:40"/>
        <d v="2025-05-05T16:13:50"/>
        <d v="2025-05-05T17:03:58"/>
        <d v="2025-05-05T19:27:49"/>
        <d v="2025-05-05T19:28:28"/>
        <d v="2025-05-05T21:21:17"/>
        <d v="2025-05-06T09:24:36"/>
        <d v="2025-05-06T12:18:27"/>
        <d v="2025-05-06T12:55:21"/>
        <d v="2025-05-06T15:27:22"/>
        <d v="2025-05-07T15:20:46"/>
        <d v="2025-05-07T16:01:36"/>
        <d v="2025-05-07T16:37:22"/>
        <d v="2025-05-08T12:01:00"/>
        <d v="2025-05-08T15:27:57"/>
        <d v="2025-05-08T17:02:20"/>
        <d v="2025-05-08T17:52:51"/>
        <d v="2025-05-08T19:46:24"/>
        <d v="2025-05-08T20:21:08"/>
        <d v="2025-05-09T08:24:14"/>
        <d v="2025-05-09T08:50:53"/>
        <d v="2025-05-09T09:21:42"/>
        <d v="2025-05-09T10:07:40"/>
        <d v="2025-05-09T11:52:11"/>
        <d v="2025-05-09T17:04:20"/>
        <d v="2025-05-10T12:58:12"/>
        <d v="2025-05-10T13:58:23"/>
        <d v="2025-05-10T23:23:21"/>
        <d v="2025-05-11T07:50:29"/>
        <d v="2025-05-11T09:19:48"/>
        <d v="2025-05-11T14:50:14"/>
        <d v="2025-05-11T16:57:32"/>
        <d v="2025-05-11T18:03:57"/>
        <d v="2025-05-11T20:39:03"/>
        <d v="2025-05-12T13:34:28"/>
        <d v="2025-05-12T16:48:32"/>
        <d v="2025-05-12T17:07:49"/>
        <d v="2025-05-13T18:10:59"/>
        <d v="2025-05-14T09:38:48"/>
        <d v="2025-05-14T14:15:32"/>
        <d v="2025-05-14T18:39:31"/>
        <d v="2025-05-14T19:21:55"/>
        <d v="2025-05-15T11:02:12"/>
        <d v="2025-05-15T11:09:56"/>
        <d v="2025-05-15T11:51:22"/>
        <d v="2025-05-15T16:27:54"/>
        <d v="2025-05-16T20:43:43"/>
        <d v="2025-05-17T09:53:21"/>
        <d v="2025-05-17T20:41:17"/>
        <d v="2025-05-17T21:21:09"/>
        <d v="2025-05-18T08:59:37"/>
        <d v="2025-05-18T10:33:36"/>
        <d v="2025-05-18T14:58:40"/>
        <d v="2025-05-18T19:27:53"/>
        <d v="2025-05-19T09:47:39"/>
        <d v="2025-05-19T22:14:51"/>
        <d v="2025-05-19T22:26:34"/>
        <d v="2025-05-20T08:41:34"/>
        <d v="2025-05-20T11:54:23"/>
        <d v="2025-05-20T16:55:51"/>
        <d v="2025-05-20T17:20:12"/>
        <d v="2025-05-20T18:59:14"/>
        <d v="2025-05-20T20:56:36"/>
        <d v="2025-05-21T00:36:53"/>
        <d v="2025-05-21T09:27:40"/>
        <d v="2025-05-21T10:43:38"/>
        <d v="2025-05-21T11:08:43"/>
        <d v="2025-05-21T12:55:29"/>
        <d v="2025-05-21T13:52:57"/>
        <d v="2025-05-22T20:58:56"/>
        <d v="2025-05-22T20:59:36"/>
        <d v="2025-05-22T21:27:06"/>
        <d v="2025-05-22T23:10:30"/>
        <d v="2025-05-23T08:46:35"/>
        <d v="2025-05-23T09:00:07"/>
        <d v="2025-05-23T09:36:17"/>
        <d v="2025-05-23T15:34:49"/>
        <d v="2025-05-23T16:50:49"/>
        <d v="2025-05-23T17:14:28"/>
        <d v="2025-05-24T06:12:04"/>
        <d v="2025-05-24T09:20:16"/>
        <d v="2025-05-24T10:21:24"/>
        <d v="2025-05-24T13:33:24"/>
        <d v="2025-05-24T16:20:22"/>
        <d v="2025-05-24T17:16:59"/>
        <d v="2025-05-24T19:43:55"/>
        <d v="2025-05-25T00:03:05"/>
        <d v="2025-05-25T09:00:07"/>
        <d v="2025-05-26T10:29:17"/>
        <d v="2025-05-26T11:51:38"/>
        <d v="2025-05-26T15:12:11"/>
        <d v="2025-05-26T15:21:44"/>
        <d v="2025-05-26T17:56:00"/>
        <d v="2025-05-26T18:04:00"/>
        <d v="2025-05-27T04:41:16"/>
        <d v="2025-05-27T10:45:00"/>
        <d v="2025-05-27T10:46:00"/>
        <d v="2025-05-27T10:48:00"/>
        <d v="2025-05-27T10:50:00"/>
        <d v="2025-05-27T15:10:30"/>
        <d v="2025-05-27T18:41:10"/>
        <d v="2025-05-28T13:05:05"/>
        <d v="2025-05-28T16:34:48"/>
        <d v="2025-05-28T20:22:59"/>
        <d v="2025-05-29T06:05:01"/>
        <d v="2025-05-29T09:44:42"/>
        <d v="2025-05-30T08:15:26"/>
        <d v="2025-05-30T16:44:05"/>
        <d v="2025-05-31T09:18:30"/>
        <d v="2025-05-31T15:46:15"/>
        <d v="2025-05-31T16:41:38"/>
        <d v="2025-05-31T17:58:03"/>
        <d v="2025-06-01T00:43:04"/>
        <d v="2025-06-01T11:38:57"/>
        <d v="2025-06-01T11:56:55"/>
        <d v="2025-06-01T12:54:23"/>
        <d v="2025-06-01T15:04:58"/>
        <d v="2025-06-01T20:54:47"/>
        <d v="2025-06-01T20:59:51"/>
        <d v="2025-06-01T21:13:15"/>
        <d v="2025-06-01T21:15:52"/>
        <d v="2025-06-01T23:05:27"/>
        <d v="2025-06-01T23:36:27"/>
        <d v="2025-06-02T01:33:53"/>
        <d v="2025-06-02T07:41:20"/>
        <d v="2025-06-02T08:15:35"/>
        <d v="2025-06-02T11:58:55"/>
        <d v="2025-06-02T12:50:21"/>
        <d v="2025-06-02T19:19:05"/>
        <d v="2025-06-02T20:26:38"/>
        <d v="2025-06-02T22:47:28"/>
        <d v="2025-06-03T00:56:59"/>
        <d v="2025-06-03T08:13:33"/>
        <d v="2025-06-03T08:56:39"/>
        <d v="2025-06-03T09:02:23"/>
        <d v="2025-06-03T09:16:28"/>
        <d v="2025-06-03T11:59:29"/>
        <d v="2025-06-03T14:20:50"/>
        <d v="2025-06-03T14:40:15"/>
        <d v="2025-06-03T17:14:31"/>
        <d v="2025-06-03T19:10:59"/>
        <d v="2025-06-03T19:14:59"/>
        <d v="2025-06-03T23:26:16"/>
        <d v="2025-06-04T07:06:01"/>
        <d v="2025-06-04T07:56:31"/>
        <d v="2025-06-04T08:40:26"/>
        <d v="2025-06-04T09:36:34"/>
        <d v="2025-06-04T09:39:40"/>
        <d v="2025-06-04T09:48:40"/>
        <d v="2025-06-04T10:21:13"/>
        <d v="2025-06-04T11:26:45"/>
        <d v="2025-06-04T15:47:53"/>
        <d v="2025-06-04T16:00:34"/>
        <d v="2025-06-04T18:26:18"/>
        <d v="2025-06-04T20:44:23"/>
        <d v="2025-06-04T21:20:48"/>
        <d v="2025-06-04T21:23:21"/>
        <d v="2025-06-04T21:26:26"/>
        <d v="2025-06-04T22:09:15"/>
        <d v="2025-06-04T22:20:31"/>
        <d v="2025-06-04T22:39:45"/>
        <d v="2025-06-04T22:41:33"/>
        <d v="2025-06-04T23:30:04"/>
        <d v="2025-06-05T00:12:09"/>
        <d v="2025-06-05T06:42:21"/>
        <d v="2025-06-05T06:57:08"/>
        <d v="2025-06-05T13:13:24"/>
        <d v="2025-06-05T16:05:41"/>
        <d v="2025-06-05T16:50:01"/>
        <d v="2025-06-05T17:02:44"/>
        <d v="2025-06-05T18:04:20"/>
        <d v="2025-06-05T18:19:00"/>
        <d v="2025-06-05T20:17:05"/>
        <d v="2025-06-05T21:03:08"/>
        <d v="2025-06-05T21:27:11"/>
        <d v="2025-06-06T02:36:08"/>
        <d v="2025-06-06T10:50:40"/>
        <d v="2025-06-06T15:56:14"/>
        <d v="2025-06-06T17:42:33"/>
        <d v="2025-06-07T10:07:41"/>
        <d v="2025-06-08T04:04:40"/>
        <d v="2025-06-08T11:44:41"/>
        <d v="2025-06-08T14:33:39"/>
        <d v="2025-06-08T17:58:02"/>
        <d v="2025-06-09T10:26:52"/>
        <d v="2025-06-09T15:05:24"/>
        <d v="2025-06-09T17:59:05"/>
        <d v="2025-06-09T21:12:28"/>
        <d v="2025-06-10T10:29:46"/>
        <d v="2025-06-10T17:29:08"/>
        <d v="2025-06-10T19:02:12"/>
        <d v="2025-06-10T23:26:52"/>
        <d v="2025-06-11T08:29:17"/>
        <d v="2025-06-11T21:08:38"/>
        <d v="2025-06-12T14:38:46"/>
        <d v="2025-06-14T10:37:42"/>
        <d v="2025-06-14T18:29:41"/>
        <d v="2025-06-14T23:35:10"/>
        <d v="2025-06-15T10:31:09"/>
        <d v="2025-06-15T18:25:00"/>
        <d v="2025-06-15T20:02:57"/>
        <d v="2025-06-16T09:21:31"/>
        <d v="2025-06-16T10:09:28"/>
        <d v="2025-06-17T07:23:46"/>
        <d v="2025-06-17T16:50:05"/>
        <d v="2025-06-17T20:45:13"/>
        <d v="2025-06-18T01:13:36"/>
        <d v="2025-06-18T13:38:17"/>
        <d v="2025-06-18T21:22:33"/>
        <d v="2025-06-19T13:33:47"/>
        <d v="2025-06-19T15:36:35"/>
        <d v="2025-06-20T09:25:41"/>
        <d v="2025-06-20T20:50:07"/>
        <m/>
      </sharedItems>
      <fieldGroup par="8"/>
    </cacheField>
    <cacheField name="Codigo" numFmtId="0">
      <sharedItems containsBlank="1"/>
    </cacheField>
    <cacheField name="Categoría" numFmtId="0">
      <sharedItems containsBlank="1"/>
    </cacheField>
    <cacheField name="Producto" numFmtId="0">
      <sharedItems containsBlank="1" count="10">
        <s v="Pack"/>
        <s v="Exfoliante"/>
        <s v="Crema autobronceante"/>
        <s v="Guante Aplicador"/>
        <s v="Blending Brush"/>
        <s v="Golden boost"/>
        <s v="Bronceador"/>
        <s v="Autobronz"/>
        <s v="Mouuse+G Aplica+G exfol+Crema"/>
        <m/>
      </sharedItems>
    </cacheField>
    <cacheField name="Cantidad" numFmtId="0">
      <sharedItems containsString="0" containsBlank="1" containsNumber="1" containsInteger="1" minValue="1" maxValue="5"/>
    </cacheField>
    <cacheField name="Venta Bruta" numFmtId="0">
      <sharedItems containsString="0" containsBlank="1" containsNumber="1" containsInteger="1" minValue="10" maxValue="59980"/>
    </cacheField>
    <cacheField name="Costo venta" numFmtId="0">
      <sharedItems containsString="0" containsBlank="1" containsNumber="1" containsInteger="1" minValue="500" maxValue="26307"/>
    </cacheField>
    <cacheField name="Días (Fecha)" numFmtId="0" databaseField="0">
      <fieldGroup base="0">
        <rangePr groupBy="days" startDate="2025-01-01T02:49:49" endDate="2025-06-20T20:50:07"/>
        <groupItems count="368">
          <s v="&lt;01-01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5"/>
        </groupItems>
      </fieldGroup>
    </cacheField>
    <cacheField name="Meses (Fecha)" numFmtId="0" databaseField="0">
      <fieldGroup base="0">
        <rangePr groupBy="months" startDate="2025-01-01T02:49:49" endDate="2025-06-20T20:50:07"/>
        <groupItems count="14">
          <s v="&lt;01-01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143.699467939812" createdVersion="8" refreshedVersion="8" minRefreshableVersion="3" recordCount="814" xr:uid="{00000000-000A-0000-FFFF-FFFF03000000}">
  <cacheSource type="worksheet">
    <worksheetSource ref="I2:N816" sheet="BodegaTiendas"/>
  </cacheSource>
  <cacheFields count="6">
    <cacheField name="Fecha" numFmtId="14">
      <sharedItems containsSemiMixedTypes="0" containsNonDate="0" containsDate="1" containsString="0" minDate="2023-01-03T18:40:00" maxDate="2023-08-01T00:00:00"/>
    </cacheField>
    <cacheField name="Tienda" numFmtId="0">
      <sharedItems count="3">
        <s v="VITACURA"/>
        <s v="PARQUE ARAUCO"/>
        <s v="VIÑA MALL MARINA"/>
      </sharedItems>
    </cacheField>
    <cacheField name="SKU" numFmtId="0">
      <sharedItems/>
    </cacheField>
    <cacheField name="Categoría" numFmtId="0">
      <sharedItems/>
    </cacheField>
    <cacheField name="Producto" numFmtId="0">
      <sharedItems count="174">
        <s v="Blusa Marie S"/>
        <s v="Bondi Negro"/>
        <s v="Maldivas Pants 38"/>
        <s v="Blusa Marie M"/>
        <s v="London Stripes Negro"/>
        <s v="Varadero Pants Beige 38"/>
        <s v="Minishort Ibiza M"/>
        <s v="Bondi Blanco"/>
        <s v="Capri Pants Silver 38"/>
        <s v="Atenas M"/>
        <s v="Malta Fucsia"/>
        <s v="Capri Pants Ecocuero 36"/>
        <s v="Varadero Pants Black 42"/>
        <s v="Varadero Pants Black 38"/>
        <s v="Venecia white"/>
        <s v="Malta Celeste"/>
        <s v="Barcelona Pants 36"/>
        <s v="Varadero Pants Beige 40"/>
        <s v="Minishort Ibiza L"/>
        <s v="Segovia"/>
        <s v="Mai Blanco"/>
        <s v="Budapest Pants Azul 34"/>
        <s v="Mai Beige"/>
        <s v="Minishort Ibiza S"/>
        <s v="Budapest Pants Beige 36"/>
        <s v="Caledonia (espalda rebajada)"/>
        <s v="Versalles Beige"/>
        <s v="Laia Negra"/>
        <s v="Boston Beige (NUEVO)"/>
        <s v="Manhattan S (cuadrillé)"/>
        <s v="Versalles Black"/>
        <s v="Varadero Pants Beige 42"/>
        <s v="Maldivas Pants 34"/>
        <s v="Venecia negro"/>
        <s v="Venecia beige"/>
        <s v="Emma Marfil"/>
        <s v="Barcelona Pants 40"/>
        <s v="Boston Black (NUEVO)"/>
        <s v="Varadero Pants Black 40"/>
        <s v="Minishort Praga Ecocuero L"/>
        <s v="Minishort Praga Ecocuero S"/>
        <s v="Budapest Pants Azul 40"/>
        <s v="Varadero Pants Black 36"/>
        <s v="Gili Negra"/>
        <s v="Minishort Praga Ecocuero M"/>
        <s v="Oporto Square"/>
        <s v="Mai Negro"/>
        <s v="Budapest Pants Azul 38"/>
        <s v="Barcelona Pants 38"/>
        <s v="Budapest Pants Beige 42"/>
        <s v="Bondi Silver"/>
        <s v="Budapest Pants Azul 36"/>
        <s v="Atenas S"/>
        <s v="Bondi Brillos Black"/>
        <s v="Bondi Neige"/>
        <s v="Denver Beige"/>
        <s v="Blusa Marie L"/>
        <s v="Marie Black"/>
        <s v="Capri Pants Ecocuero 34"/>
        <s v="Varadero Pants Gris Oscuro 42"/>
        <s v="Dakota Brown"/>
        <s v="Kia Verde"/>
        <s v="Aruba"/>
        <s v="Capri Pants Silver 34"/>
        <s v="Pants Marfil 40"/>
        <s v="Bondi Gold"/>
        <s v="Barcelona Pants 34"/>
        <s v="Bahamas Blanca"/>
        <s v="Boston Green (NUEVO)"/>
        <s v="Minishort Mali Negro"/>
        <s v="Capri Pants Silver 36"/>
        <s v="Budapest Pants Beige 34"/>
        <s v="Budapest Pants Azul 32"/>
        <s v="Ankara"/>
        <s v="Santorini Gris Claro"/>
        <s v="Budapest Pants Negro Oscuro 36"/>
        <s v="Capri Pants Silver 40"/>
        <s v="Denver Black"/>
        <s v="Toronto Pants 40"/>
        <s v="Varadero Pants Celeste 42"/>
        <s v="London Stripes Beige"/>
        <s v="Amaia Beige"/>
        <s v="Cadiz"/>
        <s v="Budapest Pants Negro Oscuro 38"/>
        <s v="Pants Marfil 34"/>
        <s v="Toronto Pants 38"/>
        <s v="Budapest Pants Negro Oscuro 34"/>
        <s v="Budapest Pants Negro Oscuro 40"/>
        <s v="Bali Terracota"/>
        <s v="Málaga 2 mangas"/>
        <s v="Arizona Pants Azul"/>
        <s v="Varadero Pants Beige 36"/>
        <s v="Pants Marfil 38"/>
        <s v="Budapest Pants Beige 40"/>
        <s v="Capri Negro talla única"/>
        <s v="Nina Blanco"/>
        <s v="Kia Black"/>
        <s v="Body Sevilla"/>
        <s v="Mallorca Pants 42"/>
        <s v="Capri Pants 32"/>
        <s v="Mia White"/>
        <s v="Budapest Pants Negro Oscuro 32"/>
        <s v="Varadero Pants Black 34"/>
        <s v="Pants Marfil 36"/>
        <s v="Arizona Pants Black"/>
        <s v="Maldivas Pants 36"/>
        <s v="Varadero Pants Celeste 38"/>
        <s v="Toledo Negro"/>
        <s v="Budapest Pants gris 38"/>
        <s v="Budapest Pants Beige 38"/>
        <s v="Mia Black"/>
        <s v="Recife"/>
        <s v="Mallorca Pants 38"/>
        <s v="Boston Beige"/>
        <s v="Blusón Marga"/>
        <s v="Capri Pants Ecocuero 38"/>
        <s v="Brillos Black"/>
        <s v="Malta Coral"/>
        <s v="Mallorca Pants 36"/>
        <s v="Capri Pants Ecocuero 40"/>
        <s v="London Stripes Azul"/>
        <s v="Budapest Pants gris 36"/>
        <s v="Maldivas Pants 42"/>
        <s v="London Stripes Verde"/>
        <s v="Toronto Pants 34"/>
        <s v="Palermo Pants Black 38"/>
        <s v="Toronto Pants 42"/>
        <s v="Budapest Pants Azul 42"/>
        <s v="Bahamas Beige 1"/>
        <s v="Budapest Pants gris 34"/>
        <s v="Mallorca Pants 40"/>
        <s v="Toronto Pants 36"/>
        <s v="Minishort Mali Blanco"/>
        <s v="Lisboa Negro"/>
        <s v="Budapest Pants Negro Oscuro 42"/>
        <s v="Bali Blanca"/>
        <s v="Short Cádiz Verde Oliva M"/>
        <s v="Capri Lila Talla Unica"/>
        <s v="Budapest Pants gris 40"/>
        <s v="Praia Negra"/>
        <s v="Toledo Café"/>
        <s v="Maldivas Pants 40"/>
        <s v="Maldivas Pants 32"/>
        <s v="Palermo Pants White 36"/>
        <s v="Blusa Paraíso"/>
        <s v="Palermo Pants Black 36"/>
        <s v="Arizona Pants Naranjo"/>
        <s v="Bahamas Negro short"/>
        <s v="Viena 1"/>
        <s v="Budapest Pants gris 32"/>
        <s v="Nina Negro"/>
        <s v="Bahamas Blanco"/>
        <s v="Namibia Pants Negro 36"/>
        <s v="Minishort Mali Beige"/>
        <s v="Nina Naranjo"/>
        <s v="Bali Verde"/>
        <s v="Bali Beige"/>
        <s v="Bali Negra"/>
        <s v="Budapest Pants gris 42"/>
        <s v="Bahamas Negro"/>
        <s v="Toledo fucsia"/>
        <s v="Malta Negro"/>
        <s v="Praia Blanca"/>
        <s v="Madeira Pants Beige"/>
        <s v="Varadero Pants Gris Oscuro 36"/>
        <s v="Magnolia Marfil"/>
        <s v="Magnolia Negro Lino"/>
        <s v="Mila Fucsia"/>
        <s v="Nala Blanco"/>
        <s v="Nala Fucsia"/>
        <s v="Nala Negro"/>
        <s v="Kenia 1"/>
        <s v="Madeira Pants Negro"/>
        <s v="Magnolia Blanco"/>
      </sharedItems>
    </cacheField>
    <cacheField name="Q" numFmtId="0">
      <sharedItems containsSemiMixedTypes="0" containsString="0" containsNumber="1" containsInteger="1" minValue="-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4343.789331828702" createdVersion="7" refreshedVersion="7" minRefreshableVersion="3" recordCount="745" xr:uid="{00000000-000A-0000-FFFF-FFFF04000000}">
  <cacheSource type="worksheet">
    <worksheetSource ref="A1:G5652" sheet="Ventas"/>
  </cacheSource>
  <cacheFields count="8">
    <cacheField name="Fecha" numFmtId="14">
      <sharedItems containsSemiMixedTypes="0" containsNonDate="0" containsDate="1" containsString="0" minDate="2021-01-01T00:00:00" maxDate="2021-05-26T00:00:00" count="64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9T00:00:00"/>
        <d v="2021-01-30T00:00:00"/>
        <d v="2021-01-31T00:00:00"/>
        <d v="2021-02-03T00:00:00"/>
        <d v="2021-02-16T00:00:00"/>
        <d v="2021-02-22T00:00:00"/>
        <d v="2021-02-27T00:00:00"/>
        <d v="2021-03-06T00:00:00"/>
        <d v="2021-03-10T00:00:00"/>
        <d v="2021-03-13T00:00:00"/>
        <d v="2021-03-14T00:00:00"/>
        <d v="2021-03-15T00:00:00"/>
        <d v="2021-03-17T00:00:00"/>
        <d v="2021-03-20T00:00:00"/>
        <d v="2021-03-24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09T00:00:00"/>
        <d v="2021-04-10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5-01T00:00:00"/>
        <d v="2021-05-09T00:00:00"/>
        <d v="2021-05-14T00:00:00"/>
        <d v="2021-05-15T00:00:00"/>
        <d v="2021-05-17T00:00:00"/>
        <d v="2021-05-21T00:00:00"/>
        <d v="2021-05-25T00:00:00"/>
      </sharedItems>
      <fieldGroup par="7" base="0">
        <rangePr groupBy="days" startDate="2021-01-01T00:00:00" endDate="2021-05-26T00:00:00"/>
        <groupItems count="368">
          <s v="&lt;01-01-2021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6-05-2021"/>
        </groupItems>
      </fieldGroup>
    </cacheField>
    <cacheField name="Codigo" numFmtId="0">
      <sharedItems/>
    </cacheField>
    <cacheField name="Categoría" numFmtId="0">
      <sharedItems/>
    </cacheField>
    <cacheField name="Producto" numFmtId="0">
      <sharedItems count="119">
        <s v="Alaska (negro)"/>
        <s v="Milan gris"/>
        <s v="Ginebra blanco"/>
        <s v="Toledo negra M"/>
        <s v="Toledo blanca S"/>
        <s v="Alaia verde"/>
        <s v="Top Santorini Blanco"/>
        <s v="Maldivas Blanca M"/>
        <s v="Top segovia lila M"/>
        <s v="Top segovia negra M"/>
        <s v="Clarissa Blanca"/>
        <s v="Antonella"/>
        <s v="Alaia Terracota"/>
        <s v="Milan negro"/>
        <s v="Ginebra negro"/>
        <s v="GInebra lila"/>
        <s v="GInebra verde"/>
        <s v="Barcelona 38"/>
        <s v="Lino Mostaza S"/>
        <s v="Alaia blanca"/>
        <s v="Top Mallorca S"/>
        <s v="Gili Blanco"/>
        <s v="Gili Negro"/>
        <s v="Vuelos verde intermedio"/>
        <s v="Lino verde pistacho S"/>
        <s v="Bahamas Print"/>
        <s v="Galicia Pants 34"/>
        <s v="Bahamas Verde Musgo"/>
        <s v="Barcelona 36"/>
        <s v="Budapest Pants 34"/>
        <s v="Budapest Pants 36"/>
        <s v="Galicia Pants Negro 40"/>
        <s v="Budapest Pants 38"/>
        <s v="Budapest Pants 40"/>
        <s v="Budapest Pants 42"/>
        <s v="Top Creta M"/>
        <s v="Capri Arena Talla Unica"/>
        <s v="Capri Negro talla única"/>
        <s v="Top Santorini negro"/>
        <s v="Top Valencia M"/>
        <s v="Galicia pants negro 38"/>
        <s v="Versalles Bicolor"/>
        <s v="Capri Lila Talla Unica"/>
        <s v="Budapest Pants 32"/>
        <s v="caledonia"/>
        <s v="Lino azul S"/>
        <s v="Berlin  M manga larga puntitos"/>
        <s v="Barcelona Rayo 36"/>
        <s v="Galicia pants celeste 36"/>
        <s v="Roatan S"/>
        <s v="Roatan  M"/>
        <s v="Maldivas Gris L"/>
        <s v="Capri negro S"/>
        <s v="Top segovia arena M"/>
        <s v="Lino S"/>
        <s v="Top palermo blanca S"/>
        <s v="Galicia Pants Celeste 40"/>
        <s v="GInebra arena"/>
        <s v="Barcelona 34"/>
        <s v="Top Creta S"/>
        <s v="Top palermo  negra S"/>
        <s v="TOP Palermo negra M"/>
        <s v="Top Pipa blanca M"/>
        <s v="Top Mallorca M"/>
        <s v="Maldivas Azul L"/>
        <s v="Maldivas Blanca L"/>
        <s v="Bahamas Verde Agua"/>
        <s v="Maldivas Gris S"/>
        <s v="TOP Varadero blanco"/>
        <s v="Lino blanco M"/>
        <s v="Toledo negra S"/>
        <s v="Moscú"/>
        <s v="Lino lila M"/>
        <s v="Lino blanco S"/>
        <s v="Top Valencia S"/>
        <s v="Maldivas Azul S"/>
        <s v="Top Varadero negro"/>
        <s v="Lino blanco L"/>
        <s v="Galicia pants celeste 38"/>
        <s v="Maldivas Gris M"/>
        <s v="Budapest Pants llight 36"/>
        <s v="Budapest Pants llight 38"/>
        <s v="Moscú café"/>
        <s v="Lino mostaza M"/>
        <s v="Tarragona Negro"/>
        <s v="Tarragona Dorado"/>
        <s v="Mozambique Pants 38"/>
        <s v="Capri lila S"/>
        <s v="Boston White"/>
        <s v="Boston Terracota"/>
        <s v="Boston Beige"/>
        <s v="Boston Black"/>
        <s v="Cardigan Zambia Café"/>
        <s v="Cardigan Zambia Gris"/>
        <s v="Kala"/>
        <s v="Ruanda"/>
        <s v="Congo Beige"/>
        <s v="Oporto Square"/>
        <s v="Sandy"/>
        <s v="Galicia pants negro 36"/>
        <s v="London Stripes"/>
        <s v="Barcelona 40"/>
        <s v="Top segovia verde M"/>
        <s v="Cardigan Zambia blanco"/>
        <s v="Cardigan Zambia negro"/>
        <s v="Congo Negro"/>
        <s v="Galicia Pants Celeste 34"/>
        <s v="Soho"/>
        <s v="Maxi Negra"/>
        <s v="Maxi gris"/>
        <s v="Top Pipa negra M"/>
        <s v="Lisboa Gris"/>
        <s v="TOP Varadero Lila"/>
        <s v="Mozambique Pants beige 36"/>
        <s v="Mozambique Pants beige 38"/>
        <s v="Budapest Pants llight 34 "/>
        <s v="Budapest Pants llight 40"/>
        <s v="Maxi Taupé"/>
        <s v="Boston Green"/>
      </sharedItems>
    </cacheField>
    <cacheField name="Cantidad" numFmtId="0">
      <sharedItems containsSemiMixedTypes="0" containsString="0" containsNumber="1" containsInteger="1" minValue="1" maxValue="18"/>
    </cacheField>
    <cacheField name="Venta Neta" numFmtId="0">
      <sharedItems containsSemiMixedTypes="0" containsString="0" containsNumber="1" minValue="8493.7311000000009" maxValue="552741.3983"/>
    </cacheField>
    <cacheField name="Costo venta" numFmtId="0">
      <sharedItems containsSemiMixedTypes="0" containsString="0" containsNumber="1" containsInteger="1" minValue="0" maxValue="299664"/>
    </cacheField>
    <cacheField name="Meses" numFmtId="0" databaseField="0">
      <fieldGroup base="0">
        <rangePr groupBy="months" startDate="2021-01-01T00:00:00" endDate="2021-05-26T00:00:00"/>
        <groupItems count="14">
          <s v="&lt;01-01-2021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6-05-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843.819065972217" createdVersion="4" refreshedVersion="8" minRefreshableVersion="3" recordCount="4128" xr:uid="{00000000-000A-0000-FFFF-FFFF0A000000}">
  <cacheSource type="worksheet">
    <worksheetSource ref="B1:C100000" sheet="resultado"/>
  </cacheSource>
  <cacheFields count="2">
    <cacheField name="Cuenta Débito" numFmtId="0">
      <sharedItems containsString="0" containsBlank="1" containsNumber="1" containsInteger="1" minValue="1010100" maxValue="3010300" count="24">
        <n v="1011001"/>
        <n v="2020502"/>
        <n v="3010201"/>
        <n v="3010205"/>
        <n v="1010600"/>
        <n v="3010211"/>
        <n v="2020503"/>
        <n v="3010300"/>
        <n v="2030800"/>
        <n v="2011310"/>
        <n v="1010100"/>
        <n v="1010503"/>
        <n v="1010900"/>
        <n v="1010501"/>
        <n v="1011100"/>
        <n v="1011501"/>
        <n v="1031000"/>
        <n v="2010902"/>
        <n v="2011200"/>
        <n v="2030100"/>
        <n v="2030600"/>
        <n v="3010212"/>
        <n v="3010200"/>
        <m/>
      </sharedItems>
    </cacheField>
    <cacheField name="Débito" numFmtId="0">
      <sharedItems containsString="0" containsBlank="1" containsNumber="1" minValue="0" maxValue="113396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rthorn" refreshedDate="45843.819066319447" createdVersion="4" refreshedVersion="8" minRefreshableVersion="3" recordCount="5009" xr:uid="{00000000-000A-0000-FFFF-FFFF0E000000}">
  <cacheSource type="worksheet">
    <worksheetSource ref="F1:G100000" sheet="resultado"/>
  </cacheSource>
  <cacheFields count="2">
    <cacheField name="Cuenta Crédito" numFmtId="0">
      <sharedItems containsString="0" containsBlank="1" containsNumber="1" containsInteger="1" minValue="1010100" maxValue="3010201" count="20">
        <n v="2010902"/>
        <n v="1010100"/>
        <n v="2020502"/>
        <n v="1010600"/>
        <n v="3010101"/>
        <n v="1011001"/>
        <n v="3010201"/>
        <n v="1011100"/>
        <n v="1010503"/>
        <n v="1010501"/>
        <n v="2011200"/>
        <n v="1010900"/>
        <n v="1011501"/>
        <n v="1031000"/>
        <n v="2011310"/>
        <n v="2020503"/>
        <n v="2030100"/>
        <n v="2030600"/>
        <n v="3010111"/>
        <m/>
      </sharedItems>
    </cacheField>
    <cacheField name="Crédito" numFmtId="0">
      <sharedItems containsString="0" containsBlank="1" containsNumber="1" minValue="0" maxValue="161155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2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3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4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5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6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7.xml><?xml version="1.0" encoding="utf-8"?>
<pivotCacheRecords xmlns="http://schemas.openxmlformats.org/spreadsheetml/2006/main" count="11">
  <r>
    <x v="0"/>
    <n v="100"/>
    <n v="1008000"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5" cacheId="15" applyNumberFormats="0" applyBorderFormats="0" applyFontFormats="0" applyPatternFormats="0" applyAlignmentFormats="0" applyWidthHeightFormats="1" dataCaption="Valores" updatedVersion="8" minRefreshableVersion="3" asteriskTotals="1" showCalcMbrs="0" showMemberPropertyTips="0" useAutoFormatting="1" pageOverThenDown="1" itemPrintTitles="1" createdVersion="3" indent="0" outline="1" outlineData="1" multipleFieldFilters="0">
  <location ref="Z2:AB5" firstHeaderRow="0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1" baseField="0" baseItem="0"/>
    <dataField name="Suma de Costo Neto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Diná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P1:S9" firstHeaderRow="0" firstDataRow="1" firstDataCol="1"/>
  <pivotFields count="9">
    <pivotField axis="axisRow" showAll="0">
      <items count="10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8"/>
    <field x="7"/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antidad" fld="4" baseField="0" baseItem="0"/>
    <dataField name="Suma de Venta Bruta" fld="5" baseField="0" baseItem="0"/>
    <dataField name="Suma de Costo venta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4" cacheId="17" applyNumberFormats="0" applyBorderFormats="0" applyFontFormats="0" applyPatternFormats="0" applyAlignmentFormats="0" applyWidthHeightFormats="1" dataCaption="Valores" updatedVersion="8" minRefreshableVersion="3" asteriskTotals="1" showCalcMbrs="0" showMemberPropertyTips="0" useAutoFormatting="1" pageOverThenDown="1" itemPrintTitles="1" createdVersion="3" indent="0" outline="1" outlineData="1" multipleFieldFilters="0">
  <location ref="U1:AC15" firstHeaderRow="1" firstDataRow="4" firstDataCol="1"/>
  <pivotFields count="9">
    <pivotField axis="axisCol" showAll="0">
      <items count="10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t="default"/>
      </items>
    </pivotField>
    <pivotField showAll="0"/>
    <pivotField showAll="0"/>
    <pivotField axis="axisRow" showAll="0">
      <items count="11">
        <item x="7"/>
        <item x="4"/>
        <item x="6"/>
        <item x="2"/>
        <item x="1"/>
        <item x="5"/>
        <item x="3"/>
        <item x="8"/>
        <item x="0"/>
        <item x="9"/>
        <item t="default"/>
      </items>
    </pivotField>
    <pivotField dataField="1" showAll="0"/>
    <pivotField showAll="0"/>
    <pivotField showAll="0"/>
    <pivotField axis="axisCol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3">
    <field x="8"/>
    <field x="7"/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Cantidad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TablaDiná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H3:BL179" firstHeaderRow="1" firstDataRow="2" firstDataCol="1"/>
  <pivotFields count="6">
    <pivotField numFmtId="14" showAll="0"/>
    <pivotField axis="axisCol" showAll="0" sortType="ascending">
      <items count="4">
        <item x="1"/>
        <item x="2"/>
        <item x="0"/>
        <item t="default"/>
      </items>
    </pivotField>
    <pivotField showAll="0"/>
    <pivotField showAll="0"/>
    <pivotField axis="axisRow" showAll="0">
      <items count="175">
        <item x="81"/>
        <item x="73"/>
        <item x="90"/>
        <item x="104"/>
        <item x="146"/>
        <item x="62"/>
        <item x="9"/>
        <item x="52"/>
        <item x="128"/>
        <item x="67"/>
        <item x="151"/>
        <item x="159"/>
        <item x="147"/>
        <item x="156"/>
        <item x="135"/>
        <item x="157"/>
        <item x="88"/>
        <item x="155"/>
        <item x="66"/>
        <item x="16"/>
        <item x="48"/>
        <item x="36"/>
        <item x="56"/>
        <item x="3"/>
        <item x="0"/>
        <item x="144"/>
        <item x="114"/>
        <item x="97"/>
        <item x="7"/>
        <item x="53"/>
        <item x="65"/>
        <item x="1"/>
        <item x="54"/>
        <item x="50"/>
        <item x="113"/>
        <item x="28"/>
        <item x="37"/>
        <item x="68"/>
        <item x="116"/>
        <item x="72"/>
        <item x="21"/>
        <item x="51"/>
        <item x="47"/>
        <item x="41"/>
        <item x="127"/>
        <item x="71"/>
        <item x="24"/>
        <item x="109"/>
        <item x="93"/>
        <item x="49"/>
        <item x="149"/>
        <item x="129"/>
        <item x="121"/>
        <item x="108"/>
        <item x="138"/>
        <item x="158"/>
        <item x="101"/>
        <item x="86"/>
        <item x="75"/>
        <item x="83"/>
        <item x="87"/>
        <item x="134"/>
        <item x="82"/>
        <item x="25"/>
        <item x="137"/>
        <item x="94"/>
        <item x="99"/>
        <item x="58"/>
        <item x="11"/>
        <item x="115"/>
        <item x="119"/>
        <item x="63"/>
        <item x="70"/>
        <item x="8"/>
        <item x="76"/>
        <item x="60"/>
        <item x="55"/>
        <item x="77"/>
        <item x="35"/>
        <item x="43"/>
        <item x="171"/>
        <item x="96"/>
        <item x="61"/>
        <item x="27"/>
        <item x="133"/>
        <item x="120"/>
        <item x="80"/>
        <item x="4"/>
        <item x="123"/>
        <item x="163"/>
        <item x="172"/>
        <item x="173"/>
        <item x="165"/>
        <item x="166"/>
        <item x="22"/>
        <item x="20"/>
        <item x="46"/>
        <item x="89"/>
        <item x="142"/>
        <item x="32"/>
        <item x="105"/>
        <item x="2"/>
        <item x="141"/>
        <item x="122"/>
        <item x="118"/>
        <item x="112"/>
        <item x="130"/>
        <item x="98"/>
        <item x="15"/>
        <item x="117"/>
        <item x="10"/>
        <item x="161"/>
        <item x="29"/>
        <item x="57"/>
        <item x="110"/>
        <item x="100"/>
        <item x="167"/>
        <item x="18"/>
        <item x="6"/>
        <item x="23"/>
        <item x="153"/>
        <item x="132"/>
        <item x="69"/>
        <item x="39"/>
        <item x="44"/>
        <item x="40"/>
        <item x="168"/>
        <item x="169"/>
        <item x="170"/>
        <item x="152"/>
        <item x="95"/>
        <item x="154"/>
        <item x="150"/>
        <item x="45"/>
        <item x="145"/>
        <item x="125"/>
        <item x="143"/>
        <item x="84"/>
        <item x="103"/>
        <item x="92"/>
        <item x="64"/>
        <item x="162"/>
        <item x="139"/>
        <item x="111"/>
        <item x="74"/>
        <item x="19"/>
        <item x="136"/>
        <item x="140"/>
        <item x="160"/>
        <item x="107"/>
        <item x="124"/>
        <item x="131"/>
        <item x="85"/>
        <item x="78"/>
        <item x="126"/>
        <item x="91"/>
        <item x="5"/>
        <item x="17"/>
        <item x="31"/>
        <item x="102"/>
        <item x="42"/>
        <item x="13"/>
        <item x="38"/>
        <item x="12"/>
        <item x="106"/>
        <item x="79"/>
        <item x="164"/>
        <item x="59"/>
        <item x="34"/>
        <item x="33"/>
        <item x="14"/>
        <item x="26"/>
        <item x="30"/>
        <item x="148"/>
        <item t="default"/>
      </items>
    </pivotField>
    <pivotField dataField="1" showAll="0"/>
  </pivotFields>
  <rowFields count="1">
    <field x="4"/>
  </rowFields>
  <rowItems count="1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Q" fld="5" baseField="0" baseItem="0"/>
  </dataFields>
  <formats count="10">
    <format dxfId="24">
      <pivotArea outline="0" collapsedLevelsAreSubtotals="1" fieldPosition="0"/>
    </format>
    <format dxfId="23">
      <pivotArea field="1" type="button" dataOnly="0" labelOnly="1" outline="0" axis="axisCol" fieldPosition="0"/>
    </format>
    <format dxfId="22">
      <pivotArea type="topRight" dataOnly="0" labelOnly="1" outline="0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grandCol="1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Col" fieldPosition="0"/>
    </format>
    <format dxfId="17">
      <pivotArea type="topRight" dataOnly="0" labelOnly="1" outline="0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5000000}" name="Tabla dinámica6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2:B27" firstHeaderRow="1" firstDataRow="1" firstDataCol="1"/>
  <pivotFields count="2">
    <pivotField axis="axisRow" showAll="0">
      <items count="25">
        <item x="10"/>
        <item x="13"/>
        <item x="11"/>
        <item x="4"/>
        <item x="12"/>
        <item x="0"/>
        <item x="14"/>
        <item x="15"/>
        <item x="16"/>
        <item x="17"/>
        <item x="18"/>
        <item x="9"/>
        <item x="1"/>
        <item x="6"/>
        <item x="19"/>
        <item x="20"/>
        <item x="8"/>
        <item x="22"/>
        <item x="2"/>
        <item x="3"/>
        <item x="5"/>
        <item x="21"/>
        <item x="7"/>
        <item x="23"/>
        <item t="default"/>
      </items>
    </pivotField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Débito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4000000}" name="Tabla dinámica7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D2:E23" firstHeaderRow="1" firstDataRow="1" firstDataCol="1"/>
  <pivotFields count="2">
    <pivotField axis="axisRow" showAll="0">
      <items count="21">
        <item x="1"/>
        <item x="9"/>
        <item x="8"/>
        <item x="3"/>
        <item x="11"/>
        <item x="5"/>
        <item x="7"/>
        <item x="12"/>
        <item x="13"/>
        <item x="0"/>
        <item x="10"/>
        <item x="14"/>
        <item x="2"/>
        <item x="15"/>
        <item x="16"/>
        <item x="17"/>
        <item x="4"/>
        <item x="18"/>
        <item x="6"/>
        <item x="19"/>
        <item t="default"/>
      </items>
    </pivotField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a de Crédito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6000000}" name="TablaDinámica7" cacheId="1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G2:M124" firstHeaderRow="1" firstDataRow="3" firstDataCol="1"/>
  <pivotFields count="8"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>
      <items count="120">
        <item x="19"/>
        <item x="12"/>
        <item x="5"/>
        <item x="0"/>
        <item x="11"/>
        <item x="25"/>
        <item x="66"/>
        <item x="27"/>
        <item x="58"/>
        <item x="28"/>
        <item x="17"/>
        <item x="101"/>
        <item x="47"/>
        <item x="46"/>
        <item x="90"/>
        <item x="91"/>
        <item x="118"/>
        <item x="89"/>
        <item x="88"/>
        <item x="43"/>
        <item x="29"/>
        <item x="30"/>
        <item x="32"/>
        <item x="33"/>
        <item x="34"/>
        <item x="115"/>
        <item x="80"/>
        <item x="81"/>
        <item x="116"/>
        <item x="44"/>
        <item x="36"/>
        <item x="87"/>
        <item x="42"/>
        <item x="52"/>
        <item x="37"/>
        <item x="103"/>
        <item x="92"/>
        <item x="93"/>
        <item x="104"/>
        <item x="10"/>
        <item x="96"/>
        <item x="105"/>
        <item x="26"/>
        <item x="106"/>
        <item x="48"/>
        <item x="78"/>
        <item x="56"/>
        <item x="99"/>
        <item x="40"/>
        <item x="31"/>
        <item x="21"/>
        <item x="22"/>
        <item x="57"/>
        <item x="2"/>
        <item x="15"/>
        <item x="14"/>
        <item x="16"/>
        <item x="94"/>
        <item x="45"/>
        <item x="77"/>
        <item x="69"/>
        <item x="73"/>
        <item x="72"/>
        <item x="83"/>
        <item x="18"/>
        <item x="54"/>
        <item x="24"/>
        <item x="111"/>
        <item x="100"/>
        <item x="64"/>
        <item x="75"/>
        <item x="65"/>
        <item x="7"/>
        <item x="51"/>
        <item x="79"/>
        <item x="67"/>
        <item x="109"/>
        <item x="108"/>
        <item x="117"/>
        <item x="1"/>
        <item x="13"/>
        <item x="71"/>
        <item x="82"/>
        <item x="86"/>
        <item x="113"/>
        <item x="114"/>
        <item x="97"/>
        <item x="50"/>
        <item x="49"/>
        <item x="95"/>
        <item x="98"/>
        <item x="107"/>
        <item x="85"/>
        <item x="84"/>
        <item x="4"/>
        <item x="3"/>
        <item x="70"/>
        <item x="35"/>
        <item x="59"/>
        <item x="63"/>
        <item x="20"/>
        <item x="60"/>
        <item x="55"/>
        <item x="61"/>
        <item x="62"/>
        <item x="110"/>
        <item x="6"/>
        <item x="38"/>
        <item x="53"/>
        <item x="8"/>
        <item x="9"/>
        <item x="102"/>
        <item x="39"/>
        <item x="74"/>
        <item x="68"/>
        <item x="112"/>
        <item x="76"/>
        <item x="41"/>
        <item x="23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Fields count="2">
    <field x="7"/>
    <field x="0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a de Cantidad" fld="4" baseField="0" baseItem="0"/>
  </dataFields>
  <formats count="9">
    <format dxfId="14">
      <pivotArea outline="0" collapsedLevelsAreSubtotals="1" fieldPosition="0"/>
    </format>
    <format dxfId="13">
      <pivotArea field="7" type="button" dataOnly="0" labelOnly="1" outline="0" axis="axisCol" fieldPosition="0"/>
    </format>
    <format dxfId="12">
      <pivotArea field="0" type="button" dataOnly="0" labelOnly="1" outline="0" axis="axisCol" fieldPosition="1"/>
    </format>
    <format dxfId="11">
      <pivotArea type="topRight" dataOnly="0" labelOnly="1" outline="0" fieldPosition="0"/>
    </format>
    <format dxfId="10">
      <pivotArea dataOnly="0" labelOnly="1" fieldPosition="0">
        <references count="1">
          <reference field="7" count="5">
            <x v="1"/>
            <x v="2"/>
            <x v="3"/>
            <x v="4"/>
            <x v="5"/>
          </reference>
        </references>
      </pivotArea>
    </format>
    <format dxfId="9">
      <pivotArea dataOnly="0" labelOnly="1" grandCol="1" outline="0" fieldPosition="0"/>
    </format>
    <format dxfId="8">
      <pivotArea grandCol="1" outline="0" collapsedLevelsAreSubtotals="1" fieldPosition="0"/>
    </format>
    <format dxfId="7">
      <pivotArea dataOnly="0" fieldPosition="0">
        <references count="1">
          <reference field="3" count="15"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6">
      <pivotArea dataOnly="0" fieldPosition="0">
        <references count="1">
          <reference field="3" count="1">
            <x v="37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3" displayName="Tabla13" ref="A1:G5653" totalsRowCount="1" headerRowDxfId="33" headerRowCellStyle="Millares [0]">
  <autoFilter ref="A1:G5652" xr:uid="{00000000-0009-0000-0100-000001000000}"/>
  <sortState xmlns:xlrd2="http://schemas.microsoft.com/office/spreadsheetml/2017/richdata2" ref="A2:G5652">
    <sortCondition descending="1" ref="A1:A5652"/>
  </sortState>
  <tableColumns count="7">
    <tableColumn id="1" xr3:uid="{00000000-0010-0000-0000-000001000000}" name="Fecha"/>
    <tableColumn id="2" xr3:uid="{00000000-0010-0000-0000-000002000000}" name="Codigo"/>
    <tableColumn id="3" xr3:uid="{00000000-0010-0000-0000-000003000000}" name="Categoría"/>
    <tableColumn id="4" xr3:uid="{00000000-0010-0000-0000-000004000000}" name="Producto"/>
    <tableColumn id="5" xr3:uid="{00000000-0010-0000-0000-000005000000}" name="Cantidad"/>
    <tableColumn id="6" xr3:uid="{00000000-0010-0000-0000-000006000000}" name="Venta Bruta"/>
    <tableColumn id="7" xr3:uid="{00000000-0010-0000-0000-000007000000}" name="Costo ven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4:I386" totalsRowShown="0" headerRowDxfId="3" dataDxfId="2">
  <autoFilter ref="A4:I386" xr:uid="{00000000-0009-0000-0100-000002000000}"/>
  <sortState xmlns:xlrd2="http://schemas.microsoft.com/office/spreadsheetml/2017/richdata2" ref="A5:I321">
    <sortCondition ref="A4:A321"/>
  </sortState>
  <tableColumns count="9">
    <tableColumn id="1" xr3:uid="{00000000-0010-0000-0100-000001000000}" name="SKU"/>
    <tableColumn id="2" xr3:uid="{00000000-0010-0000-0100-000002000000}" name="Categoría"/>
    <tableColumn id="3" xr3:uid="{00000000-0010-0000-0100-000003000000}" name="Producto"/>
    <tableColumn id="4" xr3:uid="{00000000-0010-0000-0100-000004000000}" name="Ingresados"/>
    <tableColumn id="5" xr3:uid="{00000000-0010-0000-0100-000005000000}" name="Vendidos"/>
    <tableColumn id="6" xr3:uid="{00000000-0010-0000-0100-000006000000}" name="Ajuste"/>
    <tableColumn id="7" xr3:uid="{00000000-0010-0000-0100-000007000000}" name="COSTO"/>
    <tableColumn id="8" xr3:uid="{00000000-0010-0000-0100-000008000000}" name="Stock" dataDxfId="1">
      <calculatedColumnFormula>D5-E5-F5</calculatedColumnFormula>
    </tableColumn>
    <tableColumn id="9" xr3:uid="{00000000-0010-0000-0100-000009000000}" name="Coment" dataDxfId="0">
      <calculatedColumnFormula>E7+Tabla1[[#This Row],[Vendidos]]-Tabla1[[#This Row],[Stock]]-H7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alance">
    <pageSetUpPr fitToPage="1"/>
  </sheetPr>
  <dimension ref="B1:V170"/>
  <sheetViews>
    <sheetView tabSelected="1" topLeftCell="A121" zoomScale="75" zoomScaleNormal="75" workbookViewId="0">
      <selection activeCell="D5" sqref="D5:E24"/>
    </sheetView>
  </sheetViews>
  <sheetFormatPr baseColWidth="10" defaultColWidth="11.33203125" defaultRowHeight="15.6" x14ac:dyDescent="0.3"/>
  <cols>
    <col min="1" max="1" width="4.33203125" style="92" customWidth="1"/>
    <col min="2" max="2" width="9" style="92" customWidth="1"/>
    <col min="3" max="3" width="13.5546875" style="107" customWidth="1"/>
    <col min="4" max="4" width="12.33203125" style="267" customWidth="1"/>
    <col min="5" max="5" width="14.44140625" style="107" customWidth="1"/>
    <col min="6" max="6" width="9" style="92" customWidth="1"/>
    <col min="7" max="7" width="0.109375" style="92" customWidth="1"/>
    <col min="8" max="8" width="10.6640625" style="268" customWidth="1"/>
    <col min="9" max="9" width="0.21875" style="77" hidden="1" customWidth="1"/>
    <col min="10" max="10" width="64.5546875" style="103" bestFit="1" customWidth="1"/>
    <col min="11" max="12" width="14.33203125" style="475" bestFit="1" customWidth="1"/>
    <col min="13" max="13" width="14.33203125" style="107" bestFit="1" customWidth="1"/>
    <col min="14" max="14" width="18.109375" style="107" bestFit="1" customWidth="1"/>
    <col min="15" max="18" width="14.33203125" style="107" bestFit="1" customWidth="1"/>
    <col min="19" max="19" width="14.6640625" style="119" bestFit="1" customWidth="1"/>
    <col min="20" max="20" width="12.33203125" style="92" bestFit="1" customWidth="1"/>
    <col min="21" max="21" width="3" style="92" bestFit="1" customWidth="1"/>
    <col min="22" max="24" width="11.33203125" style="92" customWidth="1"/>
    <col min="25" max="16384" width="11.33203125" style="92"/>
  </cols>
  <sheetData>
    <row r="1" spans="2:18" ht="23.7" customHeight="1" thickBot="1" x14ac:dyDescent="0.5">
      <c r="M1" s="417" t="s">
        <v>0</v>
      </c>
      <c r="N1" s="418">
        <f>'Ficha Financiera'!D4</f>
        <v>45846</v>
      </c>
    </row>
    <row r="2" spans="2:18" ht="18" customHeight="1" thickBot="1" x14ac:dyDescent="0.35">
      <c r="F2" s="322"/>
      <c r="G2" s="122"/>
      <c r="H2" s="321"/>
      <c r="J2" s="138"/>
      <c r="K2" s="775" t="s">
        <v>1</v>
      </c>
      <c r="L2" s="776"/>
      <c r="M2" s="776"/>
      <c r="N2" s="776"/>
      <c r="O2" s="776"/>
      <c r="P2" s="776"/>
      <c r="Q2" s="776"/>
      <c r="R2" s="776"/>
    </row>
    <row r="3" spans="2:18" ht="14.25" customHeight="1" x14ac:dyDescent="0.3">
      <c r="F3" s="260">
        <v>0</v>
      </c>
      <c r="G3" s="762" t="s">
        <v>2</v>
      </c>
      <c r="H3" s="768"/>
      <c r="I3" s="777"/>
      <c r="J3" s="778" t="s">
        <v>3</v>
      </c>
      <c r="K3" s="779" t="s">
        <v>4</v>
      </c>
      <c r="L3" s="781" t="s">
        <v>5</v>
      </c>
      <c r="M3" s="764" t="s">
        <v>6</v>
      </c>
      <c r="N3" s="766" t="s">
        <v>7</v>
      </c>
      <c r="O3" s="764" t="s">
        <v>8</v>
      </c>
      <c r="P3" s="766" t="s">
        <v>9</v>
      </c>
      <c r="Q3" s="773" t="s">
        <v>10</v>
      </c>
      <c r="R3" s="771" t="s">
        <v>11</v>
      </c>
    </row>
    <row r="4" spans="2:18" ht="27.75" customHeight="1" thickBot="1" x14ac:dyDescent="0.35">
      <c r="G4" s="763"/>
      <c r="H4" s="763"/>
      <c r="I4" s="772"/>
      <c r="J4" s="763"/>
      <c r="K4" s="780"/>
      <c r="L4" s="782"/>
      <c r="M4" s="765"/>
      <c r="N4" s="767"/>
      <c r="O4" s="765"/>
      <c r="P4" s="767"/>
      <c r="Q4" s="774"/>
      <c r="R4" s="772"/>
    </row>
    <row r="5" spans="2:18" ht="16.2" customHeight="1" thickBot="1" x14ac:dyDescent="0.35">
      <c r="B5" s="202" t="s">
        <v>12</v>
      </c>
      <c r="C5">
        <v>67805482</v>
      </c>
      <c r="D5" s="202" t="s">
        <v>12</v>
      </c>
      <c r="E5">
        <v>62264418.579999998</v>
      </c>
      <c r="G5" s="109"/>
      <c r="H5" s="269"/>
      <c r="I5" s="208"/>
      <c r="J5" s="111"/>
      <c r="K5" s="476"/>
      <c r="L5" s="476"/>
      <c r="M5" s="353"/>
      <c r="N5" s="354"/>
      <c r="O5" s="355"/>
      <c r="P5" s="354"/>
      <c r="Q5" s="353"/>
      <c r="R5" s="353"/>
    </row>
    <row r="6" spans="2:18" ht="21.75" customHeight="1" x14ac:dyDescent="0.3">
      <c r="B6" s="202" t="s">
        <v>13</v>
      </c>
      <c r="C6">
        <v>6718491</v>
      </c>
      <c r="D6" s="202" t="s">
        <v>13</v>
      </c>
      <c r="E6">
        <v>6718491</v>
      </c>
      <c r="G6" s="110"/>
      <c r="H6" s="350"/>
      <c r="I6" s="351" t="s">
        <v>14</v>
      </c>
      <c r="J6" s="352" t="s">
        <v>15</v>
      </c>
      <c r="K6" s="477"/>
      <c r="L6" s="478"/>
      <c r="M6" s="228"/>
      <c r="N6" s="229"/>
      <c r="O6" s="228"/>
      <c r="P6" s="229"/>
      <c r="R6" s="253"/>
    </row>
    <row r="7" spans="2:18" ht="18" customHeight="1" x14ac:dyDescent="0.3">
      <c r="B7" s="202" t="s">
        <v>16</v>
      </c>
      <c r="C7">
        <v>7703260</v>
      </c>
      <c r="D7" s="202" t="s">
        <v>16</v>
      </c>
      <c r="E7">
        <v>7703260</v>
      </c>
      <c r="G7" s="108"/>
      <c r="H7" s="274"/>
      <c r="I7" s="209" t="s">
        <v>17</v>
      </c>
      <c r="J7" s="114" t="s">
        <v>18</v>
      </c>
      <c r="K7" s="479"/>
      <c r="L7" s="480"/>
      <c r="M7" s="231"/>
      <c r="N7" s="231"/>
      <c r="O7" s="231"/>
      <c r="P7" s="231"/>
      <c r="Q7" s="231">
        <f>SUM(Q8:Q55)</f>
        <v>0</v>
      </c>
      <c r="R7" s="231">
        <f>SUM(R8:R55)</f>
        <v>0</v>
      </c>
    </row>
    <row r="8" spans="2:18" ht="15.45" customHeight="1" x14ac:dyDescent="0.3">
      <c r="B8" s="202" t="s">
        <v>19</v>
      </c>
      <c r="C8">
        <v>2003110</v>
      </c>
      <c r="D8" s="202" t="s">
        <v>19</v>
      </c>
      <c r="E8">
        <v>600000</v>
      </c>
      <c r="G8" s="108"/>
      <c r="H8" s="274" t="s">
        <v>12</v>
      </c>
      <c r="I8" s="210" t="s">
        <v>20</v>
      </c>
      <c r="J8" s="112" t="s">
        <v>21</v>
      </c>
      <c r="K8" s="166">
        <v>67805482</v>
      </c>
      <c r="L8" s="166">
        <v>62264418.579999998</v>
      </c>
      <c r="M8" s="228">
        <f t="shared" ref="M8:M39" si="0">IF(K8&gt;L8,K8-L8,0)</f>
        <v>5541063.4200000018</v>
      </c>
      <c r="N8" s="233">
        <f t="shared" ref="N8:N22" si="1">IF(L8&gt;K8,L8-K8,0)</f>
        <v>0</v>
      </c>
      <c r="O8" s="228">
        <f t="shared" ref="O8:O22" si="2">M8</f>
        <v>5541063.4200000018</v>
      </c>
      <c r="P8" s="229">
        <f t="shared" ref="P8:P22" si="3">N8</f>
        <v>0</v>
      </c>
      <c r="R8" s="253"/>
    </row>
    <row r="9" spans="2:18" ht="15.45" customHeight="1" x14ac:dyDescent="0.3">
      <c r="B9" s="202" t="s">
        <v>22</v>
      </c>
      <c r="C9">
        <v>23009520</v>
      </c>
      <c r="D9" s="202" t="s">
        <v>22</v>
      </c>
      <c r="E9">
        <v>6046338</v>
      </c>
      <c r="G9" s="108"/>
      <c r="H9" s="274" t="s">
        <v>23</v>
      </c>
      <c r="I9" s="210" t="s">
        <v>24</v>
      </c>
      <c r="J9" s="112" t="s">
        <v>25</v>
      </c>
      <c r="K9" s="166"/>
      <c r="L9" s="166"/>
      <c r="M9" s="228">
        <f t="shared" si="0"/>
        <v>0</v>
      </c>
      <c r="N9" s="233">
        <f t="shared" si="1"/>
        <v>0</v>
      </c>
      <c r="O9" s="228">
        <f t="shared" si="2"/>
        <v>0</v>
      </c>
      <c r="P9" s="229">
        <f t="shared" si="3"/>
        <v>0</v>
      </c>
      <c r="R9" s="253"/>
    </row>
    <row r="10" spans="2:18" ht="15.45" customHeight="1" x14ac:dyDescent="0.3">
      <c r="B10" s="202" t="s">
        <v>26</v>
      </c>
      <c r="C10">
        <v>4411837</v>
      </c>
      <c r="D10" s="202" t="s">
        <v>26</v>
      </c>
      <c r="E10">
        <v>2012779</v>
      </c>
      <c r="G10" s="108"/>
      <c r="H10" s="274" t="s">
        <v>27</v>
      </c>
      <c r="I10" s="210" t="s">
        <v>28</v>
      </c>
      <c r="J10" s="112" t="s">
        <v>29</v>
      </c>
      <c r="K10" s="166"/>
      <c r="L10" s="166"/>
      <c r="M10" s="228">
        <f t="shared" si="0"/>
        <v>0</v>
      </c>
      <c r="N10" s="233">
        <f t="shared" si="1"/>
        <v>0</v>
      </c>
      <c r="O10" s="228">
        <f t="shared" si="2"/>
        <v>0</v>
      </c>
      <c r="P10" s="229">
        <f t="shared" si="3"/>
        <v>0</v>
      </c>
      <c r="R10" s="253"/>
    </row>
    <row r="11" spans="2:18" ht="15.45" customHeight="1" x14ac:dyDescent="0.3">
      <c r="B11" s="202" t="s">
        <v>30</v>
      </c>
      <c r="C11">
        <v>11339602</v>
      </c>
      <c r="D11" s="202" t="s">
        <v>30</v>
      </c>
      <c r="E11">
        <v>11339602</v>
      </c>
      <c r="G11" s="108"/>
      <c r="H11" s="274" t="s">
        <v>31</v>
      </c>
      <c r="I11" s="210" t="s">
        <v>32</v>
      </c>
      <c r="J11" s="112" t="s">
        <v>33</v>
      </c>
      <c r="K11" s="166"/>
      <c r="L11" s="166"/>
      <c r="M11" s="228">
        <f t="shared" si="0"/>
        <v>0</v>
      </c>
      <c r="N11" s="233">
        <f t="shared" si="1"/>
        <v>0</v>
      </c>
      <c r="O11" s="228">
        <f t="shared" si="2"/>
        <v>0</v>
      </c>
      <c r="P11" s="229">
        <f t="shared" si="3"/>
        <v>0</v>
      </c>
      <c r="R11" s="253"/>
    </row>
    <row r="12" spans="2:18" ht="15.45" customHeight="1" x14ac:dyDescent="0.3">
      <c r="B12" s="202" t="s">
        <v>34</v>
      </c>
      <c r="C12">
        <v>3417</v>
      </c>
      <c r="D12" s="202" t="s">
        <v>81</v>
      </c>
      <c r="E12">
        <v>477784</v>
      </c>
      <c r="G12" s="108"/>
      <c r="H12" s="274" t="s">
        <v>35</v>
      </c>
      <c r="I12" s="210" t="s">
        <v>36</v>
      </c>
      <c r="J12" s="112" t="s">
        <v>37</v>
      </c>
      <c r="K12" s="166"/>
      <c r="L12" s="166"/>
      <c r="M12" s="228">
        <f t="shared" si="0"/>
        <v>0</v>
      </c>
      <c r="N12" s="233">
        <f t="shared" si="1"/>
        <v>0</v>
      </c>
      <c r="O12" s="228">
        <f t="shared" si="2"/>
        <v>0</v>
      </c>
      <c r="P12" s="229">
        <f t="shared" si="3"/>
        <v>0</v>
      </c>
      <c r="R12" s="253"/>
    </row>
    <row r="13" spans="2:18" ht="15.75" customHeight="1" x14ac:dyDescent="0.3">
      <c r="B13" s="202" t="s">
        <v>38</v>
      </c>
      <c r="C13">
        <v>4157547</v>
      </c>
      <c r="D13" s="202" t="s">
        <v>34</v>
      </c>
      <c r="E13">
        <v>0</v>
      </c>
      <c r="G13" s="108"/>
      <c r="H13" s="275" t="s">
        <v>13</v>
      </c>
      <c r="I13" s="210" t="s">
        <v>39</v>
      </c>
      <c r="J13" s="154" t="s">
        <v>40</v>
      </c>
      <c r="K13" s="166">
        <v>6718491</v>
      </c>
      <c r="L13" s="166">
        <v>6718491</v>
      </c>
      <c r="M13" s="228">
        <f t="shared" si="0"/>
        <v>0</v>
      </c>
      <c r="N13" s="233">
        <f t="shared" si="1"/>
        <v>0</v>
      </c>
      <c r="O13" s="228">
        <f t="shared" si="2"/>
        <v>0</v>
      </c>
      <c r="P13" s="229">
        <f t="shared" si="3"/>
        <v>0</v>
      </c>
      <c r="R13" s="253"/>
    </row>
    <row r="14" spans="2:18" ht="15.45" customHeight="1" x14ac:dyDescent="0.3">
      <c r="B14" s="202" t="s">
        <v>41</v>
      </c>
      <c r="C14">
        <v>0</v>
      </c>
      <c r="D14" s="202" t="s">
        <v>38</v>
      </c>
      <c r="E14">
        <v>0</v>
      </c>
      <c r="G14" s="108"/>
      <c r="H14" s="276" t="s">
        <v>42</v>
      </c>
      <c r="I14" s="210" t="s">
        <v>43</v>
      </c>
      <c r="J14" s="154" t="s">
        <v>44</v>
      </c>
      <c r="K14" s="166"/>
      <c r="L14" s="166"/>
      <c r="M14" s="228">
        <f t="shared" si="0"/>
        <v>0</v>
      </c>
      <c r="N14" s="233">
        <f t="shared" si="1"/>
        <v>0</v>
      </c>
      <c r="O14" s="228">
        <f t="shared" si="2"/>
        <v>0</v>
      </c>
      <c r="P14" s="229">
        <f t="shared" si="3"/>
        <v>0</v>
      </c>
      <c r="R14" s="253"/>
    </row>
    <row r="15" spans="2:18" ht="15.45" customHeight="1" x14ac:dyDescent="0.3">
      <c r="B15" s="202" t="s">
        <v>45</v>
      </c>
      <c r="C15">
        <v>0</v>
      </c>
      <c r="D15" s="202" t="s">
        <v>41</v>
      </c>
      <c r="E15">
        <v>2066302</v>
      </c>
      <c r="G15" s="108"/>
      <c r="H15" s="276" t="s">
        <v>16</v>
      </c>
      <c r="I15" s="210" t="s">
        <v>46</v>
      </c>
      <c r="J15" s="154" t="s">
        <v>40</v>
      </c>
      <c r="K15" s="166">
        <v>7703260</v>
      </c>
      <c r="L15" s="166">
        <v>7703260</v>
      </c>
      <c r="M15" s="228">
        <f t="shared" si="0"/>
        <v>0</v>
      </c>
      <c r="N15" s="233">
        <f t="shared" si="1"/>
        <v>0</v>
      </c>
      <c r="O15" s="228">
        <f t="shared" si="2"/>
        <v>0</v>
      </c>
      <c r="P15" s="229">
        <f t="shared" si="3"/>
        <v>0</v>
      </c>
      <c r="R15" s="253"/>
    </row>
    <row r="16" spans="2:18" ht="15.45" customHeight="1" x14ac:dyDescent="0.3">
      <c r="B16" s="202" t="s">
        <v>47</v>
      </c>
      <c r="C16">
        <v>5093043</v>
      </c>
      <c r="D16" s="202" t="s">
        <v>45</v>
      </c>
      <c r="E16">
        <v>207718.14</v>
      </c>
      <c r="G16" s="108"/>
      <c r="H16" s="274" t="s">
        <v>19</v>
      </c>
      <c r="I16" s="210" t="s">
        <v>48</v>
      </c>
      <c r="J16" s="112" t="s">
        <v>49</v>
      </c>
      <c r="K16" s="166">
        <v>2003110</v>
      </c>
      <c r="L16" s="166">
        <v>600000</v>
      </c>
      <c r="M16" s="228">
        <f t="shared" si="0"/>
        <v>1403110</v>
      </c>
      <c r="N16" s="233">
        <f t="shared" si="1"/>
        <v>0</v>
      </c>
      <c r="O16" s="228">
        <f t="shared" si="2"/>
        <v>1403110</v>
      </c>
      <c r="P16" s="229">
        <f t="shared" si="3"/>
        <v>0</v>
      </c>
      <c r="R16" s="253"/>
    </row>
    <row r="17" spans="2:22" ht="15.45" customHeight="1" x14ac:dyDescent="0.3">
      <c r="B17" s="202" t="s">
        <v>50</v>
      </c>
      <c r="C17">
        <v>8753667</v>
      </c>
      <c r="D17" s="202" t="s">
        <v>47</v>
      </c>
      <c r="E17">
        <v>6480183.3099999996</v>
      </c>
      <c r="G17" s="108"/>
      <c r="H17" s="274" t="s">
        <v>51</v>
      </c>
      <c r="I17" s="210" t="s">
        <v>52</v>
      </c>
      <c r="J17" s="112" t="s">
        <v>53</v>
      </c>
      <c r="K17" s="166"/>
      <c r="L17" s="166"/>
      <c r="M17" s="228">
        <f t="shared" si="0"/>
        <v>0</v>
      </c>
      <c r="N17" s="233">
        <f t="shared" si="1"/>
        <v>0</v>
      </c>
      <c r="O17" s="228">
        <f t="shared" si="2"/>
        <v>0</v>
      </c>
      <c r="P17" s="229">
        <f t="shared" si="3"/>
        <v>0</v>
      </c>
      <c r="R17" s="253"/>
    </row>
    <row r="18" spans="2:22" ht="15.9" customHeight="1" x14ac:dyDescent="0.3">
      <c r="B18" s="202" t="s">
        <v>54</v>
      </c>
      <c r="C18">
        <v>1057546</v>
      </c>
      <c r="D18" s="202" t="s">
        <v>50</v>
      </c>
      <c r="E18">
        <v>8647039</v>
      </c>
      <c r="G18" s="108"/>
      <c r="H18" s="274" t="s">
        <v>55</v>
      </c>
      <c r="I18" s="210" t="s">
        <v>56</v>
      </c>
      <c r="J18" s="112" t="s">
        <v>57</v>
      </c>
      <c r="K18" s="166"/>
      <c r="L18" s="166"/>
      <c r="M18" s="228">
        <f t="shared" si="0"/>
        <v>0</v>
      </c>
      <c r="N18" s="233">
        <f t="shared" si="1"/>
        <v>0</v>
      </c>
      <c r="O18" s="228">
        <f t="shared" si="2"/>
        <v>0</v>
      </c>
      <c r="P18" s="229">
        <f t="shared" si="3"/>
        <v>0</v>
      </c>
      <c r="R18" s="253"/>
      <c r="S18" s="77" t="s">
        <v>58</v>
      </c>
      <c r="T18" t="s">
        <v>59</v>
      </c>
      <c r="U18" s="77" t="s">
        <v>60</v>
      </c>
      <c r="V18" s="226">
        <f ca="1">Datos!I1</f>
        <v>45847.617645949074</v>
      </c>
    </row>
    <row r="19" spans="2:22" ht="16.350000000000001" customHeight="1" x14ac:dyDescent="0.3">
      <c r="B19" s="202" t="s">
        <v>61</v>
      </c>
      <c r="C19">
        <v>0</v>
      </c>
      <c r="D19" s="202" t="s">
        <v>54</v>
      </c>
      <c r="E19">
        <v>10694576</v>
      </c>
      <c r="G19" s="108"/>
      <c r="H19" s="274" t="s">
        <v>22</v>
      </c>
      <c r="I19" s="210" t="s">
        <v>62</v>
      </c>
      <c r="J19" s="112" t="s">
        <v>63</v>
      </c>
      <c r="K19" s="166">
        <v>23009520</v>
      </c>
      <c r="L19" s="166">
        <v>6046338</v>
      </c>
      <c r="M19" s="228">
        <f t="shared" si="0"/>
        <v>16963182</v>
      </c>
      <c r="N19" s="233">
        <f t="shared" si="1"/>
        <v>0</v>
      </c>
      <c r="O19" s="228">
        <f t="shared" si="2"/>
        <v>16963182</v>
      </c>
      <c r="P19" s="229">
        <f t="shared" si="3"/>
        <v>0</v>
      </c>
      <c r="R19" s="253"/>
      <c r="S19" s="149">
        <f>Distrib_Inventario!N1</f>
        <v>15854172</v>
      </c>
      <c r="T19" s="120">
        <f>O19-S19</f>
        <v>1109010</v>
      </c>
    </row>
    <row r="20" spans="2:22" ht="15.45" customHeight="1" x14ac:dyDescent="0.3">
      <c r="B20" s="202" t="s">
        <v>64</v>
      </c>
      <c r="C20">
        <v>0</v>
      </c>
      <c r="D20" s="202" t="s">
        <v>61</v>
      </c>
      <c r="E20">
        <v>3000000</v>
      </c>
      <c r="G20" s="108"/>
      <c r="H20" s="274" t="s">
        <v>65</v>
      </c>
      <c r="I20" s="210" t="s">
        <v>66</v>
      </c>
      <c r="J20" s="112" t="s">
        <v>67</v>
      </c>
      <c r="K20" s="166"/>
      <c r="L20" s="166"/>
      <c r="M20" s="228">
        <f t="shared" si="0"/>
        <v>0</v>
      </c>
      <c r="N20" s="233">
        <f t="shared" si="1"/>
        <v>0</v>
      </c>
      <c r="O20" s="228">
        <f t="shared" si="2"/>
        <v>0</v>
      </c>
      <c r="P20" s="229">
        <f t="shared" si="3"/>
        <v>0</v>
      </c>
      <c r="R20" s="253"/>
    </row>
    <row r="21" spans="2:22" ht="15.45" customHeight="1" x14ac:dyDescent="0.3">
      <c r="B21" s="202" t="s">
        <v>68</v>
      </c>
      <c r="C21">
        <v>9000000</v>
      </c>
      <c r="D21" s="202" t="s">
        <v>64</v>
      </c>
      <c r="E21">
        <v>16115566</v>
      </c>
      <c r="G21" s="108"/>
      <c r="H21" s="274" t="s">
        <v>70</v>
      </c>
      <c r="I21" s="210" t="s">
        <v>71</v>
      </c>
      <c r="J21" s="112" t="s">
        <v>72</v>
      </c>
      <c r="K21" s="166"/>
      <c r="L21" s="166"/>
      <c r="M21" s="228">
        <f t="shared" si="0"/>
        <v>0</v>
      </c>
      <c r="N21" s="233">
        <f t="shared" si="1"/>
        <v>0</v>
      </c>
      <c r="O21" s="228">
        <f t="shared" si="2"/>
        <v>0</v>
      </c>
      <c r="P21" s="229">
        <f t="shared" si="3"/>
        <v>0</v>
      </c>
      <c r="R21" s="253"/>
    </row>
    <row r="22" spans="2:22" ht="15.45" customHeight="1" x14ac:dyDescent="0.3">
      <c r="B22" s="202" t="s">
        <v>73</v>
      </c>
      <c r="C22">
        <v>6046338</v>
      </c>
      <c r="D22" s="202" t="s">
        <v>69</v>
      </c>
      <c r="E22">
        <v>32500881</v>
      </c>
      <c r="G22" s="108"/>
      <c r="H22" s="274" t="s">
        <v>26</v>
      </c>
      <c r="I22" s="210" t="s">
        <v>75</v>
      </c>
      <c r="J22" s="112" t="s">
        <v>76</v>
      </c>
      <c r="K22" s="166">
        <v>4411837</v>
      </c>
      <c r="L22" s="166">
        <v>2012779</v>
      </c>
      <c r="M22" s="228">
        <f t="shared" si="0"/>
        <v>2399058</v>
      </c>
      <c r="N22" s="233">
        <f t="shared" si="1"/>
        <v>0</v>
      </c>
      <c r="O22" s="228">
        <f t="shared" si="2"/>
        <v>2399058</v>
      </c>
      <c r="P22" s="229">
        <f t="shared" si="3"/>
        <v>0</v>
      </c>
      <c r="R22" s="253"/>
      <c r="S22" s="280"/>
    </row>
    <row r="23" spans="2:22" ht="15.45" customHeight="1" x14ac:dyDescent="0.3">
      <c r="B23" s="202" t="s">
        <v>77</v>
      </c>
      <c r="C23">
        <v>7896846</v>
      </c>
      <c r="D23" s="202" t="s">
        <v>74</v>
      </c>
      <c r="E23">
        <v>1695650</v>
      </c>
      <c r="G23" s="108"/>
      <c r="H23" s="274" t="s">
        <v>30</v>
      </c>
      <c r="I23" s="210" t="s">
        <v>78</v>
      </c>
      <c r="J23" s="112" t="s">
        <v>79</v>
      </c>
      <c r="K23" s="166">
        <v>11339602</v>
      </c>
      <c r="L23" s="166">
        <v>11339602</v>
      </c>
      <c r="M23" s="228">
        <f t="shared" si="0"/>
        <v>0</v>
      </c>
      <c r="N23" s="233"/>
      <c r="O23" s="228">
        <f t="shared" ref="O23:O55" si="4">M23</f>
        <v>0</v>
      </c>
      <c r="P23" s="229"/>
      <c r="R23" s="253"/>
      <c r="T23" s="188"/>
    </row>
    <row r="24" spans="2:22" ht="15.45" customHeight="1" x14ac:dyDescent="0.3">
      <c r="B24" s="202" t="s">
        <v>80</v>
      </c>
      <c r="C24">
        <v>4420760</v>
      </c>
      <c r="D24" s="202" t="s">
        <v>77</v>
      </c>
      <c r="E24">
        <v>4749648</v>
      </c>
      <c r="G24" s="108"/>
      <c r="H24" s="274" t="s">
        <v>81</v>
      </c>
      <c r="I24" s="210" t="s">
        <v>82</v>
      </c>
      <c r="J24" s="112" t="s">
        <v>83</v>
      </c>
      <c r="K24" s="166"/>
      <c r="L24" s="166">
        <v>477784</v>
      </c>
      <c r="M24" s="228">
        <f t="shared" si="0"/>
        <v>0</v>
      </c>
      <c r="N24" s="233">
        <f t="shared" ref="N24:N55" si="5">IF(L24&gt;K24,L24-K24,0)</f>
        <v>477784</v>
      </c>
      <c r="O24" s="228">
        <f t="shared" si="4"/>
        <v>0</v>
      </c>
      <c r="P24" s="229">
        <f t="shared" ref="P24:P33" si="6">N24</f>
        <v>477784</v>
      </c>
      <c r="R24" s="253"/>
    </row>
    <row r="25" spans="2:22" ht="15.45" customHeight="1" x14ac:dyDescent="0.3">
      <c r="B25" s="202" t="s">
        <v>84</v>
      </c>
      <c r="C25">
        <v>6885949</v>
      </c>
      <c r="D25" s="202"/>
      <c r="E25"/>
      <c r="G25" s="108"/>
      <c r="H25" s="274" t="s">
        <v>85</v>
      </c>
      <c r="I25" s="210" t="s">
        <v>86</v>
      </c>
      <c r="J25" s="112" t="s">
        <v>87</v>
      </c>
      <c r="K25" s="166"/>
      <c r="L25" s="166"/>
      <c r="M25" s="228">
        <f t="shared" si="0"/>
        <v>0</v>
      </c>
      <c r="N25" s="233">
        <f t="shared" si="5"/>
        <v>0</v>
      </c>
      <c r="O25" s="228">
        <f t="shared" si="4"/>
        <v>0</v>
      </c>
      <c r="P25" s="229">
        <f t="shared" si="6"/>
        <v>0</v>
      </c>
      <c r="R25" s="253"/>
    </row>
    <row r="26" spans="2:22" ht="15.45" customHeight="1" x14ac:dyDescent="0.3">
      <c r="B26" s="202" t="s">
        <v>88</v>
      </c>
      <c r="C26">
        <v>1222058.72</v>
      </c>
      <c r="D26" s="202"/>
      <c r="E26"/>
      <c r="G26" s="108"/>
      <c r="H26" s="274" t="s">
        <v>89</v>
      </c>
      <c r="I26" s="210" t="s">
        <v>90</v>
      </c>
      <c r="J26" s="112" t="s">
        <v>91</v>
      </c>
      <c r="K26" s="166"/>
      <c r="L26" s="166"/>
      <c r="M26" s="228">
        <f t="shared" si="0"/>
        <v>0</v>
      </c>
      <c r="N26" s="233">
        <f t="shared" si="5"/>
        <v>0</v>
      </c>
      <c r="O26" s="228">
        <f t="shared" si="4"/>
        <v>0</v>
      </c>
      <c r="P26" s="229">
        <f t="shared" si="6"/>
        <v>0</v>
      </c>
      <c r="R26" s="253"/>
    </row>
    <row r="27" spans="2:22" ht="15.45" customHeight="1" x14ac:dyDescent="0.3">
      <c r="B27" s="202" t="s">
        <v>92</v>
      </c>
      <c r="C27">
        <v>5792436</v>
      </c>
      <c r="D27" s="202"/>
      <c r="E27"/>
      <c r="G27" s="108"/>
      <c r="H27" s="274" t="s">
        <v>93</v>
      </c>
      <c r="I27" s="210" t="s">
        <v>94</v>
      </c>
      <c r="J27" s="112" t="s">
        <v>87</v>
      </c>
      <c r="K27" s="166"/>
      <c r="L27" s="166"/>
      <c r="M27" s="228">
        <f t="shared" si="0"/>
        <v>0</v>
      </c>
      <c r="N27" s="233">
        <f t="shared" si="5"/>
        <v>0</v>
      </c>
      <c r="O27" s="228">
        <f t="shared" si="4"/>
        <v>0</v>
      </c>
      <c r="P27" s="229">
        <f t="shared" si="6"/>
        <v>0</v>
      </c>
      <c r="R27" s="253"/>
    </row>
    <row r="28" spans="2:22" ht="15.45" customHeight="1" x14ac:dyDescent="0.3">
      <c r="B28" s="202"/>
      <c r="D28" s="202"/>
      <c r="G28" s="108"/>
      <c r="H28" s="274" t="s">
        <v>95</v>
      </c>
      <c r="I28" s="210" t="s">
        <v>96</v>
      </c>
      <c r="J28" s="112" t="s">
        <v>87</v>
      </c>
      <c r="K28" s="166"/>
      <c r="L28" s="166"/>
      <c r="M28" s="228">
        <f t="shared" si="0"/>
        <v>0</v>
      </c>
      <c r="N28" s="233">
        <f t="shared" si="5"/>
        <v>0</v>
      </c>
      <c r="O28" s="228">
        <f t="shared" si="4"/>
        <v>0</v>
      </c>
      <c r="P28" s="229">
        <f t="shared" si="6"/>
        <v>0</v>
      </c>
      <c r="R28" s="253"/>
    </row>
    <row r="29" spans="2:22" ht="15.45" customHeight="1" x14ac:dyDescent="0.3">
      <c r="B29" s="202"/>
      <c r="D29" s="202"/>
      <c r="G29" s="108"/>
      <c r="H29" s="274" t="s">
        <v>97</v>
      </c>
      <c r="I29" s="210" t="s">
        <v>98</v>
      </c>
      <c r="J29" s="112" t="s">
        <v>87</v>
      </c>
      <c r="K29" s="166"/>
      <c r="L29" s="166"/>
      <c r="M29" s="228">
        <f t="shared" si="0"/>
        <v>0</v>
      </c>
      <c r="N29" s="233">
        <f t="shared" si="5"/>
        <v>0</v>
      </c>
      <c r="O29" s="228">
        <f t="shared" si="4"/>
        <v>0</v>
      </c>
      <c r="P29" s="229">
        <f t="shared" si="6"/>
        <v>0</v>
      </c>
      <c r="R29" s="253"/>
    </row>
    <row r="30" spans="2:22" ht="15.75" customHeight="1" x14ac:dyDescent="0.3">
      <c r="B30" s="202"/>
      <c r="D30" s="202"/>
      <c r="G30" s="108"/>
      <c r="H30" s="274" t="s">
        <v>99</v>
      </c>
      <c r="I30" s="210" t="s">
        <v>100</v>
      </c>
      <c r="J30" s="112" t="s">
        <v>87</v>
      </c>
      <c r="K30" s="166"/>
      <c r="L30" s="166"/>
      <c r="M30" s="228">
        <f t="shared" si="0"/>
        <v>0</v>
      </c>
      <c r="N30" s="233">
        <f t="shared" si="5"/>
        <v>0</v>
      </c>
      <c r="O30" s="228">
        <f t="shared" si="4"/>
        <v>0</v>
      </c>
      <c r="P30" s="229">
        <f t="shared" si="6"/>
        <v>0</v>
      </c>
      <c r="R30" s="253"/>
    </row>
    <row r="31" spans="2:22" ht="15.45" customHeight="1" x14ac:dyDescent="0.3">
      <c r="B31" s="202"/>
      <c r="D31" s="202"/>
      <c r="G31" s="108"/>
      <c r="H31" s="274" t="s">
        <v>101</v>
      </c>
      <c r="I31" s="210"/>
      <c r="J31" s="112" t="s">
        <v>91</v>
      </c>
      <c r="K31" s="166"/>
      <c r="L31" s="166"/>
      <c r="M31" s="228">
        <f t="shared" si="0"/>
        <v>0</v>
      </c>
      <c r="N31" s="233">
        <f t="shared" si="5"/>
        <v>0</v>
      </c>
      <c r="O31" s="228">
        <f t="shared" si="4"/>
        <v>0</v>
      </c>
      <c r="P31" s="229">
        <f t="shared" si="6"/>
        <v>0</v>
      </c>
      <c r="R31" s="253"/>
    </row>
    <row r="32" spans="2:22" ht="15.45" customHeight="1" x14ac:dyDescent="0.3">
      <c r="B32" s="202"/>
      <c r="D32" s="202"/>
      <c r="G32" s="93"/>
      <c r="H32" s="274" t="s">
        <v>102</v>
      </c>
      <c r="I32" s="210" t="s">
        <v>103</v>
      </c>
      <c r="J32" s="112" t="s">
        <v>104</v>
      </c>
      <c r="K32" s="166"/>
      <c r="L32" s="166"/>
      <c r="M32" s="228">
        <f t="shared" si="0"/>
        <v>0</v>
      </c>
      <c r="N32" s="233">
        <f t="shared" si="5"/>
        <v>0</v>
      </c>
      <c r="O32" s="228">
        <f t="shared" si="4"/>
        <v>0</v>
      </c>
      <c r="P32" s="229">
        <f t="shared" si="6"/>
        <v>0</v>
      </c>
      <c r="R32" s="253"/>
    </row>
    <row r="33" spans="2:18" ht="15.45" customHeight="1" x14ac:dyDescent="0.3">
      <c r="B33" s="202"/>
      <c r="D33" s="202"/>
      <c r="G33" s="93"/>
      <c r="H33" s="274" t="s">
        <v>105</v>
      </c>
      <c r="I33" s="210" t="s">
        <v>106</v>
      </c>
      <c r="J33" s="112" t="s">
        <v>107</v>
      </c>
      <c r="K33" s="166"/>
      <c r="L33" s="166"/>
      <c r="M33" s="228">
        <f t="shared" si="0"/>
        <v>0</v>
      </c>
      <c r="N33" s="233">
        <f t="shared" si="5"/>
        <v>0</v>
      </c>
      <c r="O33" s="228">
        <f t="shared" si="4"/>
        <v>0</v>
      </c>
      <c r="P33" s="229">
        <f t="shared" si="6"/>
        <v>0</v>
      </c>
      <c r="R33" s="253"/>
    </row>
    <row r="34" spans="2:18" ht="15.45" customHeight="1" x14ac:dyDescent="0.3">
      <c r="B34" s="202"/>
      <c r="D34" s="202"/>
      <c r="G34" s="93"/>
      <c r="H34" s="274" t="s">
        <v>108</v>
      </c>
      <c r="I34" s="210" t="s">
        <v>109</v>
      </c>
      <c r="J34" s="112" t="s">
        <v>110</v>
      </c>
      <c r="K34" s="166"/>
      <c r="L34" s="166"/>
      <c r="M34" s="228">
        <f t="shared" si="0"/>
        <v>0</v>
      </c>
      <c r="N34" s="233">
        <f t="shared" si="5"/>
        <v>0</v>
      </c>
      <c r="O34" s="228">
        <f t="shared" si="4"/>
        <v>0</v>
      </c>
      <c r="P34" s="229"/>
      <c r="R34" s="253"/>
    </row>
    <row r="35" spans="2:18" ht="15.45" customHeight="1" x14ac:dyDescent="0.3">
      <c r="B35" s="202"/>
      <c r="D35" s="202"/>
      <c r="G35" s="93"/>
      <c r="H35" s="274" t="s">
        <v>111</v>
      </c>
      <c r="I35" s="210" t="s">
        <v>112</v>
      </c>
      <c r="J35" s="154" t="s">
        <v>113</v>
      </c>
      <c r="K35" s="166"/>
      <c r="L35" s="166"/>
      <c r="M35" s="228">
        <f t="shared" si="0"/>
        <v>0</v>
      </c>
      <c r="N35" s="233">
        <f t="shared" si="5"/>
        <v>0</v>
      </c>
      <c r="O35" s="228">
        <f t="shared" si="4"/>
        <v>0</v>
      </c>
      <c r="P35" s="229"/>
      <c r="R35" s="253"/>
    </row>
    <row r="36" spans="2:18" ht="15.45" customHeight="1" x14ac:dyDescent="0.3">
      <c r="B36" s="202"/>
      <c r="D36" s="202"/>
      <c r="G36" s="93"/>
      <c r="H36" s="274" t="s">
        <v>114</v>
      </c>
      <c r="I36" s="210" t="s">
        <v>115</v>
      </c>
      <c r="J36" s="154" t="s">
        <v>116</v>
      </c>
      <c r="K36" s="166"/>
      <c r="L36" s="166"/>
      <c r="M36" s="228">
        <f t="shared" si="0"/>
        <v>0</v>
      </c>
      <c r="N36" s="233">
        <f t="shared" si="5"/>
        <v>0</v>
      </c>
      <c r="O36" s="228">
        <f t="shared" si="4"/>
        <v>0</v>
      </c>
      <c r="P36" s="229"/>
      <c r="R36" s="253"/>
    </row>
    <row r="37" spans="2:18" ht="15.45" customHeight="1" x14ac:dyDescent="0.3">
      <c r="B37" s="202"/>
      <c r="D37" s="202"/>
      <c r="G37" s="93"/>
      <c r="H37" s="274" t="s">
        <v>117</v>
      </c>
      <c r="I37" s="210" t="s">
        <v>118</v>
      </c>
      <c r="J37" s="154" t="s">
        <v>119</v>
      </c>
      <c r="K37" s="166"/>
      <c r="L37" s="166"/>
      <c r="M37" s="228">
        <f t="shared" si="0"/>
        <v>0</v>
      </c>
      <c r="N37" s="233">
        <f t="shared" si="5"/>
        <v>0</v>
      </c>
      <c r="O37" s="228">
        <f t="shared" si="4"/>
        <v>0</v>
      </c>
      <c r="P37" s="229"/>
      <c r="R37" s="253"/>
    </row>
    <row r="38" spans="2:18" ht="17.25" customHeight="1" x14ac:dyDescent="0.3">
      <c r="B38" s="202"/>
      <c r="D38" s="202"/>
      <c r="G38" s="93"/>
      <c r="H38" s="274" t="s">
        <v>120</v>
      </c>
      <c r="I38" s="210" t="s">
        <v>121</v>
      </c>
      <c r="J38" s="154" t="s">
        <v>122</v>
      </c>
      <c r="K38" s="166"/>
      <c r="L38" s="166"/>
      <c r="M38" s="228">
        <f t="shared" si="0"/>
        <v>0</v>
      </c>
      <c r="N38" s="233">
        <f t="shared" si="5"/>
        <v>0</v>
      </c>
      <c r="O38" s="228">
        <f t="shared" si="4"/>
        <v>0</v>
      </c>
      <c r="P38" s="229"/>
      <c r="R38" s="253"/>
    </row>
    <row r="39" spans="2:18" ht="15.45" customHeight="1" x14ac:dyDescent="0.3">
      <c r="B39" s="202"/>
      <c r="D39" s="202"/>
      <c r="G39" s="93"/>
      <c r="H39" s="274" t="s">
        <v>123</v>
      </c>
      <c r="I39" s="210" t="s">
        <v>124</v>
      </c>
      <c r="J39" s="154" t="s">
        <v>125</v>
      </c>
      <c r="K39" s="166"/>
      <c r="L39" s="166"/>
      <c r="M39" s="228">
        <f t="shared" si="0"/>
        <v>0</v>
      </c>
      <c r="N39" s="233">
        <f t="shared" si="5"/>
        <v>0</v>
      </c>
      <c r="O39" s="228">
        <f t="shared" si="4"/>
        <v>0</v>
      </c>
      <c r="P39" s="229"/>
      <c r="R39" s="253"/>
    </row>
    <row r="40" spans="2:18" ht="15.45" customHeight="1" x14ac:dyDescent="0.3">
      <c r="B40" s="202"/>
      <c r="D40" s="202"/>
      <c r="G40" s="93"/>
      <c r="H40" s="274" t="s">
        <v>126</v>
      </c>
      <c r="I40" s="210" t="s">
        <v>127</v>
      </c>
      <c r="J40" s="154" t="s">
        <v>128</v>
      </c>
      <c r="K40" s="166"/>
      <c r="L40" s="166"/>
      <c r="M40" s="228">
        <f t="shared" ref="M40:M71" si="7">IF(K40&gt;L40,K40-L40,0)</f>
        <v>0</v>
      </c>
      <c r="N40" s="233">
        <f t="shared" si="5"/>
        <v>0</v>
      </c>
      <c r="O40" s="228">
        <f t="shared" si="4"/>
        <v>0</v>
      </c>
      <c r="P40" s="229"/>
      <c r="R40" s="253"/>
    </row>
    <row r="41" spans="2:18" ht="15.45" customHeight="1" x14ac:dyDescent="0.3">
      <c r="G41" s="93"/>
      <c r="H41" s="274" t="s">
        <v>129</v>
      </c>
      <c r="I41" s="210" t="s">
        <v>130</v>
      </c>
      <c r="J41" s="154" t="s">
        <v>131</v>
      </c>
      <c r="K41" s="166"/>
      <c r="L41" s="166"/>
      <c r="M41" s="228">
        <f t="shared" si="7"/>
        <v>0</v>
      </c>
      <c r="N41" s="233">
        <f t="shared" si="5"/>
        <v>0</v>
      </c>
      <c r="O41" s="228">
        <f t="shared" si="4"/>
        <v>0</v>
      </c>
      <c r="P41" s="229"/>
      <c r="R41" s="253"/>
    </row>
    <row r="42" spans="2:18" ht="15.45" customHeight="1" x14ac:dyDescent="0.3">
      <c r="G42" s="93"/>
      <c r="H42" s="274" t="s">
        <v>132</v>
      </c>
      <c r="I42" s="209" t="s">
        <v>133</v>
      </c>
      <c r="J42" s="113" t="s">
        <v>134</v>
      </c>
      <c r="K42" s="166"/>
      <c r="L42" s="166"/>
      <c r="M42" s="228">
        <f t="shared" si="7"/>
        <v>0</v>
      </c>
      <c r="N42" s="233">
        <f t="shared" si="5"/>
        <v>0</v>
      </c>
      <c r="O42" s="228">
        <f t="shared" si="4"/>
        <v>0</v>
      </c>
      <c r="P42" s="229">
        <f t="shared" ref="P42:P76" si="8">N42</f>
        <v>0</v>
      </c>
      <c r="R42" s="253"/>
    </row>
    <row r="43" spans="2:18" ht="15.45" customHeight="1" x14ac:dyDescent="0.3">
      <c r="G43" s="93"/>
      <c r="H43" s="274" t="s">
        <v>135</v>
      </c>
      <c r="I43" s="209" t="s">
        <v>136</v>
      </c>
      <c r="J43" s="113" t="s">
        <v>137</v>
      </c>
      <c r="K43" s="166"/>
      <c r="L43" s="166"/>
      <c r="M43" s="228">
        <f t="shared" si="7"/>
        <v>0</v>
      </c>
      <c r="N43" s="233">
        <f t="shared" si="5"/>
        <v>0</v>
      </c>
      <c r="O43" s="228">
        <f t="shared" si="4"/>
        <v>0</v>
      </c>
      <c r="P43" s="229">
        <f t="shared" si="8"/>
        <v>0</v>
      </c>
      <c r="R43" s="253"/>
    </row>
    <row r="44" spans="2:18" ht="15.45" customHeight="1" x14ac:dyDescent="0.3">
      <c r="G44" s="93"/>
      <c r="H44" s="274" t="s">
        <v>34</v>
      </c>
      <c r="I44" s="209" t="s">
        <v>138</v>
      </c>
      <c r="J44" s="113" t="s">
        <v>139</v>
      </c>
      <c r="K44" s="166">
        <v>3417</v>
      </c>
      <c r="L44" s="166">
        <v>0</v>
      </c>
      <c r="M44" s="228">
        <f t="shared" si="7"/>
        <v>3417</v>
      </c>
      <c r="N44" s="233">
        <f t="shared" si="5"/>
        <v>0</v>
      </c>
      <c r="O44" s="228">
        <f t="shared" si="4"/>
        <v>3417</v>
      </c>
      <c r="P44" s="229">
        <f t="shared" si="8"/>
        <v>0</v>
      </c>
      <c r="R44" s="253"/>
    </row>
    <row r="45" spans="2:18" ht="15.45" customHeight="1" x14ac:dyDescent="0.3">
      <c r="G45" s="93"/>
      <c r="H45" s="274" t="s">
        <v>140</v>
      </c>
      <c r="I45" s="209" t="s">
        <v>141</v>
      </c>
      <c r="J45" s="113" t="s">
        <v>142</v>
      </c>
      <c r="K45" s="166"/>
      <c r="L45" s="166"/>
      <c r="M45" s="228">
        <f t="shared" si="7"/>
        <v>0</v>
      </c>
      <c r="N45" s="233">
        <f t="shared" si="5"/>
        <v>0</v>
      </c>
      <c r="O45" s="228">
        <f t="shared" si="4"/>
        <v>0</v>
      </c>
      <c r="P45" s="229">
        <f t="shared" si="8"/>
        <v>0</v>
      </c>
      <c r="R45" s="253"/>
    </row>
    <row r="46" spans="2:18" ht="15.45" customHeight="1" x14ac:dyDescent="0.3">
      <c r="G46" s="93"/>
      <c r="H46" s="274" t="s">
        <v>143</v>
      </c>
      <c r="I46" s="209" t="s">
        <v>144</v>
      </c>
      <c r="J46" s="113"/>
      <c r="K46" s="166"/>
      <c r="L46" s="166"/>
      <c r="M46" s="228">
        <f t="shared" si="7"/>
        <v>0</v>
      </c>
      <c r="N46" s="233">
        <f t="shared" si="5"/>
        <v>0</v>
      </c>
      <c r="O46" s="228">
        <f t="shared" si="4"/>
        <v>0</v>
      </c>
      <c r="P46" s="229">
        <f t="shared" si="8"/>
        <v>0</v>
      </c>
      <c r="R46" s="253"/>
    </row>
    <row r="47" spans="2:18" ht="15.45" customHeight="1" x14ac:dyDescent="0.3">
      <c r="G47" s="93"/>
      <c r="H47" s="274" t="s">
        <v>145</v>
      </c>
      <c r="I47" s="209" t="s">
        <v>146</v>
      </c>
      <c r="J47" s="113"/>
      <c r="K47" s="166"/>
      <c r="L47" s="166"/>
      <c r="M47" s="228">
        <f t="shared" si="7"/>
        <v>0</v>
      </c>
      <c r="N47" s="233">
        <f t="shared" si="5"/>
        <v>0</v>
      </c>
      <c r="O47" s="228">
        <f t="shared" si="4"/>
        <v>0</v>
      </c>
      <c r="P47" s="229">
        <f t="shared" si="8"/>
        <v>0</v>
      </c>
      <c r="R47" s="253"/>
    </row>
    <row r="48" spans="2:18" ht="15.45" customHeight="1" x14ac:dyDescent="0.3">
      <c r="G48" s="93"/>
      <c r="H48" s="274" t="s">
        <v>147</v>
      </c>
      <c r="I48" s="209" t="s">
        <v>148</v>
      </c>
      <c r="J48" s="113"/>
      <c r="K48" s="166"/>
      <c r="L48" s="166"/>
      <c r="M48" s="228">
        <f t="shared" si="7"/>
        <v>0</v>
      </c>
      <c r="N48" s="233">
        <f t="shared" si="5"/>
        <v>0</v>
      </c>
      <c r="O48" s="228">
        <f t="shared" si="4"/>
        <v>0</v>
      </c>
      <c r="P48" s="229">
        <f t="shared" si="8"/>
        <v>0</v>
      </c>
      <c r="R48" s="253"/>
    </row>
    <row r="49" spans="6:18" ht="15.45" customHeight="1" x14ac:dyDescent="0.3">
      <c r="G49" s="93"/>
      <c r="H49" s="274" t="s">
        <v>149</v>
      </c>
      <c r="I49" s="209" t="s">
        <v>150</v>
      </c>
      <c r="J49" s="113"/>
      <c r="K49" s="166"/>
      <c r="L49" s="166"/>
      <c r="M49" s="228">
        <f t="shared" si="7"/>
        <v>0</v>
      </c>
      <c r="N49" s="233">
        <f t="shared" si="5"/>
        <v>0</v>
      </c>
      <c r="O49" s="228">
        <f t="shared" si="4"/>
        <v>0</v>
      </c>
      <c r="P49" s="229">
        <f t="shared" si="8"/>
        <v>0</v>
      </c>
      <c r="R49" s="253"/>
    </row>
    <row r="50" spans="6:18" ht="15.45" customHeight="1" x14ac:dyDescent="0.3">
      <c r="G50" s="93"/>
      <c r="H50" s="274" t="s">
        <v>151</v>
      </c>
      <c r="I50" s="209" t="s">
        <v>152</v>
      </c>
      <c r="J50" s="113"/>
      <c r="K50" s="166"/>
      <c r="L50" s="166"/>
      <c r="M50" s="228">
        <f t="shared" si="7"/>
        <v>0</v>
      </c>
      <c r="N50" s="233">
        <f t="shared" si="5"/>
        <v>0</v>
      </c>
      <c r="O50" s="228">
        <f t="shared" si="4"/>
        <v>0</v>
      </c>
      <c r="P50" s="229">
        <f t="shared" si="8"/>
        <v>0</v>
      </c>
      <c r="R50" s="253"/>
    </row>
    <row r="51" spans="6:18" ht="15.45" customHeight="1" x14ac:dyDescent="0.3">
      <c r="F51" s="188"/>
      <c r="G51" s="93"/>
      <c r="H51" s="274" t="s">
        <v>153</v>
      </c>
      <c r="I51" s="209" t="s">
        <v>154</v>
      </c>
      <c r="J51" s="154"/>
      <c r="K51" s="166"/>
      <c r="L51" s="166"/>
      <c r="M51" s="228">
        <f t="shared" si="7"/>
        <v>0</v>
      </c>
      <c r="N51" s="233">
        <f t="shared" si="5"/>
        <v>0</v>
      </c>
      <c r="O51" s="228">
        <f t="shared" si="4"/>
        <v>0</v>
      </c>
      <c r="P51" s="229">
        <f t="shared" si="8"/>
        <v>0</v>
      </c>
      <c r="R51" s="253"/>
    </row>
    <row r="52" spans="6:18" ht="15.45" customHeight="1" x14ac:dyDescent="0.3">
      <c r="G52" s="93"/>
      <c r="H52" s="274" t="s">
        <v>155</v>
      </c>
      <c r="I52" s="209" t="s">
        <v>156</v>
      </c>
      <c r="J52" s="154"/>
      <c r="K52" s="166"/>
      <c r="L52" s="166"/>
      <c r="M52" s="228">
        <f t="shared" si="7"/>
        <v>0</v>
      </c>
      <c r="N52" s="233">
        <f t="shared" si="5"/>
        <v>0</v>
      </c>
      <c r="O52" s="228">
        <f t="shared" si="4"/>
        <v>0</v>
      </c>
      <c r="P52" s="229">
        <f t="shared" si="8"/>
        <v>0</v>
      </c>
      <c r="R52" s="253"/>
    </row>
    <row r="53" spans="6:18" ht="15.45" customHeight="1" x14ac:dyDescent="0.3">
      <c r="G53" s="93"/>
      <c r="H53" s="274" t="s">
        <v>157</v>
      </c>
      <c r="I53" s="209" t="s">
        <v>158</v>
      </c>
      <c r="J53" s="154"/>
      <c r="K53" s="166"/>
      <c r="L53" s="166"/>
      <c r="M53" s="228">
        <f t="shared" si="7"/>
        <v>0</v>
      </c>
      <c r="N53" s="233">
        <f t="shared" si="5"/>
        <v>0</v>
      </c>
      <c r="O53" s="228">
        <f t="shared" si="4"/>
        <v>0</v>
      </c>
      <c r="P53" s="229">
        <f t="shared" si="8"/>
        <v>0</v>
      </c>
      <c r="R53" s="253"/>
    </row>
    <row r="54" spans="6:18" ht="15.45" customHeight="1" x14ac:dyDescent="0.3">
      <c r="G54" s="93"/>
      <c r="H54" s="274" t="s">
        <v>159</v>
      </c>
      <c r="I54" s="209" t="s">
        <v>160</v>
      </c>
      <c r="J54" s="154"/>
      <c r="K54" s="166"/>
      <c r="L54" s="166"/>
      <c r="M54" s="228">
        <f t="shared" si="7"/>
        <v>0</v>
      </c>
      <c r="N54" s="233">
        <f t="shared" si="5"/>
        <v>0</v>
      </c>
      <c r="O54" s="228">
        <f t="shared" si="4"/>
        <v>0</v>
      </c>
      <c r="P54" s="229">
        <f t="shared" si="8"/>
        <v>0</v>
      </c>
      <c r="R54" s="253"/>
    </row>
    <row r="55" spans="6:18" ht="15.45" customHeight="1" x14ac:dyDescent="0.3">
      <c r="G55" s="93"/>
      <c r="H55" s="274" t="s">
        <v>161</v>
      </c>
      <c r="I55" s="209" t="s">
        <v>162</v>
      </c>
      <c r="J55" s="113" t="s">
        <v>163</v>
      </c>
      <c r="K55" s="166"/>
      <c r="L55" s="166"/>
      <c r="M55" s="228">
        <f t="shared" si="7"/>
        <v>0</v>
      </c>
      <c r="N55" s="233">
        <f t="shared" si="5"/>
        <v>0</v>
      </c>
      <c r="O55" s="228">
        <f t="shared" si="4"/>
        <v>0</v>
      </c>
      <c r="P55" s="229">
        <f t="shared" si="8"/>
        <v>0</v>
      </c>
      <c r="R55" s="253"/>
    </row>
    <row r="56" spans="6:18" ht="15.45" customHeight="1" x14ac:dyDescent="0.3">
      <c r="G56" s="93"/>
      <c r="H56" s="274"/>
      <c r="I56" s="209" t="s">
        <v>164</v>
      </c>
      <c r="J56" s="114" t="s">
        <v>165</v>
      </c>
      <c r="K56" s="166"/>
      <c r="L56" s="166"/>
      <c r="M56" s="230">
        <f t="shared" si="7"/>
        <v>0</v>
      </c>
      <c r="N56" s="234">
        <f t="shared" ref="N56:N87" si="9">IF(L56&gt;K56,L56-K56,0)</f>
        <v>0</v>
      </c>
      <c r="O56" s="232"/>
      <c r="P56" s="231">
        <f t="shared" si="8"/>
        <v>0</v>
      </c>
      <c r="Q56" s="158"/>
      <c r="R56" s="254"/>
    </row>
    <row r="57" spans="6:18" ht="15.45" customHeight="1" x14ac:dyDescent="0.3">
      <c r="G57" s="93"/>
      <c r="H57" s="274" t="s">
        <v>166</v>
      </c>
      <c r="I57" s="209" t="s">
        <v>167</v>
      </c>
      <c r="J57" s="113" t="s">
        <v>168</v>
      </c>
      <c r="K57" s="166"/>
      <c r="L57" s="166"/>
      <c r="M57" s="228">
        <f t="shared" si="7"/>
        <v>0</v>
      </c>
      <c r="N57" s="233">
        <f t="shared" si="9"/>
        <v>0</v>
      </c>
      <c r="O57" s="228">
        <f t="shared" ref="O57:O88" si="10">M57</f>
        <v>0</v>
      </c>
      <c r="P57" s="229">
        <f t="shared" si="8"/>
        <v>0</v>
      </c>
      <c r="R57" s="253"/>
    </row>
    <row r="58" spans="6:18" ht="15.45" customHeight="1" x14ac:dyDescent="0.3">
      <c r="G58" s="93"/>
      <c r="H58" s="274" t="s">
        <v>169</v>
      </c>
      <c r="I58" s="209" t="s">
        <v>170</v>
      </c>
      <c r="J58" s="113" t="s">
        <v>171</v>
      </c>
      <c r="K58" s="166"/>
      <c r="L58" s="166"/>
      <c r="M58" s="228">
        <f t="shared" si="7"/>
        <v>0</v>
      </c>
      <c r="N58" s="233">
        <f t="shared" si="9"/>
        <v>0</v>
      </c>
      <c r="O58" s="228">
        <f t="shared" si="10"/>
        <v>0</v>
      </c>
      <c r="P58" s="229">
        <f t="shared" si="8"/>
        <v>0</v>
      </c>
      <c r="R58" s="253"/>
    </row>
    <row r="59" spans="6:18" ht="15.45" customHeight="1" x14ac:dyDescent="0.3">
      <c r="F59" s="188"/>
      <c r="G59" s="93"/>
      <c r="H59" s="274" t="s">
        <v>172</v>
      </c>
      <c r="I59" s="209" t="s">
        <v>173</v>
      </c>
      <c r="J59" s="113" t="s">
        <v>174</v>
      </c>
      <c r="K59" s="166"/>
      <c r="L59" s="166"/>
      <c r="M59" s="228">
        <f t="shared" si="7"/>
        <v>0</v>
      </c>
      <c r="N59" s="233">
        <f t="shared" si="9"/>
        <v>0</v>
      </c>
      <c r="O59" s="228">
        <f t="shared" si="10"/>
        <v>0</v>
      </c>
      <c r="P59" s="229">
        <f t="shared" si="8"/>
        <v>0</v>
      </c>
      <c r="R59" s="253"/>
    </row>
    <row r="60" spans="6:18" ht="15.45" customHeight="1" x14ac:dyDescent="0.3">
      <c r="G60" s="93"/>
      <c r="H60" s="274" t="s">
        <v>175</v>
      </c>
      <c r="I60" s="209" t="s">
        <v>176</v>
      </c>
      <c r="J60" s="113"/>
      <c r="K60" s="166"/>
      <c r="L60" s="166"/>
      <c r="M60" s="228">
        <f t="shared" si="7"/>
        <v>0</v>
      </c>
      <c r="N60" s="233">
        <f t="shared" si="9"/>
        <v>0</v>
      </c>
      <c r="O60" s="228">
        <f t="shared" si="10"/>
        <v>0</v>
      </c>
      <c r="P60" s="229">
        <f t="shared" si="8"/>
        <v>0</v>
      </c>
      <c r="R60" s="253"/>
    </row>
    <row r="61" spans="6:18" ht="15.45" customHeight="1" x14ac:dyDescent="0.3">
      <c r="G61" s="93"/>
      <c r="H61" s="274" t="s">
        <v>177</v>
      </c>
      <c r="I61" s="209" t="s">
        <v>178</v>
      </c>
      <c r="J61" s="113" t="s">
        <v>179</v>
      </c>
      <c r="K61" s="166"/>
      <c r="L61" s="166"/>
      <c r="M61" s="228">
        <f t="shared" si="7"/>
        <v>0</v>
      </c>
      <c r="N61" s="233">
        <f t="shared" si="9"/>
        <v>0</v>
      </c>
      <c r="O61" s="228">
        <f t="shared" si="10"/>
        <v>0</v>
      </c>
      <c r="P61" s="229">
        <f t="shared" si="8"/>
        <v>0</v>
      </c>
      <c r="R61" s="253"/>
    </row>
    <row r="62" spans="6:18" ht="15" customHeight="1" x14ac:dyDescent="0.3">
      <c r="G62" s="93"/>
      <c r="H62" s="274" t="s">
        <v>180</v>
      </c>
      <c r="I62" s="209" t="s">
        <v>181</v>
      </c>
      <c r="J62" s="142" t="s">
        <v>182</v>
      </c>
      <c r="K62" s="166"/>
      <c r="L62" s="166"/>
      <c r="M62" s="228">
        <f t="shared" si="7"/>
        <v>0</v>
      </c>
      <c r="N62" s="235">
        <f t="shared" si="9"/>
        <v>0</v>
      </c>
      <c r="O62" s="228">
        <f t="shared" si="10"/>
        <v>0</v>
      </c>
      <c r="P62" s="235">
        <f t="shared" si="8"/>
        <v>0</v>
      </c>
      <c r="R62" s="253"/>
    </row>
    <row r="63" spans="6:18" ht="15.45" customHeight="1" x14ac:dyDescent="0.3">
      <c r="G63" s="93"/>
      <c r="H63" s="274"/>
      <c r="I63" s="209" t="s">
        <v>183</v>
      </c>
      <c r="J63" s="114" t="s">
        <v>184</v>
      </c>
      <c r="K63" s="166"/>
      <c r="L63" s="166"/>
      <c r="M63" s="230">
        <f t="shared" si="7"/>
        <v>0</v>
      </c>
      <c r="N63" s="236">
        <f t="shared" si="9"/>
        <v>0</v>
      </c>
      <c r="O63" s="230">
        <f t="shared" si="10"/>
        <v>0</v>
      </c>
      <c r="P63" s="231">
        <f t="shared" si="8"/>
        <v>0</v>
      </c>
      <c r="Q63" s="158"/>
      <c r="R63" s="254"/>
    </row>
    <row r="64" spans="6:18" ht="15.45" customHeight="1" x14ac:dyDescent="0.3">
      <c r="G64" s="93"/>
      <c r="H64" s="274" t="s">
        <v>185</v>
      </c>
      <c r="I64" s="209" t="s">
        <v>186</v>
      </c>
      <c r="J64" s="113" t="s">
        <v>187</v>
      </c>
      <c r="K64" s="166"/>
      <c r="L64" s="166"/>
      <c r="M64" s="228">
        <f t="shared" si="7"/>
        <v>0</v>
      </c>
      <c r="N64" s="235">
        <f t="shared" si="9"/>
        <v>0</v>
      </c>
      <c r="O64" s="228">
        <f t="shared" si="10"/>
        <v>0</v>
      </c>
      <c r="P64" s="229">
        <f t="shared" si="8"/>
        <v>0</v>
      </c>
      <c r="R64" s="253"/>
    </row>
    <row r="65" spans="7:18" ht="15.45" customHeight="1" x14ac:dyDescent="0.3">
      <c r="G65" s="93"/>
      <c r="H65" s="274" t="s">
        <v>188</v>
      </c>
      <c r="I65" s="209" t="s">
        <v>189</v>
      </c>
      <c r="J65" s="113" t="s">
        <v>190</v>
      </c>
      <c r="K65" s="166"/>
      <c r="L65" s="166"/>
      <c r="M65" s="228">
        <f t="shared" si="7"/>
        <v>0</v>
      </c>
      <c r="N65" s="235">
        <f t="shared" si="9"/>
        <v>0</v>
      </c>
      <c r="O65" s="228">
        <f t="shared" si="10"/>
        <v>0</v>
      </c>
      <c r="P65" s="229">
        <f t="shared" si="8"/>
        <v>0</v>
      </c>
      <c r="R65" s="253"/>
    </row>
    <row r="66" spans="7:18" ht="15.45" customHeight="1" x14ac:dyDescent="0.3">
      <c r="G66" s="93"/>
      <c r="H66" s="274" t="s">
        <v>191</v>
      </c>
      <c r="I66" s="209" t="s">
        <v>192</v>
      </c>
      <c r="J66" s="113" t="s">
        <v>193</v>
      </c>
      <c r="K66" s="166"/>
      <c r="L66" s="166"/>
      <c r="M66" s="228">
        <f t="shared" si="7"/>
        <v>0</v>
      </c>
      <c r="N66" s="235">
        <f t="shared" si="9"/>
        <v>0</v>
      </c>
      <c r="O66" s="228">
        <f t="shared" si="10"/>
        <v>0</v>
      </c>
      <c r="P66" s="229">
        <f t="shared" si="8"/>
        <v>0</v>
      </c>
      <c r="R66" s="253"/>
    </row>
    <row r="67" spans="7:18" ht="15.45" customHeight="1" x14ac:dyDescent="0.3">
      <c r="G67" s="93"/>
      <c r="H67" s="274" t="s">
        <v>194</v>
      </c>
      <c r="I67" s="209" t="s">
        <v>195</v>
      </c>
      <c r="J67" s="113" t="s">
        <v>196</v>
      </c>
      <c r="K67" s="166"/>
      <c r="L67" s="166"/>
      <c r="M67" s="228">
        <f t="shared" si="7"/>
        <v>0</v>
      </c>
      <c r="N67" s="235">
        <f t="shared" si="9"/>
        <v>0</v>
      </c>
      <c r="O67" s="228">
        <f t="shared" si="10"/>
        <v>0</v>
      </c>
      <c r="P67" s="229">
        <f t="shared" si="8"/>
        <v>0</v>
      </c>
      <c r="R67" s="253"/>
    </row>
    <row r="68" spans="7:18" ht="15.45" customHeight="1" x14ac:dyDescent="0.3">
      <c r="G68" s="93"/>
      <c r="H68" s="274" t="s">
        <v>197</v>
      </c>
      <c r="I68" s="209" t="s">
        <v>198</v>
      </c>
      <c r="J68" s="113" t="s">
        <v>199</v>
      </c>
      <c r="K68" s="166"/>
      <c r="L68" s="166"/>
      <c r="M68" s="228">
        <f t="shared" si="7"/>
        <v>0</v>
      </c>
      <c r="N68" s="235">
        <f t="shared" si="9"/>
        <v>0</v>
      </c>
      <c r="O68" s="228">
        <f t="shared" si="10"/>
        <v>0</v>
      </c>
      <c r="P68" s="229">
        <f t="shared" si="8"/>
        <v>0</v>
      </c>
      <c r="R68" s="253"/>
    </row>
    <row r="69" spans="7:18" ht="15.45" customHeight="1" x14ac:dyDescent="0.3">
      <c r="G69" s="93"/>
      <c r="H69" s="274" t="s">
        <v>200</v>
      </c>
      <c r="I69" s="209" t="s">
        <v>201</v>
      </c>
      <c r="J69" s="113" t="s">
        <v>202</v>
      </c>
      <c r="K69" s="166"/>
      <c r="L69" s="166"/>
      <c r="M69" s="228">
        <f t="shared" si="7"/>
        <v>0</v>
      </c>
      <c r="N69" s="235">
        <f t="shared" si="9"/>
        <v>0</v>
      </c>
      <c r="O69" s="228">
        <f t="shared" si="10"/>
        <v>0</v>
      </c>
      <c r="P69" s="229">
        <f t="shared" si="8"/>
        <v>0</v>
      </c>
      <c r="R69" s="253"/>
    </row>
    <row r="70" spans="7:18" ht="15.45" customHeight="1" x14ac:dyDescent="0.3">
      <c r="G70" s="93"/>
      <c r="H70" s="274" t="s">
        <v>203</v>
      </c>
      <c r="I70" s="209" t="s">
        <v>204</v>
      </c>
      <c r="J70" s="113" t="s">
        <v>205</v>
      </c>
      <c r="K70" s="166"/>
      <c r="L70" s="166"/>
      <c r="M70" s="228">
        <f t="shared" si="7"/>
        <v>0</v>
      </c>
      <c r="N70" s="235">
        <f t="shared" si="9"/>
        <v>0</v>
      </c>
      <c r="O70" s="228">
        <f t="shared" si="10"/>
        <v>0</v>
      </c>
      <c r="P70" s="229">
        <f t="shared" si="8"/>
        <v>0</v>
      </c>
      <c r="R70" s="253"/>
    </row>
    <row r="71" spans="7:18" ht="15.45" customHeight="1" x14ac:dyDescent="0.3">
      <c r="G71" s="93"/>
      <c r="H71" s="274" t="s">
        <v>206</v>
      </c>
      <c r="I71" s="209" t="s">
        <v>207</v>
      </c>
      <c r="J71" s="113" t="s">
        <v>208</v>
      </c>
      <c r="K71" s="166"/>
      <c r="L71" s="166"/>
      <c r="M71" s="228">
        <f t="shared" si="7"/>
        <v>0</v>
      </c>
      <c r="N71" s="235">
        <f t="shared" si="9"/>
        <v>0</v>
      </c>
      <c r="O71" s="228">
        <f t="shared" si="10"/>
        <v>0</v>
      </c>
      <c r="P71" s="229">
        <f t="shared" si="8"/>
        <v>0</v>
      </c>
      <c r="R71" s="253"/>
    </row>
    <row r="72" spans="7:18" ht="15.45" customHeight="1" x14ac:dyDescent="0.3">
      <c r="G72" s="93"/>
      <c r="H72" s="274" t="s">
        <v>209</v>
      </c>
      <c r="I72" s="209" t="s">
        <v>210</v>
      </c>
      <c r="J72" s="113" t="s">
        <v>211</v>
      </c>
      <c r="K72" s="166"/>
      <c r="L72" s="166"/>
      <c r="M72" s="228">
        <f t="shared" ref="M72:M103" si="11">IF(K72&gt;L72,K72-L72,0)</f>
        <v>0</v>
      </c>
      <c r="N72" s="235">
        <f t="shared" si="9"/>
        <v>0</v>
      </c>
      <c r="O72" s="228">
        <f t="shared" si="10"/>
        <v>0</v>
      </c>
      <c r="P72" s="229">
        <f t="shared" si="8"/>
        <v>0</v>
      </c>
      <c r="R72" s="253"/>
    </row>
    <row r="73" spans="7:18" ht="15.45" customHeight="1" x14ac:dyDescent="0.3">
      <c r="G73" s="93"/>
      <c r="H73" s="274" t="s">
        <v>38</v>
      </c>
      <c r="I73" s="209" t="s">
        <v>212</v>
      </c>
      <c r="J73" s="113" t="s">
        <v>213</v>
      </c>
      <c r="K73" s="166">
        <v>4157547</v>
      </c>
      <c r="L73" s="166">
        <v>0</v>
      </c>
      <c r="M73" s="228">
        <f t="shared" si="11"/>
        <v>4157547</v>
      </c>
      <c r="N73" s="235">
        <f t="shared" si="9"/>
        <v>0</v>
      </c>
      <c r="O73" s="228">
        <f t="shared" si="10"/>
        <v>4157547</v>
      </c>
      <c r="P73" s="229">
        <f t="shared" si="8"/>
        <v>0</v>
      </c>
      <c r="R73" s="253"/>
    </row>
    <row r="74" spans="7:18" ht="15.45" customHeight="1" x14ac:dyDescent="0.3">
      <c r="G74" s="93"/>
      <c r="H74" s="274" t="s">
        <v>214</v>
      </c>
      <c r="I74" s="209" t="s">
        <v>215</v>
      </c>
      <c r="J74" s="113" t="s">
        <v>216</v>
      </c>
      <c r="K74" s="166"/>
      <c r="L74" s="166"/>
      <c r="M74" s="228">
        <f t="shared" si="11"/>
        <v>0</v>
      </c>
      <c r="N74" s="235">
        <f t="shared" si="9"/>
        <v>0</v>
      </c>
      <c r="O74" s="228">
        <f t="shared" si="10"/>
        <v>0</v>
      </c>
      <c r="P74" s="229">
        <f t="shared" si="8"/>
        <v>0</v>
      </c>
      <c r="R74" s="253"/>
    </row>
    <row r="75" spans="7:18" ht="15.45" customHeight="1" x14ac:dyDescent="0.3">
      <c r="G75" s="93"/>
      <c r="H75" s="274" t="s">
        <v>217</v>
      </c>
      <c r="I75" s="209" t="s">
        <v>218</v>
      </c>
      <c r="J75" s="113" t="s">
        <v>219</v>
      </c>
      <c r="K75" s="166"/>
      <c r="L75" s="166"/>
      <c r="M75" s="228">
        <f t="shared" si="11"/>
        <v>0</v>
      </c>
      <c r="N75" s="235">
        <f t="shared" si="9"/>
        <v>0</v>
      </c>
      <c r="O75" s="228">
        <f t="shared" si="10"/>
        <v>0</v>
      </c>
      <c r="P75" s="229">
        <f t="shared" si="8"/>
        <v>0</v>
      </c>
      <c r="R75" s="253"/>
    </row>
    <row r="76" spans="7:18" ht="15.45" customHeight="1" x14ac:dyDescent="0.3">
      <c r="G76" s="93"/>
      <c r="H76" s="274"/>
      <c r="I76" s="209" t="s">
        <v>220</v>
      </c>
      <c r="J76" s="114" t="s">
        <v>221</v>
      </c>
      <c r="K76" s="166"/>
      <c r="L76" s="166"/>
      <c r="M76" s="228">
        <f t="shared" si="11"/>
        <v>0</v>
      </c>
      <c r="N76" s="194">
        <f t="shared" si="9"/>
        <v>0</v>
      </c>
      <c r="O76" s="228">
        <f t="shared" si="10"/>
        <v>0</v>
      </c>
      <c r="P76" s="229">
        <f t="shared" si="8"/>
        <v>0</v>
      </c>
      <c r="R76" s="253"/>
    </row>
    <row r="77" spans="7:18" x14ac:dyDescent="0.3">
      <c r="G77" s="93"/>
      <c r="H77" s="274"/>
      <c r="I77" s="209" t="s">
        <v>222</v>
      </c>
      <c r="J77" s="114" t="s">
        <v>223</v>
      </c>
      <c r="K77" s="166"/>
      <c r="L77" s="166"/>
      <c r="M77" s="230">
        <f t="shared" si="11"/>
        <v>0</v>
      </c>
      <c r="N77" s="237">
        <f t="shared" si="9"/>
        <v>0</v>
      </c>
      <c r="O77" s="230">
        <f t="shared" si="10"/>
        <v>0</v>
      </c>
      <c r="P77" s="255"/>
      <c r="Q77" s="158"/>
      <c r="R77" s="254"/>
    </row>
    <row r="78" spans="7:18" ht="15.45" customHeight="1" x14ac:dyDescent="0.3">
      <c r="G78" s="93"/>
      <c r="H78" s="274" t="s">
        <v>224</v>
      </c>
      <c r="I78" s="209" t="s">
        <v>225</v>
      </c>
      <c r="J78" s="113" t="s">
        <v>226</v>
      </c>
      <c r="K78" s="166"/>
      <c r="L78" s="166"/>
      <c r="M78" s="238">
        <f t="shared" si="11"/>
        <v>0</v>
      </c>
      <c r="N78" s="194">
        <f t="shared" si="9"/>
        <v>0</v>
      </c>
      <c r="O78" s="228">
        <f t="shared" si="10"/>
        <v>0</v>
      </c>
      <c r="P78" s="229">
        <f t="shared" ref="P78:P102" si="12">N78</f>
        <v>0</v>
      </c>
      <c r="R78" s="253"/>
    </row>
    <row r="79" spans="7:18" ht="15.45" customHeight="1" x14ac:dyDescent="0.3">
      <c r="G79" s="93"/>
      <c r="H79" s="274" t="s">
        <v>227</v>
      </c>
      <c r="I79" s="209" t="s">
        <v>228</v>
      </c>
      <c r="J79" s="113" t="s">
        <v>229</v>
      </c>
      <c r="K79" s="166"/>
      <c r="L79" s="166"/>
      <c r="M79" s="238">
        <f t="shared" si="11"/>
        <v>0</v>
      </c>
      <c r="N79" s="194">
        <f t="shared" si="9"/>
        <v>0</v>
      </c>
      <c r="O79" s="228">
        <f t="shared" si="10"/>
        <v>0</v>
      </c>
      <c r="P79" s="229">
        <f t="shared" si="12"/>
        <v>0</v>
      </c>
      <c r="R79" s="253"/>
    </row>
    <row r="80" spans="7:18" ht="15.45" customHeight="1" x14ac:dyDescent="0.3">
      <c r="G80" s="93"/>
      <c r="H80" s="274" t="s">
        <v>230</v>
      </c>
      <c r="I80" s="209" t="s">
        <v>231</v>
      </c>
      <c r="J80" s="113" t="s">
        <v>232</v>
      </c>
      <c r="K80" s="166"/>
      <c r="L80" s="166"/>
      <c r="M80" s="238">
        <f t="shared" si="11"/>
        <v>0</v>
      </c>
      <c r="N80" s="194">
        <f t="shared" si="9"/>
        <v>0</v>
      </c>
      <c r="O80" s="228">
        <f t="shared" si="10"/>
        <v>0</v>
      </c>
      <c r="P80" s="229">
        <f t="shared" si="12"/>
        <v>0</v>
      </c>
      <c r="R80" s="253"/>
    </row>
    <row r="81" spans="7:18" ht="15.45" customHeight="1" x14ac:dyDescent="0.3">
      <c r="G81" s="93"/>
      <c r="H81" s="274" t="s">
        <v>233</v>
      </c>
      <c r="I81" s="209" t="s">
        <v>234</v>
      </c>
      <c r="J81" s="113" t="s">
        <v>235</v>
      </c>
      <c r="K81" s="166"/>
      <c r="L81" s="166"/>
      <c r="M81" s="238">
        <f t="shared" si="11"/>
        <v>0</v>
      </c>
      <c r="N81" s="194">
        <f t="shared" si="9"/>
        <v>0</v>
      </c>
      <c r="O81" s="228">
        <f t="shared" si="10"/>
        <v>0</v>
      </c>
      <c r="P81" s="229">
        <f t="shared" si="12"/>
        <v>0</v>
      </c>
      <c r="R81" s="253"/>
    </row>
    <row r="82" spans="7:18" ht="19.05" customHeight="1" x14ac:dyDescent="0.3">
      <c r="G82" s="93"/>
      <c r="H82" s="274" t="s">
        <v>236</v>
      </c>
      <c r="I82" s="209" t="s">
        <v>237</v>
      </c>
      <c r="J82" s="113" t="s">
        <v>238</v>
      </c>
      <c r="K82" s="166"/>
      <c r="L82" s="166"/>
      <c r="M82" s="238">
        <f t="shared" si="11"/>
        <v>0</v>
      </c>
      <c r="N82" s="194">
        <f t="shared" si="9"/>
        <v>0</v>
      </c>
      <c r="O82" s="228">
        <f t="shared" si="10"/>
        <v>0</v>
      </c>
      <c r="P82" s="229">
        <f t="shared" si="12"/>
        <v>0</v>
      </c>
      <c r="R82" s="253"/>
    </row>
    <row r="83" spans="7:18" ht="15.45" customHeight="1" x14ac:dyDescent="0.3">
      <c r="G83" s="93"/>
      <c r="H83" s="274" t="s">
        <v>239</v>
      </c>
      <c r="I83" s="209" t="s">
        <v>240</v>
      </c>
      <c r="J83" s="113" t="s">
        <v>241</v>
      </c>
      <c r="K83" s="166"/>
      <c r="L83" s="166"/>
      <c r="M83" s="238">
        <f t="shared" si="11"/>
        <v>0</v>
      </c>
      <c r="N83" s="194">
        <f t="shared" si="9"/>
        <v>0</v>
      </c>
      <c r="O83" s="228">
        <f t="shared" si="10"/>
        <v>0</v>
      </c>
      <c r="P83" s="229">
        <f t="shared" si="12"/>
        <v>0</v>
      </c>
      <c r="R83" s="253"/>
    </row>
    <row r="84" spans="7:18" ht="15.45" customHeight="1" x14ac:dyDescent="0.3">
      <c r="G84" s="93"/>
      <c r="H84" s="274" t="s">
        <v>242</v>
      </c>
      <c r="I84" s="210" t="s">
        <v>243</v>
      </c>
      <c r="J84" s="112" t="s">
        <v>244</v>
      </c>
      <c r="K84" s="166"/>
      <c r="L84" s="166"/>
      <c r="M84" s="238">
        <f t="shared" si="11"/>
        <v>0</v>
      </c>
      <c r="N84" s="194">
        <f t="shared" si="9"/>
        <v>0</v>
      </c>
      <c r="O84" s="228">
        <f t="shared" si="10"/>
        <v>0</v>
      </c>
      <c r="P84" s="229">
        <f t="shared" si="12"/>
        <v>0</v>
      </c>
      <c r="R84" s="253"/>
    </row>
    <row r="85" spans="7:18" ht="15.45" customHeight="1" x14ac:dyDescent="0.3">
      <c r="G85" s="93"/>
      <c r="H85" s="274" t="s">
        <v>245</v>
      </c>
      <c r="I85" s="210" t="s">
        <v>246</v>
      </c>
      <c r="J85" s="112" t="s">
        <v>244</v>
      </c>
      <c r="K85" s="166"/>
      <c r="L85" s="166"/>
      <c r="M85" s="238">
        <f t="shared" si="11"/>
        <v>0</v>
      </c>
      <c r="N85" s="194">
        <f t="shared" si="9"/>
        <v>0</v>
      </c>
      <c r="O85" s="228">
        <f t="shared" si="10"/>
        <v>0</v>
      </c>
      <c r="P85" s="229">
        <f t="shared" si="12"/>
        <v>0</v>
      </c>
      <c r="R85" s="253"/>
    </row>
    <row r="86" spans="7:18" ht="17.100000000000001" customHeight="1" x14ac:dyDescent="0.3">
      <c r="G86" s="93"/>
      <c r="H86" s="274" t="s">
        <v>247</v>
      </c>
      <c r="I86" s="210" t="s">
        <v>248</v>
      </c>
      <c r="J86" s="112" t="s">
        <v>244</v>
      </c>
      <c r="K86" s="166"/>
      <c r="L86" s="166"/>
      <c r="M86" s="238">
        <f t="shared" si="11"/>
        <v>0</v>
      </c>
      <c r="N86" s="194">
        <f t="shared" si="9"/>
        <v>0</v>
      </c>
      <c r="O86" s="228">
        <f t="shared" si="10"/>
        <v>0</v>
      </c>
      <c r="P86" s="229">
        <f t="shared" si="12"/>
        <v>0</v>
      </c>
      <c r="R86" s="253"/>
    </row>
    <row r="87" spans="7:18" ht="15.45" customHeight="1" x14ac:dyDescent="0.3">
      <c r="G87" s="93"/>
      <c r="H87" s="274" t="s">
        <v>249</v>
      </c>
      <c r="I87" s="210" t="s">
        <v>250</v>
      </c>
      <c r="J87" s="112" t="s">
        <v>251</v>
      </c>
      <c r="K87" s="166"/>
      <c r="L87" s="166"/>
      <c r="M87" s="238">
        <f t="shared" si="11"/>
        <v>0</v>
      </c>
      <c r="N87" s="194">
        <f t="shared" si="9"/>
        <v>0</v>
      </c>
      <c r="O87" s="228">
        <f t="shared" si="10"/>
        <v>0</v>
      </c>
      <c r="P87" s="229">
        <f t="shared" si="12"/>
        <v>0</v>
      </c>
      <c r="R87" s="253"/>
    </row>
    <row r="88" spans="7:18" ht="15.45" customHeight="1" x14ac:dyDescent="0.3">
      <c r="G88" s="93"/>
      <c r="H88" s="274" t="s">
        <v>252</v>
      </c>
      <c r="I88" s="210" t="s">
        <v>253</v>
      </c>
      <c r="J88" s="112" t="s">
        <v>251</v>
      </c>
      <c r="K88" s="166"/>
      <c r="L88" s="166"/>
      <c r="M88" s="238">
        <f t="shared" si="11"/>
        <v>0</v>
      </c>
      <c r="N88" s="194">
        <f t="shared" ref="N88:N119" si="13">IF(L88&gt;K88,L88-K88,0)</f>
        <v>0</v>
      </c>
      <c r="O88" s="228">
        <f t="shared" si="10"/>
        <v>0</v>
      </c>
      <c r="P88" s="229">
        <f t="shared" si="12"/>
        <v>0</v>
      </c>
      <c r="R88" s="253"/>
    </row>
    <row r="89" spans="7:18" ht="15.45" customHeight="1" x14ac:dyDescent="0.3">
      <c r="G89" s="93"/>
      <c r="H89" s="274" t="s">
        <v>254</v>
      </c>
      <c r="I89" s="210" t="s">
        <v>255</v>
      </c>
      <c r="J89" s="112" t="s">
        <v>256</v>
      </c>
      <c r="K89" s="166"/>
      <c r="L89" s="166"/>
      <c r="M89" s="238">
        <f t="shared" si="11"/>
        <v>0</v>
      </c>
      <c r="N89" s="194">
        <f t="shared" si="13"/>
        <v>0</v>
      </c>
      <c r="O89" s="228">
        <f t="shared" ref="O89:O120" si="14">M89</f>
        <v>0</v>
      </c>
      <c r="P89" s="229">
        <f t="shared" si="12"/>
        <v>0</v>
      </c>
      <c r="R89" s="253"/>
    </row>
    <row r="90" spans="7:18" ht="18" customHeight="1" x14ac:dyDescent="0.3">
      <c r="G90" s="93"/>
      <c r="H90" s="274" t="s">
        <v>257</v>
      </c>
      <c r="I90" s="210" t="s">
        <v>258</v>
      </c>
      <c r="J90" s="112" t="s">
        <v>259</v>
      </c>
      <c r="K90" s="166"/>
      <c r="L90" s="166"/>
      <c r="M90" s="238">
        <f t="shared" si="11"/>
        <v>0</v>
      </c>
      <c r="N90" s="194">
        <f t="shared" si="13"/>
        <v>0</v>
      </c>
      <c r="O90" s="228">
        <f t="shared" si="14"/>
        <v>0</v>
      </c>
      <c r="P90" s="229">
        <f t="shared" si="12"/>
        <v>0</v>
      </c>
      <c r="R90" s="253"/>
    </row>
    <row r="91" spans="7:18" ht="15.45" customHeight="1" x14ac:dyDescent="0.3">
      <c r="G91" s="93"/>
      <c r="H91" s="274" t="s">
        <v>260</v>
      </c>
      <c r="I91" s="210" t="s">
        <v>261</v>
      </c>
      <c r="J91" s="112" t="s">
        <v>262</v>
      </c>
      <c r="K91" s="166"/>
      <c r="L91" s="166"/>
      <c r="M91" s="238">
        <f t="shared" si="11"/>
        <v>0</v>
      </c>
      <c r="N91" s="194">
        <f t="shared" si="13"/>
        <v>0</v>
      </c>
      <c r="O91" s="228">
        <f t="shared" si="14"/>
        <v>0</v>
      </c>
      <c r="P91" s="229">
        <f t="shared" si="12"/>
        <v>0</v>
      </c>
      <c r="R91" s="253"/>
    </row>
    <row r="92" spans="7:18" ht="15.45" customHeight="1" x14ac:dyDescent="0.3">
      <c r="G92" s="93"/>
      <c r="H92" s="274" t="s">
        <v>41</v>
      </c>
      <c r="I92" s="210" t="s">
        <v>263</v>
      </c>
      <c r="J92" s="112" t="s">
        <v>264</v>
      </c>
      <c r="K92" s="166">
        <v>0</v>
      </c>
      <c r="L92" s="166">
        <v>2066302</v>
      </c>
      <c r="M92" s="238">
        <f t="shared" si="11"/>
        <v>0</v>
      </c>
      <c r="N92" s="194">
        <f t="shared" si="13"/>
        <v>2066302</v>
      </c>
      <c r="O92" s="228">
        <f t="shared" si="14"/>
        <v>0</v>
      </c>
      <c r="P92" s="229">
        <f t="shared" si="12"/>
        <v>2066302</v>
      </c>
      <c r="R92" s="253"/>
    </row>
    <row r="93" spans="7:18" ht="15.45" customHeight="1" x14ac:dyDescent="0.3">
      <c r="G93" s="93"/>
      <c r="H93" s="274" t="s">
        <v>265</v>
      </c>
      <c r="I93" s="211" t="s">
        <v>266</v>
      </c>
      <c r="J93" s="112" t="s">
        <v>267</v>
      </c>
      <c r="K93" s="166"/>
      <c r="L93" s="166"/>
      <c r="M93" s="238">
        <f t="shared" si="11"/>
        <v>0</v>
      </c>
      <c r="N93" s="194">
        <f t="shared" si="13"/>
        <v>0</v>
      </c>
      <c r="O93" s="228">
        <f t="shared" si="14"/>
        <v>0</v>
      </c>
      <c r="P93" s="229">
        <f t="shared" si="12"/>
        <v>0</v>
      </c>
      <c r="R93" s="253"/>
    </row>
    <row r="94" spans="7:18" ht="15" customHeight="1" x14ac:dyDescent="0.3">
      <c r="G94" s="93"/>
      <c r="H94" s="274" t="s">
        <v>268</v>
      </c>
      <c r="I94" s="211" t="s">
        <v>269</v>
      </c>
      <c r="J94" s="220" t="s">
        <v>270</v>
      </c>
      <c r="K94" s="166"/>
      <c r="L94" s="166"/>
      <c r="M94" s="238">
        <f t="shared" si="11"/>
        <v>0</v>
      </c>
      <c r="N94" s="194">
        <f t="shared" si="13"/>
        <v>0</v>
      </c>
      <c r="O94" s="228">
        <f t="shared" si="14"/>
        <v>0</v>
      </c>
      <c r="P94" s="229">
        <f t="shared" si="12"/>
        <v>0</v>
      </c>
      <c r="R94" s="253"/>
    </row>
    <row r="95" spans="7:18" ht="15.45" customHeight="1" x14ac:dyDescent="0.3">
      <c r="G95" s="93"/>
      <c r="H95" s="274" t="s">
        <v>271</v>
      </c>
      <c r="I95" s="209" t="s">
        <v>272</v>
      </c>
      <c r="J95" s="113" t="s">
        <v>273</v>
      </c>
      <c r="K95" s="166"/>
      <c r="L95" s="166"/>
      <c r="M95" s="238">
        <f t="shared" si="11"/>
        <v>0</v>
      </c>
      <c r="N95" s="194">
        <f t="shared" si="13"/>
        <v>0</v>
      </c>
      <c r="O95" s="228">
        <f t="shared" si="14"/>
        <v>0</v>
      </c>
      <c r="P95" s="229">
        <f t="shared" si="12"/>
        <v>0</v>
      </c>
      <c r="R95" s="253"/>
    </row>
    <row r="96" spans="7:18" ht="19.5" customHeight="1" x14ac:dyDescent="0.3">
      <c r="G96" s="93"/>
      <c r="H96" s="274" t="s">
        <v>45</v>
      </c>
      <c r="I96" s="209" t="s">
        <v>274</v>
      </c>
      <c r="J96" s="113" t="s">
        <v>275</v>
      </c>
      <c r="K96" s="166">
        <v>0</v>
      </c>
      <c r="L96" s="166">
        <v>207718.14</v>
      </c>
      <c r="M96" s="238">
        <f t="shared" si="11"/>
        <v>0</v>
      </c>
      <c r="N96" s="194">
        <f t="shared" si="13"/>
        <v>207718.14</v>
      </c>
      <c r="O96" s="228">
        <f t="shared" si="14"/>
        <v>0</v>
      </c>
      <c r="P96" s="229">
        <f t="shared" si="12"/>
        <v>207718.14</v>
      </c>
      <c r="R96" s="253"/>
    </row>
    <row r="97" spans="7:20" ht="15.45" customHeight="1" x14ac:dyDescent="0.3">
      <c r="G97" s="93"/>
      <c r="H97" s="274" t="s">
        <v>276</v>
      </c>
      <c r="I97" s="209" t="s">
        <v>277</v>
      </c>
      <c r="J97" s="113" t="s">
        <v>278</v>
      </c>
      <c r="K97" s="166"/>
      <c r="L97" s="166"/>
      <c r="M97" s="238">
        <f t="shared" si="11"/>
        <v>0</v>
      </c>
      <c r="N97" s="194">
        <f t="shared" si="13"/>
        <v>0</v>
      </c>
      <c r="O97" s="228">
        <f t="shared" si="14"/>
        <v>0</v>
      </c>
      <c r="P97" s="229">
        <f t="shared" si="12"/>
        <v>0</v>
      </c>
      <c r="R97" s="253"/>
    </row>
    <row r="98" spans="7:20" ht="15" customHeight="1" x14ac:dyDescent="0.3">
      <c r="G98" s="93"/>
      <c r="H98" s="274" t="s">
        <v>47</v>
      </c>
      <c r="I98" s="221" t="s">
        <v>279</v>
      </c>
      <c r="J98" s="142" t="s">
        <v>280</v>
      </c>
      <c r="K98" s="166">
        <v>5093043</v>
      </c>
      <c r="L98" s="166">
        <v>6480183.3099999996</v>
      </c>
      <c r="M98" s="238">
        <f t="shared" si="11"/>
        <v>0</v>
      </c>
      <c r="N98" s="194">
        <f t="shared" si="13"/>
        <v>1387140.3099999996</v>
      </c>
      <c r="O98" s="228">
        <f t="shared" si="14"/>
        <v>0</v>
      </c>
      <c r="P98" s="229">
        <f t="shared" si="12"/>
        <v>1387140.3099999996</v>
      </c>
      <c r="R98" s="253"/>
      <c r="S98" s="280"/>
    </row>
    <row r="99" spans="7:20" ht="15.45" customHeight="1" x14ac:dyDescent="0.3">
      <c r="G99" s="93"/>
      <c r="H99" s="274" t="s">
        <v>281</v>
      </c>
      <c r="I99" s="209" t="s">
        <v>282</v>
      </c>
      <c r="J99" s="113" t="s">
        <v>283</v>
      </c>
      <c r="K99" s="166"/>
      <c r="L99" s="166"/>
      <c r="M99" s="238">
        <f t="shared" si="11"/>
        <v>0</v>
      </c>
      <c r="N99" s="194">
        <f t="shared" si="13"/>
        <v>0</v>
      </c>
      <c r="O99" s="228">
        <f t="shared" si="14"/>
        <v>0</v>
      </c>
      <c r="P99" s="229">
        <f t="shared" si="12"/>
        <v>0</v>
      </c>
      <c r="R99" s="253"/>
    </row>
    <row r="100" spans="7:20" ht="18.600000000000001" customHeight="1" x14ac:dyDescent="0.3">
      <c r="G100" s="93"/>
      <c r="H100" s="274" t="s">
        <v>284</v>
      </c>
      <c r="I100" s="209" t="s">
        <v>285</v>
      </c>
      <c r="J100" s="113" t="s">
        <v>286</v>
      </c>
      <c r="K100" s="166"/>
      <c r="L100" s="166"/>
      <c r="M100" s="238">
        <f t="shared" si="11"/>
        <v>0</v>
      </c>
      <c r="N100" s="194">
        <f t="shared" si="13"/>
        <v>0</v>
      </c>
      <c r="O100" s="228">
        <f t="shared" si="14"/>
        <v>0</v>
      </c>
      <c r="P100" s="229">
        <f t="shared" si="12"/>
        <v>0</v>
      </c>
      <c r="R100" s="253"/>
    </row>
    <row r="101" spans="7:20" ht="15.45" customHeight="1" x14ac:dyDescent="0.3">
      <c r="G101" s="93"/>
      <c r="H101" s="274" t="s">
        <v>287</v>
      </c>
      <c r="I101" s="209" t="s">
        <v>288</v>
      </c>
      <c r="J101" s="113" t="s">
        <v>104</v>
      </c>
      <c r="K101" s="166"/>
      <c r="L101" s="166"/>
      <c r="M101" s="238">
        <f t="shared" si="11"/>
        <v>0</v>
      </c>
      <c r="N101" s="194">
        <f t="shared" si="13"/>
        <v>0</v>
      </c>
      <c r="O101" s="228">
        <f t="shared" si="14"/>
        <v>0</v>
      </c>
      <c r="P101" s="229">
        <f t="shared" si="12"/>
        <v>0</v>
      </c>
      <c r="R101" s="253"/>
    </row>
    <row r="102" spans="7:20" ht="15.45" customHeight="1" x14ac:dyDescent="0.3">
      <c r="G102" s="93"/>
      <c r="H102" s="274" t="s">
        <v>289</v>
      </c>
      <c r="I102" s="209" t="s">
        <v>290</v>
      </c>
      <c r="J102" s="113" t="s">
        <v>291</v>
      </c>
      <c r="K102" s="166"/>
      <c r="L102" s="166"/>
      <c r="M102" s="238">
        <f t="shared" si="11"/>
        <v>0</v>
      </c>
      <c r="N102" s="194">
        <f t="shared" si="13"/>
        <v>0</v>
      </c>
      <c r="O102" s="228">
        <f t="shared" si="14"/>
        <v>0</v>
      </c>
      <c r="P102" s="229">
        <f t="shared" si="12"/>
        <v>0</v>
      </c>
      <c r="R102" s="253"/>
      <c r="T102" s="188"/>
    </row>
    <row r="103" spans="7:20" ht="15.45" customHeight="1" x14ac:dyDescent="0.3">
      <c r="G103" s="93"/>
      <c r="H103" s="274"/>
      <c r="I103" s="209" t="s">
        <v>292</v>
      </c>
      <c r="J103" s="114" t="s">
        <v>293</v>
      </c>
      <c r="K103" s="166"/>
      <c r="L103" s="166"/>
      <c r="M103" s="239">
        <f t="shared" si="11"/>
        <v>0</v>
      </c>
      <c r="N103" s="237">
        <f t="shared" si="13"/>
        <v>0</v>
      </c>
      <c r="O103" s="230">
        <f t="shared" si="14"/>
        <v>0</v>
      </c>
      <c r="P103" s="231"/>
      <c r="Q103" s="158"/>
      <c r="R103" s="254"/>
    </row>
    <row r="104" spans="7:20" ht="15.45" customHeight="1" x14ac:dyDescent="0.3">
      <c r="G104" s="93"/>
      <c r="H104" s="274" t="s">
        <v>294</v>
      </c>
      <c r="I104" s="209" t="s">
        <v>295</v>
      </c>
      <c r="J104" s="113" t="s">
        <v>296</v>
      </c>
      <c r="K104" s="166"/>
      <c r="L104" s="166"/>
      <c r="M104" s="238">
        <f t="shared" ref="M104:M135" si="15">IF(K104&gt;L104,K104-L104,0)</f>
        <v>0</v>
      </c>
      <c r="N104" s="194">
        <f t="shared" si="13"/>
        <v>0</v>
      </c>
      <c r="O104" s="228">
        <f t="shared" si="14"/>
        <v>0</v>
      </c>
      <c r="P104" s="229">
        <f t="shared" ref="P104:P114" si="16">N104</f>
        <v>0</v>
      </c>
      <c r="R104" s="253"/>
    </row>
    <row r="105" spans="7:20" ht="15.45" customHeight="1" x14ac:dyDescent="0.3">
      <c r="G105" s="93"/>
      <c r="H105" s="274" t="s">
        <v>297</v>
      </c>
      <c r="I105" s="209" t="s">
        <v>298</v>
      </c>
      <c r="J105" s="113" t="s">
        <v>299</v>
      </c>
      <c r="K105" s="166"/>
      <c r="L105" s="166"/>
      <c r="M105" s="238">
        <f t="shared" si="15"/>
        <v>0</v>
      </c>
      <c r="N105" s="194">
        <f t="shared" si="13"/>
        <v>0</v>
      </c>
      <c r="O105" s="228">
        <f t="shared" si="14"/>
        <v>0</v>
      </c>
      <c r="P105" s="229">
        <f t="shared" si="16"/>
        <v>0</v>
      </c>
      <c r="R105" s="253"/>
    </row>
    <row r="106" spans="7:20" ht="15.45" customHeight="1" x14ac:dyDescent="0.3">
      <c r="G106" s="123"/>
      <c r="H106" s="274" t="s">
        <v>300</v>
      </c>
      <c r="I106" s="209" t="s">
        <v>301</v>
      </c>
      <c r="J106" s="113" t="s">
        <v>302</v>
      </c>
      <c r="K106" s="166"/>
      <c r="L106" s="166"/>
      <c r="M106" s="238">
        <f t="shared" si="15"/>
        <v>0</v>
      </c>
      <c r="N106" s="194">
        <f t="shared" si="13"/>
        <v>0</v>
      </c>
      <c r="O106" s="228">
        <f t="shared" si="14"/>
        <v>0</v>
      </c>
      <c r="P106" s="229">
        <f t="shared" si="16"/>
        <v>0</v>
      </c>
      <c r="R106" s="253"/>
    </row>
    <row r="107" spans="7:20" ht="15.45" customHeight="1" x14ac:dyDescent="0.3">
      <c r="G107" s="93"/>
      <c r="H107" s="274" t="s">
        <v>303</v>
      </c>
      <c r="I107" s="209" t="s">
        <v>304</v>
      </c>
      <c r="J107" s="113" t="s">
        <v>305</v>
      </c>
      <c r="K107" s="166"/>
      <c r="L107" s="166"/>
      <c r="M107" s="238">
        <f t="shared" si="15"/>
        <v>0</v>
      </c>
      <c r="N107" s="194">
        <f t="shared" si="13"/>
        <v>0</v>
      </c>
      <c r="O107" s="228">
        <f t="shared" si="14"/>
        <v>0</v>
      </c>
      <c r="P107" s="229">
        <f t="shared" si="16"/>
        <v>0</v>
      </c>
      <c r="R107" s="253"/>
    </row>
    <row r="108" spans="7:20" ht="15" customHeight="1" x14ac:dyDescent="0.3">
      <c r="G108" s="93"/>
      <c r="H108" s="274" t="s">
        <v>306</v>
      </c>
      <c r="I108" s="221" t="s">
        <v>307</v>
      </c>
      <c r="J108" s="279" t="s">
        <v>308</v>
      </c>
      <c r="K108" s="166"/>
      <c r="L108" s="166"/>
      <c r="M108" s="238">
        <f t="shared" si="15"/>
        <v>0</v>
      </c>
      <c r="N108" s="194">
        <f t="shared" si="13"/>
        <v>0</v>
      </c>
      <c r="O108" s="228">
        <f t="shared" si="14"/>
        <v>0</v>
      </c>
      <c r="P108" s="229">
        <f t="shared" si="16"/>
        <v>0</v>
      </c>
      <c r="R108" s="253"/>
    </row>
    <row r="109" spans="7:20" ht="15.45" customHeight="1" x14ac:dyDescent="0.3">
      <c r="G109" s="93"/>
      <c r="H109" s="274" t="s">
        <v>309</v>
      </c>
      <c r="I109" s="209" t="s">
        <v>310</v>
      </c>
      <c r="J109" s="113" t="s">
        <v>311</v>
      </c>
      <c r="K109" s="166"/>
      <c r="L109" s="166"/>
      <c r="M109" s="238">
        <f t="shared" si="15"/>
        <v>0</v>
      </c>
      <c r="N109" s="194">
        <f t="shared" si="13"/>
        <v>0</v>
      </c>
      <c r="O109" s="228">
        <f t="shared" si="14"/>
        <v>0</v>
      </c>
      <c r="P109" s="229">
        <f t="shared" si="16"/>
        <v>0</v>
      </c>
      <c r="R109" s="253"/>
    </row>
    <row r="110" spans="7:20" ht="15.45" customHeight="1" x14ac:dyDescent="0.3">
      <c r="G110" s="93"/>
      <c r="H110" s="274" t="s">
        <v>50</v>
      </c>
      <c r="I110" s="209" t="s">
        <v>312</v>
      </c>
      <c r="J110" s="113" t="s">
        <v>313</v>
      </c>
      <c r="K110" s="166">
        <v>8753667</v>
      </c>
      <c r="L110" s="166">
        <v>8647039</v>
      </c>
      <c r="M110" s="238">
        <f t="shared" si="15"/>
        <v>106628</v>
      </c>
      <c r="N110" s="194">
        <f t="shared" si="13"/>
        <v>0</v>
      </c>
      <c r="O110" s="228">
        <f t="shared" si="14"/>
        <v>106628</v>
      </c>
      <c r="P110" s="229">
        <f t="shared" si="16"/>
        <v>0</v>
      </c>
      <c r="R110" s="253"/>
    </row>
    <row r="111" spans="7:20" ht="15.45" customHeight="1" x14ac:dyDescent="0.3">
      <c r="G111" s="93"/>
      <c r="H111" s="274" t="s">
        <v>54</v>
      </c>
      <c r="I111" s="209" t="s">
        <v>312</v>
      </c>
      <c r="J111" s="473" t="s">
        <v>314</v>
      </c>
      <c r="K111" s="166">
        <v>1057546</v>
      </c>
      <c r="L111" s="166">
        <v>10694576</v>
      </c>
      <c r="M111" s="238">
        <f t="shared" si="15"/>
        <v>0</v>
      </c>
      <c r="N111" s="194">
        <f t="shared" si="13"/>
        <v>9637030</v>
      </c>
      <c r="O111" s="228">
        <f t="shared" si="14"/>
        <v>0</v>
      </c>
      <c r="P111" s="229">
        <f t="shared" si="16"/>
        <v>9637030</v>
      </c>
      <c r="R111" s="253"/>
    </row>
    <row r="112" spans="7:20" ht="15.45" customHeight="1" x14ac:dyDescent="0.3">
      <c r="G112" s="93"/>
      <c r="H112" s="274" t="s">
        <v>315</v>
      </c>
      <c r="I112" s="209" t="s">
        <v>316</v>
      </c>
      <c r="J112" s="113" t="s">
        <v>317</v>
      </c>
      <c r="K112" s="166"/>
      <c r="L112" s="166"/>
      <c r="M112" s="238">
        <f t="shared" si="15"/>
        <v>0</v>
      </c>
      <c r="N112" s="194">
        <f t="shared" si="13"/>
        <v>0</v>
      </c>
      <c r="O112" s="228">
        <f t="shared" si="14"/>
        <v>0</v>
      </c>
      <c r="P112" s="229">
        <f t="shared" si="16"/>
        <v>0</v>
      </c>
      <c r="R112" s="253"/>
    </row>
    <row r="113" spans="7:22" ht="15.45" customHeight="1" x14ac:dyDescent="0.3">
      <c r="G113" s="93"/>
      <c r="H113" s="274" t="s">
        <v>318</v>
      </c>
      <c r="I113" s="209" t="s">
        <v>319</v>
      </c>
      <c r="J113" s="113" t="s">
        <v>205</v>
      </c>
      <c r="K113" s="166"/>
      <c r="L113" s="166"/>
      <c r="M113" s="238">
        <f t="shared" si="15"/>
        <v>0</v>
      </c>
      <c r="N113" s="194">
        <f t="shared" si="13"/>
        <v>0</v>
      </c>
      <c r="O113" s="228">
        <f t="shared" si="14"/>
        <v>0</v>
      </c>
      <c r="P113" s="229">
        <f t="shared" si="16"/>
        <v>0</v>
      </c>
      <c r="R113" s="253"/>
    </row>
    <row r="114" spans="7:22" ht="15.45" customHeight="1" x14ac:dyDescent="0.3">
      <c r="G114" s="93"/>
      <c r="H114" s="274" t="s">
        <v>320</v>
      </c>
      <c r="I114" s="209" t="s">
        <v>321</v>
      </c>
      <c r="J114" s="113" t="s">
        <v>322</v>
      </c>
      <c r="K114" s="166"/>
      <c r="L114" s="166"/>
      <c r="M114" s="238">
        <f t="shared" si="15"/>
        <v>0</v>
      </c>
      <c r="N114" s="194">
        <f t="shared" si="13"/>
        <v>0</v>
      </c>
      <c r="O114" s="228">
        <f t="shared" si="14"/>
        <v>0</v>
      </c>
      <c r="P114" s="229">
        <f t="shared" si="16"/>
        <v>0</v>
      </c>
      <c r="R114" s="253"/>
    </row>
    <row r="115" spans="7:22" ht="15.45" customHeight="1" x14ac:dyDescent="0.3">
      <c r="G115" s="93"/>
      <c r="H115" s="274"/>
      <c r="I115" s="209" t="s">
        <v>323</v>
      </c>
      <c r="J115" s="114" t="s">
        <v>324</v>
      </c>
      <c r="K115" s="166"/>
      <c r="L115" s="166"/>
      <c r="M115" s="230">
        <f t="shared" si="15"/>
        <v>0</v>
      </c>
      <c r="N115" s="237">
        <f t="shared" si="13"/>
        <v>0</v>
      </c>
      <c r="O115" s="230">
        <f t="shared" si="14"/>
        <v>0</v>
      </c>
      <c r="P115" s="231"/>
      <c r="Q115" s="158"/>
      <c r="R115" s="254"/>
    </row>
    <row r="116" spans="7:22" ht="15.45" customHeight="1" x14ac:dyDescent="0.3">
      <c r="G116" s="93"/>
      <c r="H116" s="274" t="s">
        <v>61</v>
      </c>
      <c r="I116" s="210" t="s">
        <v>325</v>
      </c>
      <c r="J116" s="112" t="s">
        <v>326</v>
      </c>
      <c r="K116" s="166">
        <v>0</v>
      </c>
      <c r="L116" s="166">
        <v>3000000</v>
      </c>
      <c r="M116" s="228">
        <f t="shared" si="15"/>
        <v>0</v>
      </c>
      <c r="N116" s="194">
        <f t="shared" si="13"/>
        <v>3000000</v>
      </c>
      <c r="O116" s="228">
        <f t="shared" si="14"/>
        <v>0</v>
      </c>
      <c r="P116" s="229">
        <f t="shared" ref="P116:P129" si="17">N116</f>
        <v>3000000</v>
      </c>
      <c r="R116" s="253"/>
    </row>
    <row r="117" spans="7:22" ht="15.45" customHeight="1" x14ac:dyDescent="0.3">
      <c r="G117" s="93"/>
      <c r="H117" s="274" t="s">
        <v>327</v>
      </c>
      <c r="I117" s="210" t="s">
        <v>328</v>
      </c>
      <c r="J117" s="112" t="s">
        <v>329</v>
      </c>
      <c r="K117" s="166"/>
      <c r="L117" s="166"/>
      <c r="M117" s="228">
        <f t="shared" si="15"/>
        <v>0</v>
      </c>
      <c r="N117" s="194">
        <f t="shared" si="13"/>
        <v>0</v>
      </c>
      <c r="O117" s="228">
        <f t="shared" si="14"/>
        <v>0</v>
      </c>
      <c r="P117" s="229">
        <f t="shared" si="17"/>
        <v>0</v>
      </c>
      <c r="R117" s="253"/>
    </row>
    <row r="118" spans="7:22" ht="16.5" customHeight="1" x14ac:dyDescent="0.3">
      <c r="G118" s="93"/>
      <c r="H118" s="274" t="s">
        <v>330</v>
      </c>
      <c r="I118" s="210" t="s">
        <v>331</v>
      </c>
      <c r="J118" s="112" t="s">
        <v>332</v>
      </c>
      <c r="K118" s="166"/>
      <c r="L118" s="166"/>
      <c r="M118" s="228">
        <f t="shared" si="15"/>
        <v>0</v>
      </c>
      <c r="N118" s="194">
        <f t="shared" si="13"/>
        <v>0</v>
      </c>
      <c r="O118" s="228">
        <f t="shared" si="14"/>
        <v>0</v>
      </c>
      <c r="P118" s="229">
        <f t="shared" si="17"/>
        <v>0</v>
      </c>
      <c r="R118" s="253"/>
    </row>
    <row r="119" spans="7:22" ht="16.5" customHeight="1" x14ac:dyDescent="0.3">
      <c r="G119" s="93"/>
      <c r="H119" s="274" t="s">
        <v>333</v>
      </c>
      <c r="I119" s="210" t="s">
        <v>334</v>
      </c>
      <c r="J119" s="112" t="s">
        <v>335</v>
      </c>
      <c r="K119" s="166"/>
      <c r="L119" s="166"/>
      <c r="M119" s="228">
        <f t="shared" si="15"/>
        <v>0</v>
      </c>
      <c r="N119" s="194">
        <f t="shared" si="13"/>
        <v>0</v>
      </c>
      <c r="O119" s="228">
        <f t="shared" si="14"/>
        <v>0</v>
      </c>
      <c r="P119" s="229">
        <f t="shared" si="17"/>
        <v>0</v>
      </c>
      <c r="R119" s="253"/>
    </row>
    <row r="120" spans="7:22" s="94" customFormat="1" ht="17.25" customHeight="1" x14ac:dyDescent="0.3">
      <c r="G120" s="93"/>
      <c r="H120" s="274" t="s">
        <v>336</v>
      </c>
      <c r="I120" s="210" t="s">
        <v>337</v>
      </c>
      <c r="J120" s="112" t="s">
        <v>338</v>
      </c>
      <c r="K120" s="166"/>
      <c r="L120" s="166"/>
      <c r="M120" s="228">
        <f t="shared" si="15"/>
        <v>0</v>
      </c>
      <c r="N120" s="194">
        <f t="shared" ref="N120:N136" si="18">IF(L120&gt;K120,L120-K120,0)</f>
        <v>0</v>
      </c>
      <c r="O120" s="228">
        <f t="shared" si="14"/>
        <v>0</v>
      </c>
      <c r="P120" s="229">
        <f t="shared" si="17"/>
        <v>0</v>
      </c>
      <c r="Q120" s="107"/>
      <c r="R120" s="253"/>
      <c r="S120" s="119"/>
      <c r="T120" s="92"/>
      <c r="U120" s="92"/>
      <c r="V120" s="92"/>
    </row>
    <row r="121" spans="7:22" ht="18.75" customHeight="1" x14ac:dyDescent="0.3">
      <c r="G121" s="93"/>
      <c r="H121" s="274" t="s">
        <v>339</v>
      </c>
      <c r="I121" s="210" t="s">
        <v>340</v>
      </c>
      <c r="J121" s="112" t="s">
        <v>341</v>
      </c>
      <c r="K121" s="166"/>
      <c r="L121" s="166"/>
      <c r="M121" s="228">
        <f t="shared" si="15"/>
        <v>0</v>
      </c>
      <c r="N121" s="194">
        <f t="shared" si="18"/>
        <v>0</v>
      </c>
      <c r="O121" s="228">
        <f t="shared" ref="O121:O129" si="19">M121</f>
        <v>0</v>
      </c>
      <c r="P121" s="229">
        <f t="shared" si="17"/>
        <v>0</v>
      </c>
      <c r="R121" s="253"/>
    </row>
    <row r="122" spans="7:22" ht="15.45" customHeight="1" x14ac:dyDescent="0.3">
      <c r="G122" s="93"/>
      <c r="H122" s="274" t="s">
        <v>342</v>
      </c>
      <c r="I122" s="210" t="s">
        <v>343</v>
      </c>
      <c r="J122" s="112" t="s">
        <v>344</v>
      </c>
      <c r="K122" s="166"/>
      <c r="L122" s="166"/>
      <c r="M122" s="228">
        <f t="shared" si="15"/>
        <v>0</v>
      </c>
      <c r="N122" s="194">
        <f t="shared" si="18"/>
        <v>0</v>
      </c>
      <c r="O122" s="228">
        <f t="shared" si="19"/>
        <v>0</v>
      </c>
      <c r="P122" s="229">
        <f t="shared" si="17"/>
        <v>0</v>
      </c>
      <c r="R122" s="253"/>
    </row>
    <row r="123" spans="7:22" ht="15.75" customHeight="1" x14ac:dyDescent="0.3">
      <c r="G123" s="93"/>
      <c r="H123" s="274" t="s">
        <v>345</v>
      </c>
      <c r="I123" s="210" t="s">
        <v>346</v>
      </c>
      <c r="J123" s="112" t="s">
        <v>347</v>
      </c>
      <c r="K123" s="166"/>
      <c r="L123" s="166"/>
      <c r="M123" s="228">
        <f t="shared" si="15"/>
        <v>0</v>
      </c>
      <c r="N123" s="194">
        <f t="shared" si="18"/>
        <v>0</v>
      </c>
      <c r="O123" s="228">
        <f t="shared" si="19"/>
        <v>0</v>
      </c>
      <c r="P123" s="229">
        <f t="shared" si="17"/>
        <v>0</v>
      </c>
      <c r="R123" s="253"/>
    </row>
    <row r="124" spans="7:22" ht="15.6" customHeight="1" thickBot="1" x14ac:dyDescent="0.35">
      <c r="G124" s="124"/>
      <c r="H124" s="274" t="s">
        <v>64</v>
      </c>
      <c r="I124" s="210" t="s">
        <v>348</v>
      </c>
      <c r="J124" s="220" t="s">
        <v>349</v>
      </c>
      <c r="K124" s="166">
        <v>0</v>
      </c>
      <c r="L124" s="166">
        <v>16115566</v>
      </c>
      <c r="M124" s="228">
        <f t="shared" si="15"/>
        <v>0</v>
      </c>
      <c r="N124" s="194">
        <f t="shared" si="18"/>
        <v>16115566</v>
      </c>
      <c r="O124" s="228">
        <f t="shared" si="19"/>
        <v>0</v>
      </c>
      <c r="P124" s="229">
        <f t="shared" si="17"/>
        <v>16115566</v>
      </c>
      <c r="R124" s="253"/>
    </row>
    <row r="125" spans="7:22" ht="15.45" customHeight="1" x14ac:dyDescent="0.3">
      <c r="H125" s="274" t="s">
        <v>350</v>
      </c>
      <c r="I125" s="210" t="s">
        <v>351</v>
      </c>
      <c r="J125" s="112" t="s">
        <v>352</v>
      </c>
      <c r="K125" s="166"/>
      <c r="L125" s="166"/>
      <c r="M125" s="228">
        <f t="shared" si="15"/>
        <v>0</v>
      </c>
      <c r="N125" s="194">
        <f t="shared" si="18"/>
        <v>0</v>
      </c>
      <c r="O125" s="228">
        <f t="shared" si="19"/>
        <v>0</v>
      </c>
      <c r="P125" s="229">
        <f t="shared" si="17"/>
        <v>0</v>
      </c>
      <c r="R125" s="253"/>
      <c r="V125" s="94"/>
    </row>
    <row r="126" spans="7:22" ht="15.45" customHeight="1" x14ac:dyDescent="0.3">
      <c r="H126" s="274" t="s">
        <v>68</v>
      </c>
      <c r="I126" s="210" t="s">
        <v>353</v>
      </c>
      <c r="J126" s="112" t="s">
        <v>354</v>
      </c>
      <c r="K126" s="166">
        <v>9000000</v>
      </c>
      <c r="L126" s="166"/>
      <c r="M126" s="228">
        <f t="shared" si="15"/>
        <v>9000000</v>
      </c>
      <c r="N126" s="194">
        <f t="shared" si="18"/>
        <v>0</v>
      </c>
      <c r="O126" s="228">
        <f t="shared" si="19"/>
        <v>9000000</v>
      </c>
      <c r="P126" s="229">
        <f t="shared" si="17"/>
        <v>0</v>
      </c>
      <c r="R126" s="253"/>
      <c r="U126" s="94"/>
    </row>
    <row r="127" spans="7:22" ht="15.45" customHeight="1" x14ac:dyDescent="0.3">
      <c r="H127" s="274" t="s">
        <v>355</v>
      </c>
      <c r="I127" s="210" t="s">
        <v>356</v>
      </c>
      <c r="J127" s="112" t="s">
        <v>357</v>
      </c>
      <c r="K127" s="166"/>
      <c r="L127" s="166"/>
      <c r="M127" s="228">
        <f t="shared" si="15"/>
        <v>0</v>
      </c>
      <c r="N127" s="194">
        <f t="shared" si="18"/>
        <v>0</v>
      </c>
      <c r="O127" s="228">
        <f t="shared" si="19"/>
        <v>0</v>
      </c>
      <c r="P127" s="229">
        <f t="shared" si="17"/>
        <v>0</v>
      </c>
      <c r="R127" s="253"/>
      <c r="U127" s="94"/>
    </row>
    <row r="128" spans="7:22" ht="15.45" customHeight="1" x14ac:dyDescent="0.3">
      <c r="H128" s="274" t="s">
        <v>358</v>
      </c>
      <c r="I128" s="210" t="s">
        <v>359</v>
      </c>
      <c r="J128" s="112" t="s">
        <v>360</v>
      </c>
      <c r="K128" s="166"/>
      <c r="L128" s="166"/>
      <c r="M128" s="228">
        <f t="shared" si="15"/>
        <v>0</v>
      </c>
      <c r="N128" s="194">
        <f t="shared" si="18"/>
        <v>0</v>
      </c>
      <c r="O128" s="228">
        <f t="shared" si="19"/>
        <v>0</v>
      </c>
      <c r="P128" s="229">
        <f t="shared" si="17"/>
        <v>0</v>
      </c>
      <c r="R128" s="253"/>
      <c r="S128" s="94"/>
      <c r="T128" s="94"/>
      <c r="V128" s="94"/>
    </row>
    <row r="129" spans="8:21" ht="15.45" customHeight="1" x14ac:dyDescent="0.3">
      <c r="H129" s="274" t="s">
        <v>361</v>
      </c>
      <c r="I129" s="210" t="s">
        <v>362</v>
      </c>
      <c r="J129" s="112" t="s">
        <v>363</v>
      </c>
      <c r="K129" s="166"/>
      <c r="L129" s="166"/>
      <c r="M129" s="228">
        <f t="shared" si="15"/>
        <v>0</v>
      </c>
      <c r="N129" s="194">
        <f t="shared" si="18"/>
        <v>0</v>
      </c>
      <c r="O129" s="228">
        <f t="shared" si="19"/>
        <v>0</v>
      </c>
      <c r="P129" s="229">
        <f t="shared" si="17"/>
        <v>0</v>
      </c>
      <c r="R129" s="253"/>
      <c r="S129" s="94"/>
      <c r="T129" s="94"/>
      <c r="U129" s="271"/>
    </row>
    <row r="130" spans="8:21" ht="15.45" customHeight="1" x14ac:dyDescent="0.3">
      <c r="H130" s="274"/>
      <c r="I130" s="212"/>
      <c r="J130" s="115"/>
      <c r="K130" s="166"/>
      <c r="L130" s="166"/>
      <c r="M130" s="228">
        <f t="shared" si="15"/>
        <v>0</v>
      </c>
      <c r="N130" s="194">
        <f t="shared" si="18"/>
        <v>0</v>
      </c>
      <c r="O130" s="228"/>
      <c r="P130" s="229"/>
      <c r="R130" s="253"/>
      <c r="S130" s="94"/>
      <c r="T130" s="94"/>
      <c r="U130" s="271"/>
    </row>
    <row r="131" spans="8:21" ht="15.45" customHeight="1" x14ac:dyDescent="0.3">
      <c r="H131" s="274"/>
      <c r="I131" s="769" t="s">
        <v>364</v>
      </c>
      <c r="J131" s="770"/>
      <c r="K131" s="166"/>
      <c r="L131" s="166"/>
      <c r="M131" s="230">
        <f t="shared" si="15"/>
        <v>0</v>
      </c>
      <c r="N131" s="237">
        <f t="shared" si="18"/>
        <v>0</v>
      </c>
      <c r="O131" s="230"/>
      <c r="P131" s="231"/>
      <c r="Q131" s="158"/>
      <c r="R131" s="254"/>
    </row>
    <row r="132" spans="8:21" ht="16.2" customHeight="1" thickBot="1" x14ac:dyDescent="0.35">
      <c r="H132" s="274"/>
      <c r="I132" s="212"/>
      <c r="J132" s="115"/>
      <c r="K132" s="166"/>
      <c r="L132" s="166"/>
      <c r="M132" s="228">
        <f t="shared" si="15"/>
        <v>0</v>
      </c>
      <c r="N132" s="194">
        <f t="shared" si="18"/>
        <v>0</v>
      </c>
      <c r="O132" s="228"/>
      <c r="P132" s="229"/>
      <c r="R132" s="253"/>
    </row>
    <row r="133" spans="8:21" ht="15.45" customHeight="1" x14ac:dyDescent="0.3">
      <c r="H133" s="318"/>
      <c r="I133" s="210" t="s">
        <v>365</v>
      </c>
      <c r="J133" s="140" t="s">
        <v>366</v>
      </c>
      <c r="K133" s="166"/>
      <c r="L133" s="166"/>
      <c r="M133" s="230">
        <f t="shared" si="15"/>
        <v>0</v>
      </c>
      <c r="N133" s="237">
        <f t="shared" si="18"/>
        <v>0</v>
      </c>
      <c r="O133" s="230"/>
      <c r="P133" s="231"/>
      <c r="Q133" s="158"/>
      <c r="R133" s="254"/>
    </row>
    <row r="134" spans="8:21" ht="15.45" customHeight="1" x14ac:dyDescent="0.3">
      <c r="H134" s="319"/>
      <c r="I134" s="210" t="s">
        <v>367</v>
      </c>
      <c r="J134" s="141" t="s">
        <v>368</v>
      </c>
      <c r="K134" s="166"/>
      <c r="L134" s="166"/>
      <c r="M134" s="230">
        <f t="shared" si="15"/>
        <v>0</v>
      </c>
      <c r="N134" s="240">
        <f t="shared" si="18"/>
        <v>0</v>
      </c>
      <c r="O134" s="230"/>
      <c r="P134" s="158"/>
      <c r="Q134" s="230">
        <f t="shared" ref="Q134:Q162" si="20">M134</f>
        <v>0</v>
      </c>
      <c r="R134" s="254"/>
    </row>
    <row r="135" spans="8:21" ht="15.45" customHeight="1" x14ac:dyDescent="0.3">
      <c r="H135" s="319" t="s">
        <v>69</v>
      </c>
      <c r="I135" s="210" t="s">
        <v>369</v>
      </c>
      <c r="J135" s="139" t="s">
        <v>370</v>
      </c>
      <c r="K135" s="166"/>
      <c r="L135" s="166">
        <v>32500881</v>
      </c>
      <c r="M135" s="228">
        <f t="shared" si="15"/>
        <v>0</v>
      </c>
      <c r="N135" s="194">
        <f t="shared" si="18"/>
        <v>32500881</v>
      </c>
      <c r="O135" s="228"/>
      <c r="P135" s="229"/>
      <c r="Q135" s="107">
        <f t="shared" si="20"/>
        <v>0</v>
      </c>
      <c r="R135" s="253">
        <f t="shared" ref="R135:R162" si="21">N135</f>
        <v>32500881</v>
      </c>
    </row>
    <row r="136" spans="8:21" ht="15.45" customHeight="1" x14ac:dyDescent="0.3">
      <c r="H136" s="319" t="s">
        <v>74</v>
      </c>
      <c r="I136" s="210" t="s">
        <v>371</v>
      </c>
      <c r="J136" s="112" t="s">
        <v>372</v>
      </c>
      <c r="K136" s="166"/>
      <c r="L136" s="166">
        <v>1695650</v>
      </c>
      <c r="M136" s="228">
        <f t="shared" ref="M136:M162" si="22">IF(K136&gt;L136,K136-L136,0)</f>
        <v>0</v>
      </c>
      <c r="N136" s="194">
        <f t="shared" si="18"/>
        <v>1695650</v>
      </c>
      <c r="O136" s="228"/>
      <c r="P136" s="229"/>
      <c r="Q136" s="107">
        <f t="shared" si="20"/>
        <v>0</v>
      </c>
      <c r="R136" s="253">
        <f t="shared" si="21"/>
        <v>1695650</v>
      </c>
    </row>
    <row r="137" spans="8:21" ht="15.45" customHeight="1" x14ac:dyDescent="0.3">
      <c r="H137" s="319" t="s">
        <v>373</v>
      </c>
      <c r="I137" s="210" t="s">
        <v>374</v>
      </c>
      <c r="J137" s="112" t="s">
        <v>375</v>
      </c>
      <c r="K137" s="166"/>
      <c r="L137" s="166"/>
      <c r="M137" s="228">
        <f t="shared" si="22"/>
        <v>0</v>
      </c>
      <c r="N137" s="194"/>
      <c r="O137" s="228"/>
      <c r="P137" s="229"/>
      <c r="Q137" s="107">
        <f t="shared" si="20"/>
        <v>0</v>
      </c>
      <c r="R137" s="253">
        <f t="shared" si="21"/>
        <v>0</v>
      </c>
    </row>
    <row r="138" spans="8:21" ht="15.45" customHeight="1" x14ac:dyDescent="0.3">
      <c r="H138" s="319" t="s">
        <v>376</v>
      </c>
      <c r="I138" s="210"/>
      <c r="J138" s="112" t="s">
        <v>377</v>
      </c>
      <c r="K138" s="166"/>
      <c r="L138" s="166"/>
      <c r="M138" s="228">
        <f t="shared" si="22"/>
        <v>0</v>
      </c>
      <c r="N138" s="194">
        <f t="shared" ref="N138:N162" si="23">IF(L138&gt;K138,L138-K138,0)</f>
        <v>0</v>
      </c>
      <c r="O138" s="228"/>
      <c r="P138" s="229"/>
      <c r="Q138" s="107">
        <f t="shared" si="20"/>
        <v>0</v>
      </c>
      <c r="R138" s="253">
        <f t="shared" si="21"/>
        <v>0</v>
      </c>
    </row>
    <row r="139" spans="8:21" ht="15.45" customHeight="1" x14ac:dyDescent="0.3">
      <c r="H139" s="319" t="s">
        <v>73</v>
      </c>
      <c r="I139" s="210" t="s">
        <v>378</v>
      </c>
      <c r="J139" s="112" t="s">
        <v>379</v>
      </c>
      <c r="K139" s="166">
        <v>6046338</v>
      </c>
      <c r="L139" s="166"/>
      <c r="M139" s="228">
        <f t="shared" si="22"/>
        <v>6046338</v>
      </c>
      <c r="N139" s="194">
        <f t="shared" si="23"/>
        <v>0</v>
      </c>
      <c r="O139" s="228"/>
      <c r="P139" s="229"/>
      <c r="Q139" s="107">
        <f t="shared" si="20"/>
        <v>6046338</v>
      </c>
      <c r="R139" s="253">
        <f t="shared" si="21"/>
        <v>0</v>
      </c>
    </row>
    <row r="140" spans="8:21" ht="15.45" customHeight="1" x14ac:dyDescent="0.3">
      <c r="H140" s="319" t="s">
        <v>77</v>
      </c>
      <c r="I140" s="210" t="s">
        <v>380</v>
      </c>
      <c r="J140" s="112" t="s">
        <v>381</v>
      </c>
      <c r="K140" s="166">
        <v>7896846</v>
      </c>
      <c r="L140" s="166">
        <v>4749648</v>
      </c>
      <c r="M140" s="228">
        <f t="shared" si="22"/>
        <v>3147198</v>
      </c>
      <c r="N140" s="194">
        <f t="shared" si="23"/>
        <v>0</v>
      </c>
      <c r="O140" s="228"/>
      <c r="P140" s="229"/>
      <c r="Q140" s="107">
        <f t="shared" si="20"/>
        <v>3147198</v>
      </c>
      <c r="R140" s="253">
        <f t="shared" si="21"/>
        <v>0</v>
      </c>
    </row>
    <row r="141" spans="8:21" ht="15.45" customHeight="1" x14ac:dyDescent="0.3">
      <c r="H141" s="320" t="s">
        <v>382</v>
      </c>
      <c r="I141" s="210" t="s">
        <v>383</v>
      </c>
      <c r="J141" s="154" t="s">
        <v>384</v>
      </c>
      <c r="K141" s="166"/>
      <c r="L141" s="166"/>
      <c r="M141" s="228">
        <f t="shared" si="22"/>
        <v>0</v>
      </c>
      <c r="N141" s="194">
        <f t="shared" si="23"/>
        <v>0</v>
      </c>
      <c r="P141" s="229"/>
      <c r="Q141" s="107">
        <f t="shared" si="20"/>
        <v>0</v>
      </c>
      <c r="R141" s="253">
        <f t="shared" si="21"/>
        <v>0</v>
      </c>
    </row>
    <row r="142" spans="8:21" ht="15.45" customHeight="1" x14ac:dyDescent="0.3">
      <c r="H142" s="320" t="s">
        <v>385</v>
      </c>
      <c r="I142" s="210" t="s">
        <v>386</v>
      </c>
      <c r="J142" s="154" t="s">
        <v>387</v>
      </c>
      <c r="K142" s="166"/>
      <c r="L142" s="166"/>
      <c r="M142" s="228">
        <f t="shared" si="22"/>
        <v>0</v>
      </c>
      <c r="N142" s="194">
        <f t="shared" si="23"/>
        <v>0</v>
      </c>
      <c r="P142" s="229"/>
      <c r="Q142" s="107">
        <f t="shared" si="20"/>
        <v>0</v>
      </c>
      <c r="R142" s="253">
        <f t="shared" si="21"/>
        <v>0</v>
      </c>
    </row>
    <row r="143" spans="8:21" ht="15.45" customHeight="1" x14ac:dyDescent="0.3">
      <c r="H143" s="320" t="s">
        <v>80</v>
      </c>
      <c r="I143" s="210" t="s">
        <v>388</v>
      </c>
      <c r="J143" s="154" t="s">
        <v>389</v>
      </c>
      <c r="K143" s="166">
        <v>4420760</v>
      </c>
      <c r="L143" s="166"/>
      <c r="M143" s="228">
        <f t="shared" si="22"/>
        <v>4420760</v>
      </c>
      <c r="N143" s="194">
        <f t="shared" si="23"/>
        <v>0</v>
      </c>
      <c r="P143" s="229"/>
      <c r="Q143" s="107">
        <f t="shared" si="20"/>
        <v>4420760</v>
      </c>
      <c r="R143" s="253">
        <f t="shared" si="21"/>
        <v>0</v>
      </c>
    </row>
    <row r="144" spans="8:21" ht="15.45" customHeight="1" x14ac:dyDescent="0.3">
      <c r="H144" s="320" t="s">
        <v>84</v>
      </c>
      <c r="I144" s="210" t="s">
        <v>390</v>
      </c>
      <c r="J144" s="112" t="s">
        <v>391</v>
      </c>
      <c r="K144" s="166">
        <v>6885949</v>
      </c>
      <c r="L144" s="166"/>
      <c r="M144" s="228">
        <f t="shared" si="22"/>
        <v>6885949</v>
      </c>
      <c r="N144" s="194">
        <f t="shared" si="23"/>
        <v>0</v>
      </c>
      <c r="P144" s="229"/>
      <c r="Q144" s="107">
        <f t="shared" si="20"/>
        <v>6885949</v>
      </c>
      <c r="R144" s="253">
        <f t="shared" si="21"/>
        <v>0</v>
      </c>
    </row>
    <row r="145" spans="4:18" ht="15.45" customHeight="1" x14ac:dyDescent="0.3">
      <c r="D145" s="151"/>
      <c r="E145" s="98"/>
      <c r="H145" s="320" t="s">
        <v>88</v>
      </c>
      <c r="I145" s="210" t="s">
        <v>392</v>
      </c>
      <c r="J145" s="112" t="s">
        <v>393</v>
      </c>
      <c r="K145" s="166">
        <v>1222058.72</v>
      </c>
      <c r="L145" s="166"/>
      <c r="M145" s="228">
        <f t="shared" si="22"/>
        <v>1222058.72</v>
      </c>
      <c r="N145" s="194">
        <f t="shared" si="23"/>
        <v>0</v>
      </c>
      <c r="P145" s="229"/>
      <c r="Q145" s="107">
        <f t="shared" si="20"/>
        <v>1222058.72</v>
      </c>
      <c r="R145" s="253">
        <f t="shared" si="21"/>
        <v>0</v>
      </c>
    </row>
    <row r="146" spans="4:18" ht="15.45" customHeight="1" x14ac:dyDescent="0.3">
      <c r="D146" s="151"/>
      <c r="E146" s="98"/>
      <c r="H146" s="320" t="s">
        <v>394</v>
      </c>
      <c r="I146" s="210" t="s">
        <v>395</v>
      </c>
      <c r="J146" s="112" t="s">
        <v>381</v>
      </c>
      <c r="K146" s="166"/>
      <c r="L146" s="166"/>
      <c r="M146" s="228">
        <f t="shared" si="22"/>
        <v>0</v>
      </c>
      <c r="N146" s="194">
        <f t="shared" si="23"/>
        <v>0</v>
      </c>
      <c r="P146" s="229"/>
      <c r="Q146" s="107">
        <f t="shared" si="20"/>
        <v>0</v>
      </c>
      <c r="R146" s="253">
        <f t="shared" si="21"/>
        <v>0</v>
      </c>
    </row>
    <row r="147" spans="4:18" ht="15.45" customHeight="1" x14ac:dyDescent="0.3">
      <c r="D147" s="151"/>
      <c r="E147" s="98"/>
      <c r="H147" s="320" t="s">
        <v>396</v>
      </c>
      <c r="I147" s="210" t="s">
        <v>397</v>
      </c>
      <c r="J147" s="112" t="s">
        <v>381</v>
      </c>
      <c r="K147" s="166"/>
      <c r="L147" s="166"/>
      <c r="M147" s="228">
        <f t="shared" si="22"/>
        <v>0</v>
      </c>
      <c r="N147" s="194">
        <f t="shared" si="23"/>
        <v>0</v>
      </c>
      <c r="P147" s="229"/>
      <c r="Q147" s="107">
        <f t="shared" si="20"/>
        <v>0</v>
      </c>
      <c r="R147" s="253">
        <f t="shared" si="21"/>
        <v>0</v>
      </c>
    </row>
    <row r="148" spans="4:18" ht="17.399999999999999" customHeight="1" x14ac:dyDescent="0.3">
      <c r="D148" s="151"/>
      <c r="E148" s="98"/>
      <c r="H148" s="320" t="s">
        <v>398</v>
      </c>
      <c r="I148" s="210" t="s">
        <v>399</v>
      </c>
      <c r="J148" s="112" t="s">
        <v>400</v>
      </c>
      <c r="K148" s="166"/>
      <c r="L148" s="166"/>
      <c r="M148" s="228">
        <f t="shared" si="22"/>
        <v>0</v>
      </c>
      <c r="N148" s="194">
        <f t="shared" si="23"/>
        <v>0</v>
      </c>
      <c r="P148" s="229"/>
      <c r="Q148" s="107">
        <f t="shared" si="20"/>
        <v>0</v>
      </c>
      <c r="R148" s="253">
        <f t="shared" si="21"/>
        <v>0</v>
      </c>
    </row>
    <row r="149" spans="4:18" ht="15.45" customHeight="1" x14ac:dyDescent="0.3">
      <c r="D149" s="151"/>
      <c r="E149" s="98"/>
      <c r="H149" s="320" t="s">
        <v>401</v>
      </c>
      <c r="I149" s="210" t="s">
        <v>402</v>
      </c>
      <c r="J149" s="112" t="s">
        <v>403</v>
      </c>
      <c r="K149" s="166"/>
      <c r="L149" s="166"/>
      <c r="M149" s="228">
        <f t="shared" si="22"/>
        <v>0</v>
      </c>
      <c r="N149" s="194">
        <f t="shared" si="23"/>
        <v>0</v>
      </c>
      <c r="P149" s="229"/>
      <c r="Q149" s="107">
        <f t="shared" si="20"/>
        <v>0</v>
      </c>
      <c r="R149" s="253">
        <f t="shared" si="21"/>
        <v>0</v>
      </c>
    </row>
    <row r="150" spans="4:18" ht="15.45" customHeight="1" x14ac:dyDescent="0.3">
      <c r="D150" s="151"/>
      <c r="E150" s="98"/>
      <c r="H150" s="319" t="s">
        <v>92</v>
      </c>
      <c r="I150" s="210" t="s">
        <v>404</v>
      </c>
      <c r="J150" s="112" t="s">
        <v>405</v>
      </c>
      <c r="K150" s="166">
        <v>5792436</v>
      </c>
      <c r="L150" s="166"/>
      <c r="M150" s="228">
        <f t="shared" si="22"/>
        <v>5792436</v>
      </c>
      <c r="N150" s="194">
        <f t="shared" si="23"/>
        <v>0</v>
      </c>
      <c r="O150" s="228"/>
      <c r="P150" s="229"/>
      <c r="Q150" s="107">
        <f t="shared" si="20"/>
        <v>5792436</v>
      </c>
      <c r="R150" s="253">
        <f t="shared" si="21"/>
        <v>0</v>
      </c>
    </row>
    <row r="151" spans="4:18" ht="15" customHeight="1" x14ac:dyDescent="0.3">
      <c r="D151" s="151"/>
      <c r="E151" s="98"/>
      <c r="H151" s="442" t="s">
        <v>406</v>
      </c>
      <c r="I151" s="441" t="s">
        <v>407</v>
      </c>
      <c r="J151" s="220" t="s">
        <v>408</v>
      </c>
      <c r="K151" s="166"/>
      <c r="L151" s="166"/>
      <c r="M151" s="228">
        <f t="shared" si="22"/>
        <v>0</v>
      </c>
      <c r="N151" s="194">
        <f t="shared" si="23"/>
        <v>0</v>
      </c>
      <c r="O151" s="228"/>
      <c r="P151" s="229"/>
      <c r="Q151" s="107">
        <f t="shared" si="20"/>
        <v>0</v>
      </c>
      <c r="R151" s="253">
        <f t="shared" si="21"/>
        <v>0</v>
      </c>
    </row>
    <row r="152" spans="4:18" ht="15.45" customHeight="1" x14ac:dyDescent="0.3">
      <c r="D152" s="151"/>
      <c r="E152" s="98"/>
      <c r="H152" s="274" t="s">
        <v>409</v>
      </c>
      <c r="I152" s="210" t="s">
        <v>410</v>
      </c>
      <c r="J152" s="112" t="s">
        <v>411</v>
      </c>
      <c r="K152" s="166"/>
      <c r="L152" s="166"/>
      <c r="M152" s="228">
        <f t="shared" si="22"/>
        <v>0</v>
      </c>
      <c r="N152" s="194">
        <f t="shared" si="23"/>
        <v>0</v>
      </c>
      <c r="O152" s="228"/>
      <c r="P152" s="229"/>
      <c r="Q152" s="107">
        <f t="shared" si="20"/>
        <v>0</v>
      </c>
      <c r="R152" s="253">
        <f t="shared" si="21"/>
        <v>0</v>
      </c>
    </row>
    <row r="153" spans="4:18" ht="15.45" customHeight="1" x14ac:dyDescent="0.3">
      <c r="D153" s="151"/>
      <c r="E153" s="98"/>
      <c r="H153" s="274" t="s">
        <v>412</v>
      </c>
      <c r="I153" s="210" t="s">
        <v>413</v>
      </c>
      <c r="J153" s="112" t="s">
        <v>414</v>
      </c>
      <c r="K153" s="166"/>
      <c r="L153" s="166"/>
      <c r="M153" s="228">
        <f t="shared" si="22"/>
        <v>0</v>
      </c>
      <c r="N153" s="194">
        <f t="shared" si="23"/>
        <v>0</v>
      </c>
      <c r="O153" s="228"/>
      <c r="P153" s="229"/>
      <c r="Q153" s="107">
        <f t="shared" si="20"/>
        <v>0</v>
      </c>
      <c r="R153" s="253">
        <f t="shared" si="21"/>
        <v>0</v>
      </c>
    </row>
    <row r="154" spans="4:18" ht="15.45" customHeight="1" x14ac:dyDescent="0.3">
      <c r="D154" s="151"/>
      <c r="E154" s="98"/>
      <c r="H154" s="274" t="s">
        <v>415</v>
      </c>
      <c r="I154" s="210" t="s">
        <v>416</v>
      </c>
      <c r="J154" s="112" t="s">
        <v>417</v>
      </c>
      <c r="K154" s="166"/>
      <c r="L154" s="166"/>
      <c r="M154" s="228">
        <f t="shared" si="22"/>
        <v>0</v>
      </c>
      <c r="N154" s="194">
        <f t="shared" si="23"/>
        <v>0</v>
      </c>
      <c r="O154" s="228"/>
      <c r="P154" s="229"/>
      <c r="Q154" s="107">
        <f t="shared" si="20"/>
        <v>0</v>
      </c>
      <c r="R154" s="253">
        <f t="shared" si="21"/>
        <v>0</v>
      </c>
    </row>
    <row r="155" spans="4:18" ht="15.45" customHeight="1" x14ac:dyDescent="0.3">
      <c r="D155" s="151"/>
      <c r="E155" s="98"/>
      <c r="H155" s="274" t="s">
        <v>418</v>
      </c>
      <c r="I155" s="210" t="s">
        <v>419</v>
      </c>
      <c r="J155" s="113" t="s">
        <v>420</v>
      </c>
      <c r="K155" s="166"/>
      <c r="L155" s="166"/>
      <c r="M155" s="228">
        <f t="shared" si="22"/>
        <v>0</v>
      </c>
      <c r="N155" s="194">
        <f t="shared" si="23"/>
        <v>0</v>
      </c>
      <c r="O155" s="228"/>
      <c r="P155" s="229"/>
      <c r="Q155" s="107">
        <f t="shared" si="20"/>
        <v>0</v>
      </c>
      <c r="R155" s="253">
        <f t="shared" si="21"/>
        <v>0</v>
      </c>
    </row>
    <row r="156" spans="4:18" ht="15.45" customHeight="1" x14ac:dyDescent="0.3">
      <c r="D156" s="151"/>
      <c r="E156" s="98"/>
      <c r="H156" s="274" t="s">
        <v>421</v>
      </c>
      <c r="I156" s="209" t="s">
        <v>422</v>
      </c>
      <c r="J156" s="113" t="s">
        <v>423</v>
      </c>
      <c r="K156" s="166"/>
      <c r="L156" s="166"/>
      <c r="M156" s="228">
        <f t="shared" si="22"/>
        <v>0</v>
      </c>
      <c r="N156" s="194">
        <f t="shared" si="23"/>
        <v>0</v>
      </c>
      <c r="O156" s="228"/>
      <c r="P156" s="229"/>
      <c r="Q156" s="107">
        <f t="shared" si="20"/>
        <v>0</v>
      </c>
      <c r="R156" s="253">
        <f t="shared" si="21"/>
        <v>0</v>
      </c>
    </row>
    <row r="157" spans="4:18" ht="15.45" customHeight="1" x14ac:dyDescent="0.3">
      <c r="D157" s="151"/>
      <c r="E157" s="98"/>
      <c r="H157" s="274" t="s">
        <v>424</v>
      </c>
      <c r="I157" s="209" t="s">
        <v>425</v>
      </c>
      <c r="J157" s="113" t="s">
        <v>426</v>
      </c>
      <c r="K157" s="166"/>
      <c r="L157" s="166"/>
      <c r="M157" s="228">
        <f t="shared" si="22"/>
        <v>0</v>
      </c>
      <c r="N157" s="194">
        <f t="shared" si="23"/>
        <v>0</v>
      </c>
      <c r="O157" s="228"/>
      <c r="P157" s="229"/>
      <c r="Q157" s="107">
        <f t="shared" si="20"/>
        <v>0</v>
      </c>
      <c r="R157" s="253">
        <f t="shared" si="21"/>
        <v>0</v>
      </c>
    </row>
    <row r="158" spans="4:18" ht="15.45" customHeight="1" x14ac:dyDescent="0.3">
      <c r="D158" s="151"/>
      <c r="E158" s="98"/>
      <c r="H158" s="274" t="s">
        <v>427</v>
      </c>
      <c r="I158" s="209" t="s">
        <v>428</v>
      </c>
      <c r="J158" s="113" t="s">
        <v>429</v>
      </c>
      <c r="K158" s="166"/>
      <c r="L158" s="166"/>
      <c r="M158" s="228">
        <f t="shared" si="22"/>
        <v>0</v>
      </c>
      <c r="N158" s="194">
        <f t="shared" si="23"/>
        <v>0</v>
      </c>
      <c r="O158" s="228"/>
      <c r="P158" s="229"/>
      <c r="Q158" s="107">
        <f t="shared" si="20"/>
        <v>0</v>
      </c>
      <c r="R158" s="253">
        <f t="shared" si="21"/>
        <v>0</v>
      </c>
    </row>
    <row r="159" spans="4:18" ht="15.45" customHeight="1" x14ac:dyDescent="0.3">
      <c r="D159" s="151"/>
      <c r="E159" s="98"/>
      <c r="H159" s="274" t="s">
        <v>430</v>
      </c>
      <c r="I159" s="209" t="s">
        <v>431</v>
      </c>
      <c r="J159" s="113" t="s">
        <v>432</v>
      </c>
      <c r="K159" s="166"/>
      <c r="L159" s="166"/>
      <c r="M159" s="228">
        <f t="shared" si="22"/>
        <v>0</v>
      </c>
      <c r="N159" s="194">
        <f t="shared" si="23"/>
        <v>0</v>
      </c>
      <c r="O159" s="228"/>
      <c r="P159" s="229"/>
      <c r="Q159" s="107">
        <f t="shared" si="20"/>
        <v>0</v>
      </c>
      <c r="R159" s="253">
        <f t="shared" si="21"/>
        <v>0</v>
      </c>
    </row>
    <row r="160" spans="4:18" ht="15.45" customHeight="1" x14ac:dyDescent="0.3">
      <c r="D160" s="151"/>
      <c r="E160" s="98"/>
      <c r="H160" s="274" t="s">
        <v>433</v>
      </c>
      <c r="I160" s="209" t="s">
        <v>434</v>
      </c>
      <c r="J160" s="113" t="s">
        <v>435</v>
      </c>
      <c r="K160" s="166"/>
      <c r="L160" s="166"/>
      <c r="M160" s="228">
        <f t="shared" si="22"/>
        <v>0</v>
      </c>
      <c r="N160" s="194">
        <f t="shared" si="23"/>
        <v>0</v>
      </c>
      <c r="O160" s="228"/>
      <c r="P160" s="229"/>
      <c r="Q160" s="107">
        <f t="shared" si="20"/>
        <v>0</v>
      </c>
      <c r="R160" s="253">
        <f t="shared" si="21"/>
        <v>0</v>
      </c>
    </row>
    <row r="161" spans="4:18" ht="15.45" customHeight="1" x14ac:dyDescent="0.3">
      <c r="D161" s="151"/>
      <c r="E161" s="98"/>
      <c r="H161" s="274" t="s">
        <v>436</v>
      </c>
      <c r="I161" s="209" t="s">
        <v>437</v>
      </c>
      <c r="J161" s="113" t="s">
        <v>438</v>
      </c>
      <c r="K161" s="166"/>
      <c r="L161" s="166"/>
      <c r="M161" s="228">
        <f t="shared" si="22"/>
        <v>0</v>
      </c>
      <c r="N161" s="194">
        <f t="shared" si="23"/>
        <v>0</v>
      </c>
      <c r="O161" s="228"/>
      <c r="P161" s="229"/>
      <c r="Q161" s="107">
        <f t="shared" si="20"/>
        <v>0</v>
      </c>
      <c r="R161" s="253">
        <f t="shared" si="21"/>
        <v>0</v>
      </c>
    </row>
    <row r="162" spans="4:18" ht="15.45" customHeight="1" x14ac:dyDescent="0.3">
      <c r="D162" s="151"/>
      <c r="E162" s="98"/>
      <c r="H162" s="274" t="s">
        <v>439</v>
      </c>
      <c r="I162" s="209" t="s">
        <v>440</v>
      </c>
      <c r="J162" s="113" t="s">
        <v>441</v>
      </c>
      <c r="K162" s="166"/>
      <c r="L162" s="166"/>
      <c r="M162" s="228">
        <f t="shared" si="22"/>
        <v>0</v>
      </c>
      <c r="N162" s="194">
        <f t="shared" si="23"/>
        <v>0</v>
      </c>
      <c r="O162" s="228"/>
      <c r="P162" s="229"/>
      <c r="Q162" s="107">
        <f t="shared" si="20"/>
        <v>0</v>
      </c>
      <c r="R162" s="253">
        <f t="shared" si="21"/>
        <v>0</v>
      </c>
    </row>
    <row r="163" spans="4:18" ht="15.45" customHeight="1" x14ac:dyDescent="0.3">
      <c r="D163" s="151"/>
      <c r="E163" s="98"/>
      <c r="H163" s="274" t="s">
        <v>442</v>
      </c>
      <c r="I163" s="209" t="s">
        <v>443</v>
      </c>
      <c r="J163" s="113" t="s">
        <v>444</v>
      </c>
      <c r="K163" s="166"/>
      <c r="L163" s="166"/>
      <c r="M163" s="228"/>
      <c r="N163" s="194"/>
      <c r="O163" s="228"/>
      <c r="P163" s="229"/>
      <c r="R163" s="253"/>
    </row>
    <row r="164" spans="4:18" ht="15.45" customHeight="1" x14ac:dyDescent="0.3">
      <c r="D164" s="151"/>
      <c r="E164" s="98"/>
      <c r="H164" s="274" t="s">
        <v>445</v>
      </c>
      <c r="I164" s="209" t="s">
        <v>446</v>
      </c>
      <c r="J164" s="113" t="s">
        <v>447</v>
      </c>
      <c r="K164" s="166"/>
      <c r="L164" s="166"/>
      <c r="M164" s="228">
        <f>IF(K164&gt;L164,K164-L164,0)</f>
        <v>0</v>
      </c>
      <c r="N164" s="194">
        <f>IF(L164&gt;K164,L164-K164,0)</f>
        <v>0</v>
      </c>
      <c r="O164" s="228"/>
      <c r="P164" s="229"/>
      <c r="Q164" s="107">
        <f t="shared" ref="Q164:R166" si="24">M164</f>
        <v>0</v>
      </c>
      <c r="R164" s="253">
        <f t="shared" si="24"/>
        <v>0</v>
      </c>
    </row>
    <row r="165" spans="4:18" ht="15.45" customHeight="1" x14ac:dyDescent="0.3">
      <c r="D165" s="151"/>
      <c r="E165" s="98"/>
      <c r="H165" s="274" t="s">
        <v>448</v>
      </c>
      <c r="I165" s="209" t="s">
        <v>449</v>
      </c>
      <c r="J165" s="113" t="s">
        <v>450</v>
      </c>
      <c r="K165" s="478"/>
      <c r="L165" s="478"/>
      <c r="M165" s="228">
        <f>IF(K165&gt;L165,K165-L165,0)</f>
        <v>0</v>
      </c>
      <c r="N165" s="194">
        <f>IF(L165&gt;K165,L165-K165,0)</f>
        <v>0</v>
      </c>
      <c r="O165" s="228"/>
      <c r="P165" s="229"/>
      <c r="Q165" s="107">
        <f t="shared" si="24"/>
        <v>0</v>
      </c>
      <c r="R165" s="253">
        <f t="shared" si="24"/>
        <v>0</v>
      </c>
    </row>
    <row r="166" spans="4:18" ht="15.45" customHeight="1" x14ac:dyDescent="0.3">
      <c r="D166" s="151"/>
      <c r="E166" s="98"/>
      <c r="H166" s="274" t="s">
        <v>451</v>
      </c>
      <c r="I166" s="209" t="s">
        <v>452</v>
      </c>
      <c r="J166" s="113" t="s">
        <v>453</v>
      </c>
      <c r="K166" s="478"/>
      <c r="L166" s="478"/>
      <c r="M166" s="228">
        <f>IF(K166&gt;L166,K166-L166,0)</f>
        <v>0</v>
      </c>
      <c r="N166" s="194">
        <f>IF(L166&gt;K166,L166-K166,0)</f>
        <v>0</v>
      </c>
      <c r="O166" s="228"/>
      <c r="P166" s="229"/>
      <c r="Q166" s="107">
        <f t="shared" si="24"/>
        <v>0</v>
      </c>
      <c r="R166" s="253">
        <f t="shared" si="24"/>
        <v>0</v>
      </c>
    </row>
    <row r="167" spans="4:18" ht="15.45" customHeight="1" x14ac:dyDescent="0.3">
      <c r="D167" s="151"/>
      <c r="E167" s="98"/>
      <c r="H167" s="274"/>
      <c r="I167" s="209" t="s">
        <v>454</v>
      </c>
      <c r="J167" s="116" t="s">
        <v>455</v>
      </c>
      <c r="K167" s="481">
        <f t="shared" ref="K167:P167" si="25">SUM(K8:K166)</f>
        <v>183320909.72</v>
      </c>
      <c r="L167" s="481">
        <f t="shared" si="25"/>
        <v>183320236.03</v>
      </c>
      <c r="M167" s="241">
        <f t="shared" si="25"/>
        <v>67088745.140000001</v>
      </c>
      <c r="N167" s="415">
        <f t="shared" si="25"/>
        <v>67088071.450000003</v>
      </c>
      <c r="O167" s="415">
        <f t="shared" si="25"/>
        <v>39574005.420000002</v>
      </c>
      <c r="P167" s="415">
        <f t="shared" si="25"/>
        <v>32891540.449999999</v>
      </c>
      <c r="Q167" s="256">
        <f>SUM(Q9:Q166)</f>
        <v>27514739.719999999</v>
      </c>
      <c r="R167" s="416">
        <f>SUM(R9:R166)</f>
        <v>34196531</v>
      </c>
    </row>
    <row r="168" spans="4:18" ht="15.45" customHeight="1" x14ac:dyDescent="0.3">
      <c r="D168" s="151"/>
      <c r="E168" s="98"/>
      <c r="H168" s="277"/>
      <c r="I168" s="213"/>
      <c r="J168" s="117" t="s">
        <v>456</v>
      </c>
      <c r="K168" s="482"/>
      <c r="L168" s="483"/>
      <c r="M168" s="241"/>
      <c r="N168" s="242"/>
      <c r="O168" s="243">
        <f>IF(O167&gt;P167,0,P167-O167)</f>
        <v>0</v>
      </c>
      <c r="P168" s="242">
        <f>IF(P167&gt;O167,0,O167-P167)</f>
        <v>6682464.9700000025</v>
      </c>
      <c r="Q168" s="256">
        <f>IF(Q167&gt;R167,0,R167-Q167)</f>
        <v>6681791.2800000012</v>
      </c>
      <c r="R168" s="257">
        <f>IF(R167&gt;Q167,0,Q167-R167)</f>
        <v>0</v>
      </c>
    </row>
    <row r="169" spans="4:18" ht="16.2" customHeight="1" thickBot="1" x14ac:dyDescent="0.35">
      <c r="D169" s="151"/>
      <c r="E169" s="98"/>
      <c r="H169" s="270"/>
      <c r="I169" s="214"/>
      <c r="J169" s="125" t="s">
        <v>457</v>
      </c>
      <c r="K169" s="484">
        <f>SUM(K8:K166)</f>
        <v>183320909.72</v>
      </c>
      <c r="L169" s="484">
        <f>SUM(L8:L166)</f>
        <v>183320236.03</v>
      </c>
      <c r="M169" s="244">
        <f t="shared" ref="M169:R169" si="26">M167+M168</f>
        <v>67088745.140000001</v>
      </c>
      <c r="N169" s="245">
        <f t="shared" si="26"/>
        <v>67088071.450000003</v>
      </c>
      <c r="O169" s="244">
        <f t="shared" si="26"/>
        <v>39574005.420000002</v>
      </c>
      <c r="P169" s="245">
        <f t="shared" si="26"/>
        <v>39574005.420000002</v>
      </c>
      <c r="Q169" s="258">
        <f t="shared" si="26"/>
        <v>34196531</v>
      </c>
      <c r="R169" s="259">
        <f t="shared" si="26"/>
        <v>34196531</v>
      </c>
    </row>
    <row r="170" spans="4:18" ht="16.2" customHeight="1" thickBot="1" x14ac:dyDescent="0.35">
      <c r="D170" s="151"/>
      <c r="E170" s="98"/>
      <c r="I170" s="215"/>
      <c r="K170" s="477"/>
      <c r="L170" s="485">
        <f>K169-L169</f>
        <v>673.68999999761581</v>
      </c>
      <c r="N170" s="246">
        <f>M169-N169</f>
        <v>673.68999999761581</v>
      </c>
    </row>
  </sheetData>
  <mergeCells count="14">
    <mergeCell ref="P3:P4"/>
    <mergeCell ref="R3:R4"/>
    <mergeCell ref="Q3:Q4"/>
    <mergeCell ref="K2:R2"/>
    <mergeCell ref="I3:I4"/>
    <mergeCell ref="J3:J4"/>
    <mergeCell ref="O3:O4"/>
    <mergeCell ref="K3:K4"/>
    <mergeCell ref="L3:L4"/>
    <mergeCell ref="G3:G4"/>
    <mergeCell ref="M3:M4"/>
    <mergeCell ref="N3:N4"/>
    <mergeCell ref="H3:H4"/>
    <mergeCell ref="I131:J131"/>
  </mergeCells>
  <pageMargins left="0.23622047244094491" right="0.23622047244094491" top="0.74803149606299213" bottom="0.74803149606299213" header="0.31496062992125978" footer="0.31496062992125978"/>
  <pageSetup scale="52" fitToHeight="2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ciado">
    <pageSetUpPr fitToPage="1"/>
  </sheetPr>
  <dimension ref="A1:P54"/>
  <sheetViews>
    <sheetView showGridLines="0" zoomScale="72" zoomScaleNormal="72" workbookViewId="0">
      <selection activeCell="R18" sqref="R18"/>
    </sheetView>
  </sheetViews>
  <sheetFormatPr baseColWidth="10" defaultColWidth="11.33203125" defaultRowHeight="15.6" x14ac:dyDescent="0.3"/>
  <cols>
    <col min="1" max="1" width="5.33203125" style="73" customWidth="1"/>
    <col min="2" max="2" width="39.6640625" style="5" customWidth="1"/>
    <col min="3" max="3" width="14" style="67" bestFit="1" customWidth="1"/>
    <col min="4" max="4" width="12.5546875" style="67" hidden="1" customWidth="1"/>
    <col min="5" max="5" width="3.6640625" style="5" customWidth="1"/>
    <col min="6" max="6" width="5.5546875" style="73" customWidth="1"/>
    <col min="7" max="7" width="40.33203125" style="67" customWidth="1"/>
    <col min="8" max="8" width="15.88671875" style="67" bestFit="1" customWidth="1"/>
    <col min="9" max="9" width="3.6640625" style="5" customWidth="1"/>
    <col min="10" max="10" width="6.33203125" style="67" customWidth="1"/>
    <col min="11" max="11" width="38" style="5" customWidth="1"/>
    <col min="12" max="12" width="18.33203125" style="67" customWidth="1"/>
    <col min="13" max="13" width="11.6640625" style="67" hidden="1" customWidth="1"/>
    <col min="14" max="14" width="11.6640625" style="5" customWidth="1"/>
    <col min="15" max="15" width="14.6640625" style="5" customWidth="1"/>
    <col min="16" max="18" width="11.33203125" style="5" customWidth="1"/>
    <col min="19" max="16384" width="11.33203125" style="5"/>
  </cols>
  <sheetData>
    <row r="1" spans="1:16" ht="16.2" customHeight="1" thickBot="1" x14ac:dyDescent="0.35">
      <c r="C1" s="434">
        <f>'Ficha Financiera'!D4</f>
        <v>45846</v>
      </c>
      <c r="H1" s="434">
        <f>C1</f>
        <v>45846</v>
      </c>
      <c r="L1" s="434">
        <f>C1</f>
        <v>45846</v>
      </c>
      <c r="N1" s="344" t="s">
        <v>458</v>
      </c>
      <c r="O1" s="340" t="s">
        <v>459</v>
      </c>
      <c r="P1" s="440"/>
    </row>
    <row r="2" spans="1:16" ht="16.2" customHeight="1" thickBot="1" x14ac:dyDescent="0.35">
      <c r="A2" s="1">
        <v>5</v>
      </c>
      <c r="B2" s="2" t="s">
        <v>460</v>
      </c>
      <c r="C2" s="3">
        <f>balance!O8-balance!P8</f>
        <v>5541063.4200000018</v>
      </c>
      <c r="D2" s="4" t="e">
        <f>C2*#REF!</f>
        <v>#REF!</v>
      </c>
      <c r="F2" s="6">
        <v>135</v>
      </c>
      <c r="G2" s="7" t="s">
        <v>461</v>
      </c>
      <c r="H2" s="8">
        <f>balance!P78-balance!O78</f>
        <v>0</v>
      </c>
      <c r="J2" s="126">
        <v>310</v>
      </c>
      <c r="K2" s="127" t="s">
        <v>462</v>
      </c>
      <c r="L2" s="128">
        <f>balance!R135+balance!R136-balance!Q137</f>
        <v>34196531</v>
      </c>
      <c r="M2" s="335" t="e">
        <f>L2*#REF!</f>
        <v>#REF!</v>
      </c>
      <c r="N2" s="341">
        <v>1</v>
      </c>
    </row>
    <row r="3" spans="1:16" ht="16.2" customHeight="1" thickBot="1" x14ac:dyDescent="0.35">
      <c r="A3" s="582">
        <v>10</v>
      </c>
      <c r="B3" s="587" t="s">
        <v>463</v>
      </c>
      <c r="C3" s="584">
        <f>SUM(C4:C8)</f>
        <v>0</v>
      </c>
      <c r="D3" s="12" t="e">
        <f>SUM(D4:D8)</f>
        <v>#REF!</v>
      </c>
      <c r="F3" s="13">
        <v>145</v>
      </c>
      <c r="G3" s="14" t="s">
        <v>464</v>
      </c>
      <c r="H3" s="15"/>
      <c r="J3" s="129">
        <v>315</v>
      </c>
      <c r="K3" s="130" t="s">
        <v>465</v>
      </c>
      <c r="L3" s="131">
        <f>balance!Q139+balance!Q142-balance!R138</f>
        <v>6046338</v>
      </c>
      <c r="M3" s="336" t="e">
        <f>L3*#REF!</f>
        <v>#REF!</v>
      </c>
      <c r="N3" s="342">
        <f>L3/L2</f>
        <v>0.1768114432425909</v>
      </c>
      <c r="O3" s="436">
        <f>L2/L3</f>
        <v>5.6557425337452187</v>
      </c>
      <c r="P3" s="159">
        <f>N3</f>
        <v>0.1768114432425909</v>
      </c>
    </row>
    <row r="4" spans="1:16" ht="16.2" customHeight="1" thickBot="1" x14ac:dyDescent="0.35">
      <c r="A4" s="580">
        <v>11</v>
      </c>
      <c r="B4" s="332" t="s">
        <v>466</v>
      </c>
      <c r="C4" s="49">
        <f>balance!O9-balance!P9</f>
        <v>0</v>
      </c>
      <c r="D4" s="22" t="e">
        <f>C4*#REF!</f>
        <v>#REF!</v>
      </c>
      <c r="F4" s="13">
        <v>147</v>
      </c>
      <c r="G4" s="14" t="s">
        <v>467</v>
      </c>
      <c r="H4" s="15"/>
      <c r="J4" s="23">
        <v>320</v>
      </c>
      <c r="K4" s="359" t="s">
        <v>468</v>
      </c>
      <c r="L4" s="11">
        <f>L2-L3</f>
        <v>28150193</v>
      </c>
      <c r="M4" s="337" t="e">
        <f>M2-M3</f>
        <v>#REF!</v>
      </c>
      <c r="N4" s="343">
        <f t="shared" ref="N4:N13" si="0">L4/$L$2</f>
        <v>0.8231885567574091</v>
      </c>
    </row>
    <row r="5" spans="1:16" ht="16.2" customHeight="1" thickBot="1" x14ac:dyDescent="0.35">
      <c r="A5" s="581">
        <v>12</v>
      </c>
      <c r="B5" s="332" t="s">
        <v>469</v>
      </c>
      <c r="C5" s="49">
        <f>balance!O10-balance!P10</f>
        <v>0</v>
      </c>
      <c r="D5" s="16" t="e">
        <f>C5*#REF!</f>
        <v>#REF!</v>
      </c>
      <c r="F5" s="26">
        <v>150</v>
      </c>
      <c r="G5" s="27" t="s">
        <v>470</v>
      </c>
      <c r="H5" s="17">
        <f>balance!P89+balance!P84+balance!P85+balance!P86+balance!P87+balance!P88 - (balance!O89+balance!O84+balance!O85+balance!O86+balance!O87+balance!O88)</f>
        <v>0</v>
      </c>
      <c r="J5" s="358">
        <v>324</v>
      </c>
      <c r="K5" s="360" t="s">
        <v>471</v>
      </c>
      <c r="L5" s="21">
        <f>balance!Q140</f>
        <v>3147198</v>
      </c>
      <c r="M5" s="338" t="e">
        <f>L6*#REF!</f>
        <v>#REF!</v>
      </c>
      <c r="N5" s="342">
        <f t="shared" si="0"/>
        <v>9.2032668459850503E-2</v>
      </c>
      <c r="P5" s="159">
        <f>N5</f>
        <v>9.2032668459850503E-2</v>
      </c>
    </row>
    <row r="6" spans="1:16" ht="16.2" customHeight="1" thickBot="1" x14ac:dyDescent="0.35">
      <c r="A6" s="581">
        <v>13</v>
      </c>
      <c r="B6" s="332" t="s">
        <v>472</v>
      </c>
      <c r="C6" s="49"/>
      <c r="D6" s="16" t="e">
        <f>C6*#REF!</f>
        <v>#REF!</v>
      </c>
      <c r="F6" s="582">
        <v>155</v>
      </c>
      <c r="G6" s="598" t="s">
        <v>473</v>
      </c>
      <c r="H6" s="584">
        <f>SUM(H7:H8)</f>
        <v>0</v>
      </c>
      <c r="J6" s="28">
        <v>325</v>
      </c>
      <c r="K6" s="29" t="s">
        <v>474</v>
      </c>
      <c r="L6" s="21">
        <f>balance!Q143</f>
        <v>4420760</v>
      </c>
      <c r="M6" s="339"/>
      <c r="N6" s="342">
        <f t="shared" si="0"/>
        <v>0.12927510103290887</v>
      </c>
      <c r="P6" s="159">
        <f>N6</f>
        <v>0.12927510103290887</v>
      </c>
    </row>
    <row r="7" spans="1:16" x14ac:dyDescent="0.3">
      <c r="A7" s="581">
        <v>14</v>
      </c>
      <c r="B7" s="332" t="s">
        <v>475</v>
      </c>
      <c r="C7" s="49">
        <f>balance!O11-balance!P11</f>
        <v>0</v>
      </c>
      <c r="D7" s="16" t="e">
        <f>C7*#REF!</f>
        <v>#REF!</v>
      </c>
      <c r="F7" s="580">
        <v>156</v>
      </c>
      <c r="G7" s="599" t="s">
        <v>476</v>
      </c>
      <c r="H7" s="49"/>
      <c r="J7" s="331">
        <v>326</v>
      </c>
      <c r="K7" s="332" t="s">
        <v>477</v>
      </c>
      <c r="L7" s="333">
        <f>balance!Q144+balance!Q145+balance!Q146+balance!Q147+balance!Q148+balance!Q149</f>
        <v>8108007.7199999997</v>
      </c>
      <c r="M7" s="339"/>
      <c r="N7" s="342">
        <f t="shared" si="0"/>
        <v>0.23710029885779935</v>
      </c>
      <c r="P7" s="159">
        <f>N7</f>
        <v>0.23710029885779935</v>
      </c>
    </row>
    <row r="8" spans="1:16" ht="16.2" customHeight="1" thickBot="1" x14ac:dyDescent="0.35">
      <c r="A8" s="583">
        <v>15</v>
      </c>
      <c r="B8" s="29" t="s">
        <v>478</v>
      </c>
      <c r="C8" s="585"/>
      <c r="D8" s="18" t="e">
        <f>C8*#REF!</f>
        <v>#REF!</v>
      </c>
      <c r="F8" s="581">
        <v>157</v>
      </c>
      <c r="G8" s="599" t="s">
        <v>479</v>
      </c>
      <c r="H8" s="49"/>
      <c r="J8" s="331">
        <v>327</v>
      </c>
      <c r="K8" s="332" t="s">
        <v>480</v>
      </c>
      <c r="L8" s="333">
        <f>balance!Q141</f>
        <v>0</v>
      </c>
      <c r="M8" s="336" t="e">
        <f>L9*#REF!</f>
        <v>#REF!</v>
      </c>
      <c r="N8" s="342">
        <f t="shared" si="0"/>
        <v>0</v>
      </c>
      <c r="P8" s="159">
        <f>N8</f>
        <v>0</v>
      </c>
    </row>
    <row r="9" spans="1:16" ht="16.2" customHeight="1" thickBot="1" x14ac:dyDescent="0.35">
      <c r="A9" s="589">
        <v>20</v>
      </c>
      <c r="B9" s="588" t="s">
        <v>481</v>
      </c>
      <c r="C9" s="579">
        <f>C10+C11+C12+C13-C14</f>
        <v>1403110</v>
      </c>
      <c r="D9" s="12" t="e">
        <f>D10+D11+D12+D13-D14</f>
        <v>#REF!</v>
      </c>
      <c r="F9" s="581">
        <v>160</v>
      </c>
      <c r="G9" s="599" t="s">
        <v>482</v>
      </c>
      <c r="H9" s="49"/>
      <c r="J9" s="129">
        <v>330</v>
      </c>
      <c r="K9" s="132" t="s">
        <v>483</v>
      </c>
      <c r="L9" s="266">
        <f>balance!Q150</f>
        <v>5792436</v>
      </c>
      <c r="M9" s="337" t="e">
        <f>M4-M5-M8</f>
        <v>#REF!</v>
      </c>
      <c r="N9" s="342">
        <f t="shared" si="0"/>
        <v>0.16938665503819672</v>
      </c>
      <c r="P9" s="159">
        <f>N9</f>
        <v>0.16938665503819672</v>
      </c>
    </row>
    <row r="10" spans="1:16" ht="16.2" customHeight="1" thickBot="1" x14ac:dyDescent="0.35">
      <c r="A10" s="591">
        <v>21</v>
      </c>
      <c r="B10" s="592" t="s">
        <v>484</v>
      </c>
      <c r="C10" s="593">
        <f>balance!O16+balance!O14 -(balance!P16+balance!P14)</f>
        <v>1403110</v>
      </c>
      <c r="D10" s="22" t="e">
        <f>C10*#REF!</f>
        <v>#REF!</v>
      </c>
      <c r="F10" s="581">
        <v>165</v>
      </c>
      <c r="G10" s="599" t="s">
        <v>485</v>
      </c>
      <c r="H10" s="49">
        <f>balance!P12</f>
        <v>0</v>
      </c>
      <c r="J10" s="31">
        <v>335</v>
      </c>
      <c r="K10" s="10" t="s">
        <v>486</v>
      </c>
      <c r="L10" s="11">
        <f>L4-L5-L6-L7-L8-L9</f>
        <v>6681791.2800000012</v>
      </c>
      <c r="M10" s="22" t="e">
        <f>L11*#REF!</f>
        <v>#REF!</v>
      </c>
      <c r="N10" s="342">
        <f t="shared" si="0"/>
        <v>0.19539383336865371</v>
      </c>
    </row>
    <row r="11" spans="1:16" ht="16.2" customHeight="1" thickBot="1" x14ac:dyDescent="0.35">
      <c r="A11" s="581">
        <v>22</v>
      </c>
      <c r="B11" s="332" t="s">
        <v>487</v>
      </c>
      <c r="C11" s="49">
        <f>balance!O12+balance!O13+balance!O15 - (balance!P12+balance!P13+balance!P15)</f>
        <v>0</v>
      </c>
      <c r="D11" s="16" t="e">
        <f>C11*#REF!</f>
        <v>#REF!</v>
      </c>
      <c r="F11" s="581">
        <v>170</v>
      </c>
      <c r="G11" s="599" t="s">
        <v>488</v>
      </c>
      <c r="H11" s="49">
        <f>balance!P98-balance!O98+balance!P99+balance!P96-balance!O96-balance!O99</f>
        <v>1594858.4499999997</v>
      </c>
      <c r="J11" s="28">
        <v>340</v>
      </c>
      <c r="K11" s="133" t="s">
        <v>489</v>
      </c>
      <c r="L11" s="21"/>
      <c r="M11" s="35" t="e">
        <f>L12*#REF!</f>
        <v>#REF!</v>
      </c>
      <c r="N11" s="342">
        <f t="shared" si="0"/>
        <v>0</v>
      </c>
    </row>
    <row r="12" spans="1:16" ht="16.2" customHeight="1" thickBot="1" x14ac:dyDescent="0.35">
      <c r="A12" s="581">
        <v>23</v>
      </c>
      <c r="B12" s="332" t="s">
        <v>490</v>
      </c>
      <c r="C12" s="49"/>
      <c r="D12" s="16" t="e">
        <f>C12*#REF!</f>
        <v>#REF!</v>
      </c>
      <c r="F12" s="581">
        <v>175</v>
      </c>
      <c r="G12" s="599" t="s">
        <v>491</v>
      </c>
      <c r="H12" s="49">
        <f>balance!P94</f>
        <v>0</v>
      </c>
      <c r="J12" s="32" t="s">
        <v>492</v>
      </c>
      <c r="K12" s="33" t="s">
        <v>493</v>
      </c>
      <c r="L12" s="34">
        <f>balance!Q151</f>
        <v>0</v>
      </c>
      <c r="M12" s="39" t="e">
        <f>M9-M10-M11</f>
        <v>#REF!</v>
      </c>
      <c r="N12" s="342">
        <f t="shared" si="0"/>
        <v>0</v>
      </c>
    </row>
    <row r="13" spans="1:16" ht="16.2" customHeight="1" thickBot="1" x14ac:dyDescent="0.35">
      <c r="A13" s="581">
        <v>24</v>
      </c>
      <c r="B13" s="332" t="s">
        <v>494</v>
      </c>
      <c r="C13" s="49">
        <f>balance!O17 - balance!P17</f>
        <v>0</v>
      </c>
      <c r="D13" s="16" t="e">
        <f>C13*#REF!</f>
        <v>#REF!</v>
      </c>
      <c r="F13" s="581">
        <v>180</v>
      </c>
      <c r="G13" s="599" t="s">
        <v>495</v>
      </c>
      <c r="H13" s="49"/>
      <c r="J13" s="36">
        <v>350</v>
      </c>
      <c r="K13" s="37" t="s">
        <v>496</v>
      </c>
      <c r="L13" s="38">
        <f>L10-L11-L12</f>
        <v>6681791.2800000012</v>
      </c>
      <c r="M13" s="43" t="e">
        <f>SUM(M14:M17)</f>
        <v>#REF!</v>
      </c>
      <c r="N13" s="342">
        <f t="shared" si="0"/>
        <v>0.19539383336865371</v>
      </c>
    </row>
    <row r="14" spans="1:16" ht="16.5" customHeight="1" thickTop="1" thickBot="1" x14ac:dyDescent="0.35">
      <c r="A14" s="583">
        <v>25</v>
      </c>
      <c r="B14" s="594" t="s">
        <v>497</v>
      </c>
      <c r="C14" s="585"/>
      <c r="D14" s="18" t="e">
        <f>C14*#REF!</f>
        <v>#REF!</v>
      </c>
      <c r="F14" s="595">
        <v>185</v>
      </c>
      <c r="G14" s="30" t="s">
        <v>498</v>
      </c>
      <c r="H14" s="49">
        <f>balance!P90+balance!P91+balance!P92+balance!P93-balance!O90-balance!O91-balance!O92-balance!O93</f>
        <v>2066302</v>
      </c>
      <c r="J14" s="40">
        <v>355</v>
      </c>
      <c r="K14" s="41" t="s">
        <v>499</v>
      </c>
      <c r="L14" s="42">
        <f>SUM(L15:L18)</f>
        <v>0</v>
      </c>
      <c r="M14" s="22" t="e">
        <f>L15*#REF!</f>
        <v>#REF!</v>
      </c>
    </row>
    <row r="15" spans="1:16" ht="16.2" customHeight="1" thickBot="1" x14ac:dyDescent="0.35">
      <c r="A15" s="590">
        <v>30</v>
      </c>
      <c r="B15" s="586" t="s">
        <v>500</v>
      </c>
      <c r="C15" s="42">
        <f>SUM(C16:C17)</f>
        <v>0</v>
      </c>
      <c r="D15" s="12" t="e">
        <f>SUM(D16:D18)</f>
        <v>#REF!</v>
      </c>
      <c r="F15" s="44">
        <v>190</v>
      </c>
      <c r="G15" s="596" t="s">
        <v>501</v>
      </c>
      <c r="H15" s="597">
        <f>H2+H3+H4+H5+H6+H9+H10+H11+H12+H13+H14</f>
        <v>3661160.4499999997</v>
      </c>
      <c r="J15" s="28">
        <v>356</v>
      </c>
      <c r="K15" s="29" t="s">
        <v>502</v>
      </c>
      <c r="L15" s="21"/>
      <c r="M15" s="16" t="e">
        <f>L16*#REF!</f>
        <v>#REF!</v>
      </c>
    </row>
    <row r="16" spans="1:16" x14ac:dyDescent="0.3">
      <c r="A16" s="13">
        <v>31</v>
      </c>
      <c r="B16" s="25" t="s">
        <v>503</v>
      </c>
      <c r="C16" s="21"/>
      <c r="D16" s="22" t="e">
        <f>C16*#REF!</f>
        <v>#REF!</v>
      </c>
      <c r="F16" s="19">
        <v>195</v>
      </c>
      <c r="G16" s="30" t="s">
        <v>504</v>
      </c>
      <c r="H16" s="21"/>
      <c r="J16" s="134">
        <v>357</v>
      </c>
      <c r="K16" s="133" t="s">
        <v>505</v>
      </c>
      <c r="L16" s="135"/>
      <c r="M16" s="16" t="e">
        <f>L17*#REF!</f>
        <v>#REF!</v>
      </c>
    </row>
    <row r="17" spans="1:16" ht="16.2" customHeight="1" thickBot="1" x14ac:dyDescent="0.35">
      <c r="A17" s="13">
        <v>32</v>
      </c>
      <c r="B17" s="25" t="s">
        <v>506</v>
      </c>
      <c r="C17" s="15">
        <f>balance!O18 - balance!P18</f>
        <v>0</v>
      </c>
      <c r="D17" s="16" t="e">
        <f>C17*#REF!</f>
        <v>#REF!</v>
      </c>
      <c r="F17" s="13">
        <v>201</v>
      </c>
      <c r="G17" s="14" t="s">
        <v>507</v>
      </c>
      <c r="H17" s="15"/>
      <c r="J17" s="134">
        <v>358</v>
      </c>
      <c r="K17" s="133" t="s">
        <v>508</v>
      </c>
      <c r="L17" s="135"/>
      <c r="M17" s="18" t="e">
        <f>L18*#REF!</f>
        <v>#REF!</v>
      </c>
      <c r="O17" s="282"/>
    </row>
    <row r="18" spans="1:16" ht="16.2" customHeight="1" thickBot="1" x14ac:dyDescent="0.35">
      <c r="A18" s="13">
        <v>35</v>
      </c>
      <c r="B18" s="25" t="s">
        <v>509</v>
      </c>
      <c r="C18" s="17"/>
      <c r="D18" s="18" t="e">
        <f>C18*#REF!</f>
        <v>#REF!</v>
      </c>
      <c r="F18" s="13">
        <v>205</v>
      </c>
      <c r="G18" s="14" t="s">
        <v>510</v>
      </c>
      <c r="H18" s="15"/>
      <c r="J18" s="129">
        <v>359</v>
      </c>
      <c r="K18" s="132" t="s">
        <v>511</v>
      </c>
      <c r="L18" s="131">
        <f>balance!R158+balance!R154+balance!R159</f>
        <v>0</v>
      </c>
      <c r="M18" s="12" t="e">
        <f>SUM(M19:M22)</f>
        <v>#REF!</v>
      </c>
    </row>
    <row r="19" spans="1:16" ht="16.2" customHeight="1" thickBot="1" x14ac:dyDescent="0.35">
      <c r="A19" s="9">
        <v>40</v>
      </c>
      <c r="B19" s="10" t="s">
        <v>512</v>
      </c>
      <c r="C19" s="11">
        <f>SUM(C20:C24)</f>
        <v>16963182</v>
      </c>
      <c r="D19" s="12" t="e">
        <f>SUM(D20:D27)</f>
        <v>#REF!</v>
      </c>
      <c r="F19" s="13">
        <v>210</v>
      </c>
      <c r="G19" s="14" t="s">
        <v>513</v>
      </c>
      <c r="H19" s="49">
        <f>balance!P108+balance!P109+balance!P110+balance!P111 - (balance!O108+balance!O109+balance!O110+balance!O111)</f>
        <v>9530402</v>
      </c>
      <c r="J19" s="136">
        <v>360</v>
      </c>
      <c r="K19" s="48" t="s">
        <v>514</v>
      </c>
      <c r="L19" s="11">
        <f>SUM(L20:L23)</f>
        <v>0</v>
      </c>
      <c r="M19" s="22" t="e">
        <f>L20*#REF!</f>
        <v>#REF!</v>
      </c>
    </row>
    <row r="20" spans="1:16" x14ac:dyDescent="0.3">
      <c r="A20" s="13">
        <v>41</v>
      </c>
      <c r="B20" s="25" t="s">
        <v>515</v>
      </c>
      <c r="C20" s="21">
        <f>balance!O20+balance!O35+balance!O36+balance!O37+balance!O38+balance!O39+balance!O41+balance!O42+balance!O43+balance!O40 -( balance!P20+balance!P35+balance!P36+balance!P37+balance!P38+balance!P39+balance!P41+balance!P42+balance!P43+balance!P40)</f>
        <v>0</v>
      </c>
      <c r="D20" s="22" t="e">
        <f>C20*#REF!</f>
        <v>#REF!</v>
      </c>
      <c r="F20" s="13">
        <v>215</v>
      </c>
      <c r="G20" s="14" t="s">
        <v>516</v>
      </c>
      <c r="H20" s="15"/>
      <c r="J20" s="28">
        <v>361</v>
      </c>
      <c r="K20" s="29" t="s">
        <v>517</v>
      </c>
      <c r="L20" s="21">
        <f>balance!M160</f>
        <v>0</v>
      </c>
      <c r="M20" s="16" t="e">
        <f>L21*#REF!</f>
        <v>#REF!</v>
      </c>
    </row>
    <row r="21" spans="1:16" ht="16.2" customHeight="1" thickBot="1" x14ac:dyDescent="0.35">
      <c r="A21" s="13">
        <v>42</v>
      </c>
      <c r="B21" s="25" t="s">
        <v>518</v>
      </c>
      <c r="C21" s="15"/>
      <c r="D21" s="16" t="e">
        <f>C21*#REF!</f>
        <v>#REF!</v>
      </c>
      <c r="F21" s="26">
        <v>220</v>
      </c>
      <c r="G21" s="27" t="s">
        <v>519</v>
      </c>
      <c r="H21" s="17">
        <f>balance!P114</f>
        <v>0</v>
      </c>
      <c r="J21" s="134">
        <v>362</v>
      </c>
      <c r="K21" s="133" t="s">
        <v>520</v>
      </c>
      <c r="L21" s="135"/>
      <c r="M21" s="16" t="e">
        <f>L22*#REF!</f>
        <v>#REF!</v>
      </c>
    </row>
    <row r="22" spans="1:16" ht="16.2" customHeight="1" thickBot="1" x14ac:dyDescent="0.35">
      <c r="A22" s="13">
        <v>43</v>
      </c>
      <c r="B22" s="25" t="s">
        <v>521</v>
      </c>
      <c r="C22" s="15">
        <f>balance!O19-balance!P19</f>
        <v>16963182</v>
      </c>
      <c r="D22" s="16" t="e">
        <f>C22*#REF!</f>
        <v>#REF!</v>
      </c>
      <c r="F22" s="44">
        <v>225</v>
      </c>
      <c r="G22" s="45" t="s">
        <v>522</v>
      </c>
      <c r="H22" s="46">
        <f>SUM(H16:H21)</f>
        <v>9530402</v>
      </c>
      <c r="J22" s="134">
        <v>363</v>
      </c>
      <c r="K22" s="133" t="s">
        <v>523</v>
      </c>
      <c r="L22" s="135">
        <f>balance!Q154+balance!Q155+balance!Q161+balance!Q159</f>
        <v>0</v>
      </c>
      <c r="M22" s="18" t="e">
        <f>L23*#REF!</f>
        <v>#REF!</v>
      </c>
    </row>
    <row r="23" spans="1:16" ht="16.2" customHeight="1" thickBot="1" x14ac:dyDescent="0.35">
      <c r="A23" s="13">
        <v>44</v>
      </c>
      <c r="B23" s="25" t="s">
        <v>524</v>
      </c>
      <c r="C23" s="15"/>
      <c r="D23" s="16" t="e">
        <f>C23*#REF!</f>
        <v>#REF!</v>
      </c>
      <c r="F23" s="54"/>
      <c r="G23" s="55"/>
      <c r="H23" s="56"/>
      <c r="J23" s="129">
        <v>364</v>
      </c>
      <c r="K23" s="132" t="s">
        <v>525</v>
      </c>
      <c r="L23" s="131"/>
      <c r="M23" s="53" t="e">
        <f>M12+M13-M18</f>
        <v>#REF!</v>
      </c>
    </row>
    <row r="24" spans="1:16" ht="16.2" customHeight="1" thickBot="1" x14ac:dyDescent="0.35">
      <c r="A24" s="13">
        <v>45</v>
      </c>
      <c r="B24" s="25" t="s">
        <v>526</v>
      </c>
      <c r="C24" s="15">
        <f>balance!O33+balance!O34- (balance!P33+balance!P34)</f>
        <v>0</v>
      </c>
      <c r="D24" s="16" t="e">
        <f>C24*#REF!</f>
        <v>#REF!</v>
      </c>
      <c r="F24" s="44">
        <v>230</v>
      </c>
      <c r="G24" s="45" t="s">
        <v>527</v>
      </c>
      <c r="H24" s="46">
        <f>SUM(H22,H15)</f>
        <v>13191562.449999999</v>
      </c>
      <c r="J24" s="50">
        <v>365</v>
      </c>
      <c r="K24" s="51" t="s">
        <v>528</v>
      </c>
      <c r="L24" s="52">
        <f>L13+L14-L19</f>
        <v>6681791.2800000012</v>
      </c>
      <c r="M24" s="43" t="e">
        <f>SUM(M25:M26)</f>
        <v>#REF!</v>
      </c>
    </row>
    <row r="25" spans="1:16" ht="16.2" customHeight="1" thickBot="1" x14ac:dyDescent="0.35">
      <c r="A25" s="13">
        <v>50</v>
      </c>
      <c r="B25" s="25" t="s">
        <v>529</v>
      </c>
      <c r="C25" s="15">
        <f>balance!O55+balance!O22+balance!O44 -(balance!P55+balance!P22+balance!P44)</f>
        <v>2402475</v>
      </c>
      <c r="D25" s="16" t="e">
        <f>C25*#REF!</f>
        <v>#REF!</v>
      </c>
      <c r="E25" s="57"/>
      <c r="F25" s="58"/>
      <c r="G25" s="59"/>
      <c r="H25" s="60"/>
      <c r="I25" s="61"/>
      <c r="J25" s="40">
        <v>370</v>
      </c>
      <c r="K25" s="41" t="s">
        <v>530</v>
      </c>
      <c r="L25" s="42">
        <f>SUM(L26:L27)</f>
        <v>0</v>
      </c>
      <c r="M25" s="22" t="e">
        <f>L26*#REF!</f>
        <v>#REF!</v>
      </c>
    </row>
    <row r="26" spans="1:16" ht="16.2" customHeight="1" thickBot="1" x14ac:dyDescent="0.35">
      <c r="A26" s="13">
        <v>55</v>
      </c>
      <c r="B26" s="25" t="s">
        <v>531</v>
      </c>
      <c r="C26" s="15">
        <f>balance!O23+balance!O24+balance!O25+balance!O26+balance!O27+balance!O28 +balance!O29+balance!O30+balance!O31-(balance!P23+balance!P24+balance!P25+balance!P26+balance!P27+balance!P28+balance!P29+balance!P30+balance!P31)</f>
        <v>-477784</v>
      </c>
      <c r="D26" s="16" t="e">
        <f>C26*#REF!</f>
        <v>#REF!</v>
      </c>
      <c r="F26" s="6">
        <v>232</v>
      </c>
      <c r="G26" s="7" t="s">
        <v>532</v>
      </c>
      <c r="H26" s="8"/>
      <c r="I26" s="61"/>
      <c r="J26" s="28">
        <v>371</v>
      </c>
      <c r="K26" s="29" t="s">
        <v>533</v>
      </c>
      <c r="L26" s="21"/>
      <c r="M26" s="18" t="e">
        <f>L27*#REF!</f>
        <v>#REF!</v>
      </c>
    </row>
    <row r="27" spans="1:16" ht="16.2" customHeight="1" thickBot="1" x14ac:dyDescent="0.35">
      <c r="A27" s="13">
        <v>60</v>
      </c>
      <c r="B27" s="25" t="s">
        <v>534</v>
      </c>
      <c r="C27" s="17">
        <f>balance!O46+balance!O47+balance!O48+balance!O49+balance!O50+balance!O51+balance!O55-balance!L55+ balance!O52+balance!O53+balance!O54</f>
        <v>0</v>
      </c>
      <c r="D27" s="18" t="e">
        <f>C27*#REF!</f>
        <v>#REF!</v>
      </c>
      <c r="F27" s="13">
        <v>235</v>
      </c>
      <c r="G27" s="14" t="s">
        <v>535</v>
      </c>
      <c r="H27" s="15">
        <f>balance!P116</f>
        <v>3000000</v>
      </c>
      <c r="J27" s="129">
        <v>372</v>
      </c>
      <c r="K27" s="132" t="s">
        <v>536</v>
      </c>
      <c r="L27" s="131"/>
      <c r="M27" s="47" t="e">
        <f>SUM(M23:M24)</f>
        <v>#REF!</v>
      </c>
    </row>
    <row r="28" spans="1:16" ht="16.2" customHeight="1" thickBot="1" x14ac:dyDescent="0.35">
      <c r="A28" s="44">
        <v>65</v>
      </c>
      <c r="B28" s="63" t="s">
        <v>537</v>
      </c>
      <c r="C28" s="46">
        <f>SUM(C2,C3,C9,C15,C18,C19,C25,C26,C27)</f>
        <v>25832046.420000002</v>
      </c>
      <c r="D28" s="47" t="e">
        <f>SUM(D19,D15,D9,D3,D2)</f>
        <v>#REF!</v>
      </c>
      <c r="F28" s="13">
        <v>240</v>
      </c>
      <c r="G28" s="14" t="s">
        <v>538</v>
      </c>
      <c r="H28" s="15"/>
      <c r="J28" s="137">
        <v>380</v>
      </c>
      <c r="K28" s="62" t="s">
        <v>539</v>
      </c>
      <c r="L28" s="46">
        <f>SUM(L24:L25)</f>
        <v>6681791.2800000012</v>
      </c>
      <c r="M28" s="22" t="e">
        <f>L29*#REF!</f>
        <v>#REF!</v>
      </c>
    </row>
    <row r="29" spans="1:16" ht="16.2" customHeight="1" thickBot="1" x14ac:dyDescent="0.35">
      <c r="A29" s="65"/>
      <c r="B29" s="66"/>
      <c r="C29" s="59"/>
      <c r="D29" s="59"/>
      <c r="F29" s="13">
        <v>245</v>
      </c>
      <c r="G29" s="14" t="s">
        <v>540</v>
      </c>
      <c r="H29" s="15"/>
      <c r="J29" s="28">
        <v>385</v>
      </c>
      <c r="K29" s="29" t="s">
        <v>541</v>
      </c>
      <c r="L29" s="21">
        <f>balance!Q164</f>
        <v>0</v>
      </c>
      <c r="M29" s="18" t="e">
        <f>L30*#REF!</f>
        <v>#REF!</v>
      </c>
    </row>
    <row r="30" spans="1:16" ht="16.2" customHeight="1" thickBot="1" x14ac:dyDescent="0.35">
      <c r="A30" s="9">
        <v>70</v>
      </c>
      <c r="B30" s="10" t="s">
        <v>542</v>
      </c>
      <c r="C30" s="11">
        <f>SUM(C31:C36)</f>
        <v>0</v>
      </c>
      <c r="D30" s="12" t="e">
        <f>D31+D32+D33+D34+D35+D36-D37-D38</f>
        <v>#REF!</v>
      </c>
      <c r="F30" s="13">
        <v>250</v>
      </c>
      <c r="G30" s="14" t="s">
        <v>543</v>
      </c>
      <c r="H30" s="15">
        <f>balance!N120+balance!N121+balance!N123</f>
        <v>0</v>
      </c>
      <c r="J30" s="129">
        <v>387</v>
      </c>
      <c r="K30" s="132" t="s">
        <v>544</v>
      </c>
      <c r="L30" s="131"/>
      <c r="M30" s="196" t="e">
        <f>M27-M28-M29</f>
        <v>#REF!</v>
      </c>
      <c r="N30" s="334">
        <f>L31/L2</f>
        <v>0.19539383336865371</v>
      </c>
      <c r="O30" s="200" t="s">
        <v>545</v>
      </c>
      <c r="P30" s="197"/>
    </row>
    <row r="31" spans="1:16" ht="18.45" customHeight="1" thickBot="1" x14ac:dyDescent="0.4">
      <c r="A31" s="19">
        <v>71</v>
      </c>
      <c r="B31" s="20" t="s">
        <v>546</v>
      </c>
      <c r="C31" s="21">
        <f>balance!M57+balance!M58+balance!M59+balance!M61+balance!M62</f>
        <v>0</v>
      </c>
      <c r="D31" s="22" t="e">
        <f>C31*#REF!</f>
        <v>#REF!</v>
      </c>
      <c r="F31" s="13">
        <v>255</v>
      </c>
      <c r="G31" s="14" t="s">
        <v>547</v>
      </c>
      <c r="H31" s="15"/>
      <c r="J31" s="64">
        <v>400</v>
      </c>
      <c r="K31" s="45" t="s">
        <v>548</v>
      </c>
      <c r="L31" s="217">
        <f>L28-L29-L30</f>
        <v>6681791.2800000012</v>
      </c>
      <c r="N31" s="198">
        <f>L31/(H38-H34)</f>
        <v>0.66054546824171789</v>
      </c>
      <c r="O31" s="201" t="s">
        <v>549</v>
      </c>
      <c r="P31" s="199" t="s">
        <v>550</v>
      </c>
    </row>
    <row r="32" spans="1:16" x14ac:dyDescent="0.3">
      <c r="A32" s="13">
        <v>72</v>
      </c>
      <c r="B32" s="25" t="s">
        <v>551</v>
      </c>
      <c r="C32" s="15"/>
      <c r="D32" s="16" t="e">
        <f>C32*#REF!</f>
        <v>#REF!</v>
      </c>
      <c r="F32" s="13">
        <v>260</v>
      </c>
      <c r="G32" s="14" t="s">
        <v>552</v>
      </c>
      <c r="H32" s="15"/>
    </row>
    <row r="33" spans="1:12" x14ac:dyDescent="0.3">
      <c r="A33" s="13">
        <v>73</v>
      </c>
      <c r="B33" s="25" t="s">
        <v>553</v>
      </c>
      <c r="C33" s="15"/>
      <c r="D33" s="16" t="e">
        <f>C33*#REF!</f>
        <v>#REF!</v>
      </c>
      <c r="F33" s="13">
        <v>265</v>
      </c>
      <c r="G33" s="14" t="s">
        <v>554</v>
      </c>
      <c r="H33" s="15">
        <f>balance!P124</f>
        <v>16115566</v>
      </c>
    </row>
    <row r="34" spans="1:12" x14ac:dyDescent="0.3">
      <c r="A34" s="13">
        <v>74</v>
      </c>
      <c r="B34" s="25" t="s">
        <v>555</v>
      </c>
      <c r="C34" s="15">
        <f>balance!O60</f>
        <v>0</v>
      </c>
      <c r="D34" s="16" t="e">
        <f>C34*#REF!</f>
        <v>#REF!</v>
      </c>
      <c r="F34" s="13">
        <v>270</v>
      </c>
      <c r="G34" s="14" t="s">
        <v>556</v>
      </c>
      <c r="H34" s="68">
        <f>L31</f>
        <v>6681791.2800000012</v>
      </c>
    </row>
    <row r="35" spans="1:12" x14ac:dyDescent="0.3">
      <c r="A35" s="13">
        <v>75</v>
      </c>
      <c r="B35" s="25" t="s">
        <v>557</v>
      </c>
      <c r="C35" s="15"/>
      <c r="D35" s="16" t="e">
        <f>C35*#REF!</f>
        <v>#REF!</v>
      </c>
      <c r="F35" s="13">
        <v>275</v>
      </c>
      <c r="G35" s="14" t="s">
        <v>558</v>
      </c>
      <c r="H35" s="15">
        <f>-balance!O120-balance!O121</f>
        <v>0</v>
      </c>
    </row>
    <row r="36" spans="1:12" x14ac:dyDescent="0.3">
      <c r="A36" s="13">
        <v>80</v>
      </c>
      <c r="B36" s="25" t="s">
        <v>559</v>
      </c>
      <c r="C36" s="15"/>
      <c r="D36" s="16" t="e">
        <f>C36*#REF!</f>
        <v>#REF!</v>
      </c>
      <c r="F36" s="13">
        <v>280</v>
      </c>
      <c r="G36" s="14" t="s">
        <v>560</v>
      </c>
      <c r="H36" s="15">
        <f>balance!M126</f>
        <v>9000000</v>
      </c>
    </row>
    <row r="37" spans="1:12" ht="16.2" customHeight="1" thickBot="1" x14ac:dyDescent="0.35">
      <c r="A37" s="13">
        <v>85</v>
      </c>
      <c r="B37" s="25" t="s">
        <v>561</v>
      </c>
      <c r="C37" s="15">
        <f>balance!P62</f>
        <v>0</v>
      </c>
      <c r="D37" s="16" t="e">
        <f>C37*#REF!</f>
        <v>#REF!</v>
      </c>
      <c r="F37" s="13">
        <v>285</v>
      </c>
      <c r="G37" s="14" t="s">
        <v>562</v>
      </c>
      <c r="H37" s="15">
        <f>balance!O128</f>
        <v>0</v>
      </c>
      <c r="K37" s="67"/>
      <c r="L37" s="5"/>
    </row>
    <row r="38" spans="1:12" ht="16.2" customHeight="1" thickBot="1" x14ac:dyDescent="0.35">
      <c r="A38" s="13">
        <v>90</v>
      </c>
      <c r="B38" s="25" t="s">
        <v>563</v>
      </c>
      <c r="C38" s="17"/>
      <c r="D38" s="18" t="e">
        <f>C38*#REF!</f>
        <v>#REF!</v>
      </c>
      <c r="F38" s="44">
        <v>290</v>
      </c>
      <c r="G38" s="45" t="s">
        <v>564</v>
      </c>
      <c r="H38" s="46">
        <f>H26+H27-H28+H29+H30+H31+H32+H33+H34+H35-H36-H37</f>
        <v>16797357.280000001</v>
      </c>
      <c r="K38" s="67"/>
      <c r="L38" s="5"/>
    </row>
    <row r="39" spans="1:12" ht="18.45" customHeight="1" thickBot="1" x14ac:dyDescent="0.4">
      <c r="A39" s="9">
        <v>95</v>
      </c>
      <c r="B39" s="10" t="s">
        <v>565</v>
      </c>
      <c r="C39" s="11">
        <f>SUM(C40:C41)</f>
        <v>0</v>
      </c>
      <c r="D39" s="12" t="e">
        <f>SUM(D40:D42)</f>
        <v>#REF!</v>
      </c>
      <c r="F39" s="69"/>
      <c r="G39" s="249" t="s">
        <v>566</v>
      </c>
      <c r="H39" s="81">
        <f>SUM(H38,H24)</f>
        <v>29988919.73</v>
      </c>
      <c r="K39" s="67"/>
      <c r="L39" s="5"/>
    </row>
    <row r="40" spans="1:12" ht="18" customHeight="1" x14ac:dyDescent="0.35">
      <c r="A40" s="19">
        <v>96</v>
      </c>
      <c r="B40" s="20" t="s">
        <v>487</v>
      </c>
      <c r="C40" s="21"/>
      <c r="D40" s="22" t="e">
        <f>C40*#REF!</f>
        <v>#REF!</v>
      </c>
      <c r="F40" s="71"/>
      <c r="G40" s="145" t="s">
        <v>567</v>
      </c>
      <c r="H40" s="72">
        <f>C54-H39</f>
        <v>673.6900000013411</v>
      </c>
      <c r="K40" s="67"/>
      <c r="L40" s="5"/>
    </row>
    <row r="41" spans="1:12" x14ac:dyDescent="0.3">
      <c r="A41" s="13">
        <v>97</v>
      </c>
      <c r="B41" s="25" t="s">
        <v>568</v>
      </c>
      <c r="C41" s="15"/>
      <c r="D41" s="16" t="e">
        <f>C41*#REF!</f>
        <v>#REF!</v>
      </c>
      <c r="H41" s="74"/>
      <c r="K41" s="67"/>
      <c r="L41" s="5"/>
    </row>
    <row r="42" spans="1:12" ht="16.2" customHeight="1" thickBot="1" x14ac:dyDescent="0.35">
      <c r="A42" s="13">
        <v>100</v>
      </c>
      <c r="B42" s="25" t="s">
        <v>569</v>
      </c>
      <c r="C42" s="17"/>
      <c r="D42" s="18" t="e">
        <f>C42*#REF!</f>
        <v>#REF!</v>
      </c>
      <c r="F42" s="67"/>
      <c r="G42" s="5"/>
      <c r="K42" s="67"/>
      <c r="L42" s="5"/>
    </row>
    <row r="43" spans="1:12" ht="16.2" customHeight="1" thickBot="1" x14ac:dyDescent="0.35">
      <c r="A43" s="9">
        <v>105</v>
      </c>
      <c r="B43" s="10" t="s">
        <v>570</v>
      </c>
      <c r="C43" s="11">
        <f>SUM(C44:C45)</f>
        <v>0</v>
      </c>
      <c r="D43" s="12" t="e">
        <f>SUM(D44:D45)</f>
        <v>#REF!</v>
      </c>
      <c r="F43" s="67"/>
      <c r="G43" s="5"/>
      <c r="K43" s="67"/>
      <c r="L43" s="5"/>
    </row>
    <row r="44" spans="1:12" x14ac:dyDescent="0.3">
      <c r="A44" s="13">
        <v>106</v>
      </c>
      <c r="B44" s="25" t="s">
        <v>571</v>
      </c>
      <c r="C44" s="21"/>
      <c r="D44" s="22" t="e">
        <f>C44*#REF!</f>
        <v>#REF!</v>
      </c>
      <c r="F44" s="67"/>
      <c r="G44" s="5"/>
      <c r="K44" s="67"/>
      <c r="L44" s="5"/>
    </row>
    <row r="45" spans="1:12" ht="16.2" customHeight="1" thickBot="1" x14ac:dyDescent="0.35">
      <c r="A45" s="13">
        <v>107</v>
      </c>
      <c r="B45" s="25" t="s">
        <v>572</v>
      </c>
      <c r="C45" s="17"/>
      <c r="D45" s="18" t="e">
        <f>C45*#REF!</f>
        <v>#REF!</v>
      </c>
      <c r="F45" s="67"/>
      <c r="G45" s="5"/>
      <c r="J45" s="5"/>
      <c r="L45" s="5"/>
    </row>
    <row r="46" spans="1:12" ht="16.2" customHeight="1" thickBot="1" x14ac:dyDescent="0.35">
      <c r="A46" s="9">
        <v>110</v>
      </c>
      <c r="B46" s="10" t="s">
        <v>573</v>
      </c>
      <c r="C46" s="11">
        <f>SUM(C47:C48)</f>
        <v>0</v>
      </c>
      <c r="D46" s="12" t="e">
        <f>SUM(D47:D48)</f>
        <v>#REF!</v>
      </c>
      <c r="F46" s="67"/>
      <c r="G46" s="5"/>
      <c r="J46" s="5"/>
      <c r="L46" s="5"/>
    </row>
    <row r="47" spans="1:12" x14ac:dyDescent="0.3">
      <c r="A47" s="13">
        <v>111</v>
      </c>
      <c r="B47" s="25" t="s">
        <v>574</v>
      </c>
      <c r="C47" s="21"/>
      <c r="D47" s="22" t="e">
        <f>C47*#REF!</f>
        <v>#REF!</v>
      </c>
      <c r="F47" s="67"/>
      <c r="G47" s="5"/>
      <c r="J47" s="5"/>
      <c r="L47" s="5"/>
    </row>
    <row r="48" spans="1:12" ht="16.2" customHeight="1" thickBot="1" x14ac:dyDescent="0.35">
      <c r="A48" s="13">
        <v>112</v>
      </c>
      <c r="B48" s="25" t="s">
        <v>575</v>
      </c>
      <c r="C48" s="17"/>
      <c r="D48" s="18" t="e">
        <f>C48*#REF!</f>
        <v>#REF!</v>
      </c>
      <c r="F48" s="67"/>
      <c r="G48" s="5"/>
      <c r="J48" s="5"/>
      <c r="L48" s="5"/>
    </row>
    <row r="49" spans="1:12" ht="16.2" customHeight="1" thickBot="1" x14ac:dyDescent="0.35">
      <c r="A49" s="9">
        <v>120</v>
      </c>
      <c r="B49" s="10" t="s">
        <v>576</v>
      </c>
      <c r="C49" s="11">
        <f>SUM(C50:C52)</f>
        <v>4157547</v>
      </c>
      <c r="D49" s="12" t="e">
        <f>SUM(D50:D52)</f>
        <v>#REF!</v>
      </c>
      <c r="F49" s="67"/>
      <c r="G49" s="5"/>
      <c r="J49" s="5"/>
      <c r="L49" s="5"/>
    </row>
    <row r="50" spans="1:12" x14ac:dyDescent="0.3">
      <c r="A50" s="13">
        <v>121</v>
      </c>
      <c r="B50" s="25" t="s">
        <v>577</v>
      </c>
      <c r="C50" s="21"/>
      <c r="D50" s="22" t="e">
        <f>C50*#REF!</f>
        <v>#REF!</v>
      </c>
      <c r="F50" s="67"/>
      <c r="G50" s="5"/>
      <c r="J50" s="5"/>
      <c r="L50" s="5"/>
    </row>
    <row r="51" spans="1:12" x14ac:dyDescent="0.3">
      <c r="A51" s="13">
        <v>122</v>
      </c>
      <c r="B51" s="25" t="s">
        <v>578</v>
      </c>
      <c r="C51" s="15"/>
      <c r="D51" s="16" t="e">
        <f>C51*#REF!</f>
        <v>#REF!</v>
      </c>
      <c r="F51" s="75"/>
      <c r="G51" s="5"/>
      <c r="I51" s="67"/>
      <c r="J51" s="5"/>
      <c r="L51" s="5"/>
    </row>
    <row r="52" spans="1:12" ht="16.2" customHeight="1" thickBot="1" x14ac:dyDescent="0.35">
      <c r="A52" s="13">
        <v>123</v>
      </c>
      <c r="B52" s="25" t="s">
        <v>579</v>
      </c>
      <c r="C52" s="17">
        <f>balance!O73</f>
        <v>4157547</v>
      </c>
      <c r="D52" s="18" t="e">
        <f>C52*#REF!</f>
        <v>#REF!</v>
      </c>
      <c r="F52" s="75"/>
      <c r="G52" s="5"/>
      <c r="I52" s="67"/>
      <c r="J52" s="5"/>
      <c r="L52" s="5"/>
    </row>
    <row r="53" spans="1:12" ht="16.2" customHeight="1" thickBot="1" x14ac:dyDescent="0.35">
      <c r="A53" s="44">
        <v>125</v>
      </c>
      <c r="B53" s="63" t="s">
        <v>580</v>
      </c>
      <c r="C53" s="46">
        <f>+C30-C37-C38+C39+C43+C46+C49</f>
        <v>4157547</v>
      </c>
      <c r="D53" s="47" t="e">
        <f>SUM(D30,D39,D43,D46,D49)</f>
        <v>#REF!</v>
      </c>
      <c r="F53" s="75"/>
      <c r="G53" s="5"/>
      <c r="I53" s="67"/>
      <c r="J53" s="5"/>
      <c r="L53" s="5"/>
    </row>
    <row r="54" spans="1:12" ht="18.45" customHeight="1" thickBot="1" x14ac:dyDescent="0.4">
      <c r="A54" s="76"/>
      <c r="B54" s="248" t="s">
        <v>581</v>
      </c>
      <c r="C54" s="82">
        <f>SUM(C53,C28)+C42</f>
        <v>29989593.420000002</v>
      </c>
      <c r="D54" s="70" t="e">
        <f>SUM(D53,D28)</f>
        <v>#REF!</v>
      </c>
      <c r="F54" s="67"/>
      <c r="G54" s="5"/>
      <c r="I54" s="67"/>
      <c r="L54" s="5"/>
    </row>
  </sheetData>
  <conditionalFormatting sqref="H34">
    <cfRule type="cellIs" dxfId="45" priority="4" stopIfTrue="1" operator="greaterThan">
      <formula>0</formula>
    </cfRule>
    <cfRule type="cellIs" dxfId="44" priority="5" stopIfTrue="1" operator="lessThan">
      <formula>0</formula>
    </cfRule>
    <cfRule type="cellIs" dxfId="43" priority="6" stopIfTrue="1" operator="equal">
      <formula>0</formula>
    </cfRule>
  </conditionalFormatting>
  <conditionalFormatting sqref="L31">
    <cfRule type="cellIs" dxfId="42" priority="1" stopIfTrue="1" operator="greaterThan">
      <formula>0</formula>
    </cfRule>
    <cfRule type="cellIs" dxfId="41" priority="2" stopIfTrue="1" operator="lessThan">
      <formula>0</formula>
    </cfRule>
    <cfRule type="cellIs" dxfId="40" priority="3" stopIfTrue="1" operator="equal">
      <formula>0</formula>
    </cfRule>
  </conditionalFormatting>
  <pageMargins left="0.70866141732283472" right="0.70866141732283472" top="0.74803149606299213" bottom="0.74803149606299213" header="0.31496062992125978" footer="0.31496062992125978"/>
  <pageSetup paperSize="9" scale="45" fitToHeight="2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icha_financiera">
    <pageSetUpPr fitToPage="1"/>
  </sheetPr>
  <dimension ref="A1:Q36"/>
  <sheetViews>
    <sheetView showGridLines="0" topLeftCell="A9" zoomScale="80" zoomScaleNormal="80" workbookViewId="0">
      <selection activeCell="A35" sqref="A35"/>
    </sheetView>
  </sheetViews>
  <sheetFormatPr baseColWidth="10" defaultColWidth="11.33203125" defaultRowHeight="13.2" x14ac:dyDescent="0.25"/>
  <cols>
    <col min="1" max="1" width="36.21875" style="87" bestFit="1" customWidth="1"/>
    <col min="2" max="2" width="10.6640625" style="100" bestFit="1" customWidth="1"/>
    <col min="3" max="3" width="11.88671875" style="100" bestFit="1" customWidth="1"/>
    <col min="4" max="4" width="11.88671875" style="323" bestFit="1" customWidth="1"/>
    <col min="5" max="5" width="3.5546875" style="87" customWidth="1"/>
    <col min="6" max="6" width="36.6640625" style="87" bestFit="1" customWidth="1"/>
    <col min="7" max="7" width="7.109375" style="100" bestFit="1" customWidth="1"/>
    <col min="8" max="8" width="14" style="100" bestFit="1" customWidth="1"/>
    <col min="9" max="9" width="12.77734375" style="91" bestFit="1" customWidth="1"/>
    <col min="10" max="10" width="13.33203125" style="87" bestFit="1" customWidth="1"/>
    <col min="11" max="12" width="13" style="87" bestFit="1" customWidth="1"/>
    <col min="13" max="13" width="2.109375" style="87" customWidth="1"/>
    <col min="14" max="14" width="23.21875" style="87" customWidth="1"/>
    <col min="15" max="16" width="13.44140625" style="87" bestFit="1" customWidth="1"/>
    <col min="17" max="17" width="13" style="278" bestFit="1" customWidth="1"/>
    <col min="18" max="20" width="11.33203125" style="87" customWidth="1"/>
    <col min="21" max="16384" width="11.33203125" style="87"/>
  </cols>
  <sheetData>
    <row r="1" spans="1:17" ht="1.8" customHeight="1" x14ac:dyDescent="0.3">
      <c r="A1" s="448">
        <f ca="1">TODAY()</f>
        <v>45847</v>
      </c>
      <c r="B1" s="447">
        <f>Datos!H1</f>
        <v>45752</v>
      </c>
    </row>
    <row r="2" spans="1:17" s="273" customFormat="1" ht="19.2" customHeight="1" x14ac:dyDescent="0.3">
      <c r="A2" s="785" t="s">
        <v>582</v>
      </c>
      <c r="B2" s="786"/>
      <c r="C2" s="786"/>
      <c r="D2" s="786"/>
      <c r="E2" s="786"/>
      <c r="F2" s="786"/>
      <c r="G2" s="786"/>
      <c r="H2" s="786"/>
      <c r="I2" s="786"/>
      <c r="Q2" s="472"/>
    </row>
    <row r="3" spans="1:17" ht="18.600000000000001" customHeight="1" thickBot="1" x14ac:dyDescent="0.35">
      <c r="A3" s="88"/>
      <c r="B3" s="99"/>
      <c r="C3" s="99"/>
      <c r="D3" s="100"/>
      <c r="E3" s="88"/>
      <c r="F3" s="99"/>
      <c r="G3" s="99"/>
      <c r="H3" s="89"/>
      <c r="I3" s="92"/>
      <c r="J3" s="356"/>
      <c r="N3" s="657"/>
      <c r="O3" s="658" t="s">
        <v>583</v>
      </c>
      <c r="P3" s="658" t="s">
        <v>584</v>
      </c>
      <c r="Q3" s="659" t="s">
        <v>585</v>
      </c>
    </row>
    <row r="4" spans="1:17" ht="15" customHeight="1" thickBot="1" x14ac:dyDescent="0.35">
      <c r="A4" s="366" t="s">
        <v>586</v>
      </c>
      <c r="B4" s="367"/>
      <c r="C4" s="719">
        <v>2024</v>
      </c>
      <c r="D4" s="490">
        <v>45846</v>
      </c>
      <c r="E4" s="368"/>
      <c r="F4" s="366" t="s">
        <v>587</v>
      </c>
      <c r="G4" s="739"/>
      <c r="H4" s="740">
        <v>2024</v>
      </c>
      <c r="I4" s="548">
        <f ca="1">Datos!I1</f>
        <v>45847.617645949074</v>
      </c>
      <c r="J4" s="90"/>
      <c r="K4" s="90"/>
      <c r="N4" s="503" t="s">
        <v>588</v>
      </c>
      <c r="O4" s="278"/>
      <c r="P4" s="278"/>
      <c r="Q4" s="660"/>
    </row>
    <row r="5" spans="1:17" ht="15" customHeight="1" thickBot="1" x14ac:dyDescent="0.3">
      <c r="A5" s="369" t="s">
        <v>589</v>
      </c>
      <c r="B5" s="400"/>
      <c r="C5" s="512">
        <f>SUM(C6:C11)</f>
        <v>30257575.855642509</v>
      </c>
      <c r="D5" s="512">
        <f>SUM(D6:D11)</f>
        <v>25832046.420000002</v>
      </c>
      <c r="E5" s="383"/>
      <c r="F5" s="370" t="s">
        <v>590</v>
      </c>
      <c r="G5" s="741"/>
      <c r="H5" s="549">
        <f>SUM(H6:H10)</f>
        <v>1172399.0071934699</v>
      </c>
      <c r="I5" s="549">
        <f>SUM(I6:I10)</f>
        <v>3661160.4499999997</v>
      </c>
      <c r="J5" s="90"/>
      <c r="K5" s="90"/>
      <c r="N5" s="509" t="s">
        <v>591</v>
      </c>
      <c r="O5" s="278">
        <v>4312491.4600000009</v>
      </c>
      <c r="P5" s="278">
        <f>balance!O8</f>
        <v>5541063.4200000018</v>
      </c>
      <c r="Q5" s="660">
        <f t="shared" ref="Q5:Q21" si="0">P5-O5</f>
        <v>1228571.9600000009</v>
      </c>
    </row>
    <row r="6" spans="1:17" ht="15" customHeight="1" thickTop="1" x14ac:dyDescent="0.3">
      <c r="A6" s="528" t="s">
        <v>592</v>
      </c>
      <c r="B6" s="401"/>
      <c r="C6" s="402">
        <v>2280165.8386425078</v>
      </c>
      <c r="D6" s="513">
        <f>Vaciado!C2</f>
        <v>5541063.4200000018</v>
      </c>
      <c r="E6" s="385"/>
      <c r="F6" s="529" t="s">
        <v>593</v>
      </c>
      <c r="G6" s="401"/>
      <c r="H6" s="401"/>
      <c r="I6" s="550">
        <f>Vaciado!H2</f>
        <v>0</v>
      </c>
      <c r="J6" s="90"/>
      <c r="M6" s="272"/>
      <c r="N6" s="504" t="s">
        <v>594</v>
      </c>
      <c r="O6" s="278">
        <v>17167942</v>
      </c>
      <c r="P6" s="281">
        <f>balance!O19</f>
        <v>16963182</v>
      </c>
      <c r="Q6" s="660">
        <f t="shared" si="0"/>
        <v>-204760</v>
      </c>
    </row>
    <row r="7" spans="1:17" ht="15" customHeight="1" x14ac:dyDescent="0.3">
      <c r="A7" s="529" t="s">
        <v>595</v>
      </c>
      <c r="B7" s="401"/>
      <c r="C7" s="402">
        <v>0</v>
      </c>
      <c r="D7" s="513">
        <f>Vaciado!C3</f>
        <v>0</v>
      </c>
      <c r="E7" s="385"/>
      <c r="F7" s="529" t="s">
        <v>596</v>
      </c>
      <c r="G7" s="401"/>
      <c r="H7" s="401"/>
      <c r="I7" s="550">
        <f>Vaciado!H5</f>
        <v>0</v>
      </c>
      <c r="J7" s="90"/>
      <c r="K7" s="90"/>
      <c r="N7" s="504" t="s">
        <v>597</v>
      </c>
      <c r="O7" s="278"/>
      <c r="P7" s="278"/>
      <c r="Q7" s="660">
        <f t="shared" si="0"/>
        <v>0</v>
      </c>
    </row>
    <row r="8" spans="1:17" ht="15" customHeight="1" x14ac:dyDescent="0.3">
      <c r="A8" s="529" t="s">
        <v>598</v>
      </c>
      <c r="B8" s="401"/>
      <c r="C8" s="402">
        <v>6718491</v>
      </c>
      <c r="D8" s="513">
        <f>Vaciado!C10+Vaciado!C11</f>
        <v>1403110</v>
      </c>
      <c r="E8" s="385"/>
      <c r="F8" s="529" t="s">
        <v>599</v>
      </c>
      <c r="G8" s="401"/>
      <c r="H8" s="401"/>
      <c r="I8" s="550">
        <f>Vaciado!H12</f>
        <v>0</v>
      </c>
      <c r="J8" s="90"/>
      <c r="K8" s="90"/>
      <c r="N8" s="504" t="s">
        <v>600</v>
      </c>
      <c r="O8" s="278">
        <v>0</v>
      </c>
      <c r="P8" s="278">
        <v>0</v>
      </c>
      <c r="Q8" s="660">
        <f t="shared" si="0"/>
        <v>0</v>
      </c>
    </row>
    <row r="9" spans="1:17" ht="15" customHeight="1" x14ac:dyDescent="0.3">
      <c r="A9" s="529" t="s">
        <v>601</v>
      </c>
      <c r="B9" s="401"/>
      <c r="C9" s="402">
        <v>0</v>
      </c>
      <c r="D9" s="513">
        <f>Vaciado!C17</f>
        <v>0</v>
      </c>
      <c r="E9" s="385"/>
      <c r="F9" s="529" t="s">
        <v>602</v>
      </c>
      <c r="G9" s="401"/>
      <c r="H9" s="401"/>
      <c r="I9" s="550">
        <f>Vaciado!H9</f>
        <v>0</v>
      </c>
      <c r="J9" s="90"/>
      <c r="K9" s="90"/>
      <c r="N9" s="504" t="s">
        <v>603</v>
      </c>
      <c r="O9" s="278">
        <v>2399058</v>
      </c>
      <c r="P9" s="278">
        <f>balance!O22</f>
        <v>2399058</v>
      </c>
      <c r="Q9" s="660">
        <f t="shared" si="0"/>
        <v>0</v>
      </c>
    </row>
    <row r="10" spans="1:17" ht="15" customHeight="1" thickBot="1" x14ac:dyDescent="0.35">
      <c r="A10" s="529" t="s">
        <v>594</v>
      </c>
      <c r="B10" s="401"/>
      <c r="C10" s="403">
        <v>8650020</v>
      </c>
      <c r="D10" s="514">
        <f>Vaciado!C22+Vaciado!C23+Vaciado!C24+Vaciado!C20+Vaciado!C21</f>
        <v>16963182</v>
      </c>
      <c r="E10" s="385"/>
      <c r="F10" s="530" t="s">
        <v>604</v>
      </c>
      <c r="G10" s="404"/>
      <c r="H10" s="404">
        <v>1172399.0071934699</v>
      </c>
      <c r="I10" s="551">
        <f>Vaciado!H14+Vaciado!H11+Vaciado!H10</f>
        <v>3661160.4499999997</v>
      </c>
      <c r="J10" s="90"/>
      <c r="N10" s="504" t="s">
        <v>605</v>
      </c>
      <c r="O10" s="278">
        <v>3417</v>
      </c>
      <c r="P10" s="278">
        <f>balance!O44</f>
        <v>3417</v>
      </c>
      <c r="Q10" s="660">
        <f t="shared" si="0"/>
        <v>0</v>
      </c>
    </row>
    <row r="11" spans="1:17" ht="15" customHeight="1" thickTop="1" thickBot="1" x14ac:dyDescent="0.35">
      <c r="A11" s="530" t="s">
        <v>604</v>
      </c>
      <c r="B11" s="404"/>
      <c r="C11" s="405">
        <v>12608899.017000001</v>
      </c>
      <c r="D11" s="515">
        <f>Vaciado!C27+Vaciado!C25+Vaciado!C26+Vaciado!C13-Vaciado!C37</f>
        <v>1924691</v>
      </c>
      <c r="E11" s="385"/>
      <c r="F11" s="372" t="s">
        <v>606</v>
      </c>
      <c r="G11" s="406"/>
      <c r="H11" s="406">
        <f>SUM(H12:H14)</f>
        <v>14127158</v>
      </c>
      <c r="I11" s="552">
        <f>SUM(I12:I14)</f>
        <v>9530402</v>
      </c>
      <c r="J11" s="90"/>
      <c r="K11" s="90"/>
      <c r="N11" s="505" t="s">
        <v>607</v>
      </c>
      <c r="O11" s="87">
        <v>-477784</v>
      </c>
      <c r="P11" s="278">
        <f>Vaciado!C26</f>
        <v>-477784</v>
      </c>
      <c r="Q11" s="660">
        <f t="shared" si="0"/>
        <v>0</v>
      </c>
    </row>
    <row r="12" spans="1:17" ht="15" customHeight="1" thickTop="1" thickBot="1" x14ac:dyDescent="0.35">
      <c r="A12" s="372" t="s">
        <v>608</v>
      </c>
      <c r="B12" s="406"/>
      <c r="C12" s="406"/>
      <c r="D12" s="516">
        <f>SUM(D13:D20)</f>
        <v>4157547</v>
      </c>
      <c r="E12" s="385"/>
      <c r="F12" s="528" t="s">
        <v>609</v>
      </c>
      <c r="G12" s="401"/>
      <c r="H12" s="401"/>
      <c r="I12" s="550">
        <f>Vaciado!H16</f>
        <v>0</v>
      </c>
      <c r="J12" s="90"/>
      <c r="K12" s="90"/>
      <c r="N12" s="510" t="s">
        <v>588</v>
      </c>
      <c r="O12" s="661">
        <v>23405124.460000001</v>
      </c>
      <c r="P12" s="662">
        <f>SUM(P5:P11)</f>
        <v>24428936.420000002</v>
      </c>
      <c r="Q12" s="668">
        <f t="shared" si="0"/>
        <v>1023811.9600000009</v>
      </c>
    </row>
    <row r="13" spans="1:17" ht="15" customHeight="1" thickTop="1" x14ac:dyDescent="0.3">
      <c r="A13" s="529" t="s">
        <v>610</v>
      </c>
      <c r="B13" s="401"/>
      <c r="C13" s="402">
        <v>0</v>
      </c>
      <c r="D13" s="517">
        <f>Vaciado!C31+Vaciado!C32+Vaciado!C33+Vaciado!C34+Vaciado!C35+Vaciado!C36+Vaciado!C37+Vaciado!C38-Vaciado!C37</f>
        <v>0</v>
      </c>
      <c r="E13" s="385"/>
      <c r="F13" s="529" t="s">
        <v>599</v>
      </c>
      <c r="G13" s="401"/>
      <c r="H13" s="401">
        <v>14127158</v>
      </c>
      <c r="I13" s="514">
        <f>Vaciado!H19</f>
        <v>9530402</v>
      </c>
      <c r="J13" s="90"/>
      <c r="K13" s="90"/>
      <c r="N13" s="506"/>
      <c r="O13" s="278"/>
      <c r="Q13" s="660">
        <f t="shared" si="0"/>
        <v>0</v>
      </c>
    </row>
    <row r="14" spans="1:17" ht="15" customHeight="1" thickBot="1" x14ac:dyDescent="0.35">
      <c r="A14" s="529" t="s">
        <v>611</v>
      </c>
      <c r="B14" s="401"/>
      <c r="C14" s="402">
        <v>0</v>
      </c>
      <c r="D14" s="513">
        <f>Vaciado!C39</f>
        <v>0</v>
      </c>
      <c r="E14" s="385"/>
      <c r="F14" s="530" t="s">
        <v>604</v>
      </c>
      <c r="G14" s="404"/>
      <c r="H14" s="742"/>
      <c r="I14" s="553">
        <f>Vaciado!H20+Vaciado!H21</f>
        <v>0</v>
      </c>
      <c r="J14" s="90"/>
      <c r="K14" s="90"/>
      <c r="N14" s="505" t="s">
        <v>244</v>
      </c>
      <c r="O14" s="278">
        <v>9530402</v>
      </c>
      <c r="P14" s="278">
        <f>Vaciado!H19</f>
        <v>9530402</v>
      </c>
      <c r="Q14" s="660">
        <f t="shared" si="0"/>
        <v>0</v>
      </c>
    </row>
    <row r="15" spans="1:17" ht="15" customHeight="1" thickTop="1" thickBot="1" x14ac:dyDescent="0.35">
      <c r="A15" s="529" t="s">
        <v>601</v>
      </c>
      <c r="B15" s="401"/>
      <c r="C15" s="402">
        <v>0</v>
      </c>
      <c r="D15" s="513">
        <f>Vaciado!C42</f>
        <v>0</v>
      </c>
      <c r="E15" s="385"/>
      <c r="F15" s="373" t="s">
        <v>612</v>
      </c>
      <c r="G15" s="743"/>
      <c r="H15" s="742"/>
      <c r="I15" s="554"/>
      <c r="J15" s="90"/>
      <c r="N15" s="505" t="s">
        <v>275</v>
      </c>
      <c r="O15" s="278">
        <v>207718.14</v>
      </c>
      <c r="P15" s="278">
        <f>balance!P96</f>
        <v>207718.14</v>
      </c>
      <c r="Q15" s="660">
        <f t="shared" si="0"/>
        <v>0</v>
      </c>
    </row>
    <row r="16" spans="1:17" ht="15" customHeight="1" thickTop="1" thickBot="1" x14ac:dyDescent="0.35">
      <c r="A16" s="529" t="s">
        <v>613</v>
      </c>
      <c r="B16" s="401"/>
      <c r="C16" s="402">
        <v>0</v>
      </c>
      <c r="D16" s="513">
        <f>Vaciado!C46</f>
        <v>0</v>
      </c>
      <c r="E16" s="385"/>
      <c r="F16" s="374" t="s">
        <v>614</v>
      </c>
      <c r="G16" s="744"/>
      <c r="H16" s="745">
        <f>SUM(H17:H20)</f>
        <v>19115567.94189835</v>
      </c>
      <c r="I16" s="676">
        <f>SUM(I17:I20)</f>
        <v>16797357.280000001</v>
      </c>
      <c r="J16" s="90"/>
      <c r="K16" s="90"/>
      <c r="N16" s="505" t="s">
        <v>615</v>
      </c>
      <c r="O16" s="278">
        <v>9637030</v>
      </c>
      <c r="P16" s="278">
        <f>balance!P111</f>
        <v>9637030</v>
      </c>
      <c r="Q16" s="660">
        <f t="shared" si="0"/>
        <v>0</v>
      </c>
    </row>
    <row r="17" spans="1:17" ht="15" customHeight="1" thickTop="1" x14ac:dyDescent="0.3">
      <c r="A17" s="529" t="s">
        <v>616</v>
      </c>
      <c r="B17" s="401"/>
      <c r="C17" s="402"/>
      <c r="D17" s="513"/>
      <c r="E17" s="385"/>
      <c r="F17" s="529" t="s">
        <v>617</v>
      </c>
      <c r="G17" s="401"/>
      <c r="H17" s="399">
        <v>3000000</v>
      </c>
      <c r="I17" s="513">
        <f>Vaciado!H27</f>
        <v>3000000</v>
      </c>
      <c r="J17" s="90"/>
      <c r="K17" s="90"/>
      <c r="N17" s="505" t="s">
        <v>618</v>
      </c>
      <c r="O17" s="278">
        <v>0</v>
      </c>
      <c r="P17" s="278">
        <f>balance!P110</f>
        <v>0</v>
      </c>
      <c r="Q17" s="660">
        <f t="shared" si="0"/>
        <v>0</v>
      </c>
    </row>
    <row r="18" spans="1:17" ht="15" customHeight="1" x14ac:dyDescent="0.3">
      <c r="A18" s="529" t="s">
        <v>619</v>
      </c>
      <c r="B18" s="401"/>
      <c r="C18" s="402"/>
      <c r="D18" s="513"/>
      <c r="E18" s="385"/>
      <c r="F18" s="529" t="s">
        <v>558</v>
      </c>
      <c r="G18" s="401"/>
      <c r="H18" s="401">
        <v>0</v>
      </c>
      <c r="I18" s="513">
        <f>Vaciado!H30-Vaciado!H37+Vaciado!H35</f>
        <v>0</v>
      </c>
      <c r="J18" s="90"/>
      <c r="K18" s="90"/>
      <c r="N18" s="505" t="s">
        <v>620</v>
      </c>
      <c r="O18" s="278">
        <v>1183533.1200000001</v>
      </c>
      <c r="P18" s="278">
        <f>balance!P98</f>
        <v>1387140.3099999996</v>
      </c>
      <c r="Q18" s="660">
        <f t="shared" si="0"/>
        <v>203607.18999999948</v>
      </c>
    </row>
    <row r="19" spans="1:17" ht="15" customHeight="1" thickBot="1" x14ac:dyDescent="0.35">
      <c r="A19" s="529" t="s">
        <v>604</v>
      </c>
      <c r="B19" s="401"/>
      <c r="C19" s="402"/>
      <c r="D19" s="513"/>
      <c r="E19" s="385"/>
      <c r="F19" s="529" t="s">
        <v>621</v>
      </c>
      <c r="G19" s="401"/>
      <c r="H19" s="401">
        <v>16115567.94189835</v>
      </c>
      <c r="I19" s="513">
        <f>Vaciado!H33+Vaciado!H34</f>
        <v>22797357.280000001</v>
      </c>
      <c r="J19" s="90"/>
      <c r="K19" s="783" t="s">
        <v>622</v>
      </c>
      <c r="L19" s="784"/>
      <c r="N19" s="679" t="s">
        <v>623</v>
      </c>
      <c r="O19" s="680">
        <v>10921653.26</v>
      </c>
      <c r="P19" s="681">
        <f>P14+P15+P18</f>
        <v>11125260.449999999</v>
      </c>
      <c r="Q19" s="682">
        <f t="shared" si="0"/>
        <v>203607.18999999948</v>
      </c>
    </row>
    <row r="20" spans="1:17" ht="15" customHeight="1" thickBot="1" x14ac:dyDescent="0.35">
      <c r="A20" s="375" t="s">
        <v>624</v>
      </c>
      <c r="B20" s="401"/>
      <c r="C20" s="407">
        <v>4157547</v>
      </c>
      <c r="D20" s="518">
        <f>Vaciado!C52</f>
        <v>4157547</v>
      </c>
      <c r="E20" s="385"/>
      <c r="F20" s="534" t="s">
        <v>625</v>
      </c>
      <c r="G20" s="410"/>
      <c r="H20" s="410"/>
      <c r="I20" s="522">
        <f>-Vaciado!H36</f>
        <v>-9000000</v>
      </c>
      <c r="J20" s="90"/>
      <c r="K20" s="524" t="s">
        <v>4</v>
      </c>
      <c r="L20" s="525" t="s">
        <v>626</v>
      </c>
      <c r="N20" s="507" t="s">
        <v>324</v>
      </c>
      <c r="O20" s="663">
        <v>15977182.32</v>
      </c>
      <c r="P20" s="664">
        <f>Vaciado!H38</f>
        <v>16797357.280000001</v>
      </c>
      <c r="Q20" s="665">
        <f t="shared" si="0"/>
        <v>820174.96000000089</v>
      </c>
    </row>
    <row r="21" spans="1:17" ht="15" customHeight="1" thickBot="1" x14ac:dyDescent="0.3">
      <c r="A21" s="377" t="s">
        <v>627</v>
      </c>
      <c r="B21" s="408"/>
      <c r="C21" s="409"/>
      <c r="D21" s="519">
        <f>D5+D12</f>
        <v>29989593.420000002</v>
      </c>
      <c r="E21" s="385"/>
      <c r="F21" s="378" t="s">
        <v>628</v>
      </c>
      <c r="G21" s="411"/>
      <c r="H21" s="411">
        <f>SUM(H16,H15,H11,H5)</f>
        <v>34415124.949091822</v>
      </c>
      <c r="I21" s="677">
        <f>SUM(I16,I15,I11,I5)</f>
        <v>29988919.73</v>
      </c>
      <c r="J21" s="675" t="str">
        <f>IF(ABS(D21-I21)&lt;200,"","NO CUADRA")</f>
        <v>NO CUADRA</v>
      </c>
      <c r="K21" s="526">
        <f>SUM(balance!C5:C1001)</f>
        <v>183320909.72</v>
      </c>
      <c r="L21" s="527">
        <f>SUM(balance!E5:E1112)</f>
        <v>183320236.03</v>
      </c>
      <c r="N21" s="510" t="s">
        <v>629</v>
      </c>
      <c r="O21" s="666">
        <v>26898835.579999998</v>
      </c>
      <c r="P21" s="667">
        <f>P19+P20</f>
        <v>27922617.73</v>
      </c>
      <c r="Q21" s="668">
        <f t="shared" si="0"/>
        <v>1023782.1500000022</v>
      </c>
    </row>
    <row r="22" spans="1:17" ht="15" customHeight="1" thickBot="1" x14ac:dyDescent="0.35">
      <c r="A22" s="371"/>
      <c r="B22" s="387"/>
      <c r="C22" s="388"/>
      <c r="D22" s="520"/>
      <c r="E22" s="385"/>
      <c r="F22" s="385"/>
      <c r="G22" s="746"/>
      <c r="H22" s="746"/>
      <c r="I22" s="678" t="s">
        <v>630</v>
      </c>
      <c r="J22" s="683">
        <f>-I21+D21</f>
        <v>673.6900000013411</v>
      </c>
      <c r="K22" s="508" t="s">
        <v>631</v>
      </c>
      <c r="L22" s="684">
        <f>K21-L21</f>
        <v>673.68999999761581</v>
      </c>
      <c r="N22" s="506"/>
      <c r="Q22" s="660"/>
    </row>
    <row r="23" spans="1:17" ht="15" customHeight="1" thickBot="1" x14ac:dyDescent="0.35">
      <c r="A23" s="371"/>
      <c r="B23" s="387"/>
      <c r="C23" s="388"/>
      <c r="D23" s="520"/>
      <c r="E23" s="385"/>
      <c r="F23" s="385"/>
      <c r="G23" s="746"/>
      <c r="H23" s="746"/>
      <c r="I23" s="523"/>
      <c r="N23" s="505" t="s">
        <v>632</v>
      </c>
      <c r="O23" s="323">
        <v>31471852</v>
      </c>
      <c r="P23" s="323">
        <f>balance!R135</f>
        <v>32500881</v>
      </c>
      <c r="Q23" s="669">
        <f>P23-O23</f>
        <v>1029029</v>
      </c>
    </row>
    <row r="24" spans="1:17" ht="15" customHeight="1" thickBot="1" x14ac:dyDescent="0.3">
      <c r="A24" s="379" t="s">
        <v>633</v>
      </c>
      <c r="B24" s="389"/>
      <c r="C24" s="719">
        <v>2024</v>
      </c>
      <c r="D24" s="555">
        <f ca="1">Datos!I1</f>
        <v>45847.617645949074</v>
      </c>
      <c r="E24" s="385"/>
      <c r="F24" s="390" t="s">
        <v>634</v>
      </c>
      <c r="G24" s="747"/>
      <c r="H24" s="740">
        <v>2024</v>
      </c>
      <c r="I24" s="539">
        <f ca="1">I4</f>
        <v>45847.617645949074</v>
      </c>
      <c r="J24" s="90"/>
      <c r="N24" s="505" t="s">
        <v>372</v>
      </c>
      <c r="O24" s="323">
        <v>1653112</v>
      </c>
      <c r="P24" s="323">
        <f>balance!R136</f>
        <v>1695650</v>
      </c>
      <c r="Q24" s="669"/>
    </row>
    <row r="25" spans="1:17" ht="15" customHeight="1" thickBot="1" x14ac:dyDescent="0.35">
      <c r="A25" s="533" t="s">
        <v>635</v>
      </c>
      <c r="B25" s="391"/>
      <c r="C25" s="392"/>
      <c r="D25" s="521"/>
      <c r="E25" s="385"/>
      <c r="F25" s="535" t="s">
        <v>636</v>
      </c>
      <c r="G25" s="748"/>
      <c r="H25" s="729">
        <v>16115567.94189835</v>
      </c>
      <c r="I25" s="540">
        <f>D36-D29-D34-D30</f>
        <v>6681791.2800000012</v>
      </c>
      <c r="J25" s="90"/>
      <c r="N25" s="505" t="s">
        <v>637</v>
      </c>
      <c r="O25" s="87">
        <v>5841578</v>
      </c>
      <c r="P25" s="278">
        <f>balance!Q139</f>
        <v>6046338</v>
      </c>
      <c r="Q25" s="670">
        <f t="shared" ref="Q25:Q36" si="1">P25-O25</f>
        <v>204760</v>
      </c>
    </row>
    <row r="26" spans="1:17" ht="15" customHeight="1" x14ac:dyDescent="0.3">
      <c r="A26" s="531" t="s">
        <v>638</v>
      </c>
      <c r="B26" s="394"/>
      <c r="C26" s="395">
        <v>62026007.237998337</v>
      </c>
      <c r="D26" s="537">
        <f>Vaciado!L2</f>
        <v>34196531</v>
      </c>
      <c r="E26" s="385"/>
      <c r="F26" s="529" t="s">
        <v>639</v>
      </c>
      <c r="G26" s="749"/>
      <c r="H26" s="750">
        <v>0.7550964558832014</v>
      </c>
      <c r="I26" s="541">
        <f>Vaciado!L4/Vaciado!L2</f>
        <v>0.8231885567574091</v>
      </c>
      <c r="J26" s="90"/>
      <c r="N26" s="504" t="s">
        <v>375</v>
      </c>
      <c r="O26" s="278">
        <v>0</v>
      </c>
      <c r="P26" s="278">
        <f>balance!R137</f>
        <v>0</v>
      </c>
      <c r="Q26" s="660">
        <f t="shared" si="1"/>
        <v>0</v>
      </c>
    </row>
    <row r="27" spans="1:17" ht="15" customHeight="1" x14ac:dyDescent="0.3">
      <c r="A27" s="529" t="s">
        <v>640</v>
      </c>
      <c r="B27" s="384"/>
      <c r="C27" s="396">
        <v>45910439.296099991</v>
      </c>
      <c r="D27" s="514">
        <f>Vaciado!L3+Vaciado!L5+Vaciado!L6+Vaciado!L7+Vaciado!L8+Vaciado!L9</f>
        <v>27514739.719999999</v>
      </c>
      <c r="E27" s="385"/>
      <c r="F27" s="380" t="s">
        <v>641</v>
      </c>
      <c r="G27" s="751"/>
      <c r="H27" s="752">
        <v>0.25981952828370419</v>
      </c>
      <c r="I27" s="542">
        <f>D28/D26</f>
        <v>0.19539383336865371</v>
      </c>
      <c r="J27" s="90"/>
      <c r="N27" s="504" t="s">
        <v>642</v>
      </c>
      <c r="O27" s="278">
        <v>3147198</v>
      </c>
      <c r="P27" s="278">
        <f>balance!Q140</f>
        <v>3147198</v>
      </c>
      <c r="Q27" s="660">
        <f t="shared" si="1"/>
        <v>0</v>
      </c>
    </row>
    <row r="28" spans="1:17" ht="15" customHeight="1" x14ac:dyDescent="0.3">
      <c r="A28" s="381" t="s">
        <v>643</v>
      </c>
      <c r="B28" s="393"/>
      <c r="C28" s="397">
        <f>(C26-C27)</f>
        <v>16115567.941898346</v>
      </c>
      <c r="D28" s="518">
        <f>(D26-D27)</f>
        <v>6681791.2800000012</v>
      </c>
      <c r="E28" s="385"/>
      <c r="F28" s="529" t="s">
        <v>644</v>
      </c>
      <c r="G28" s="753"/>
      <c r="H28" s="754">
        <v>25.808257828598951</v>
      </c>
      <c r="I28" s="543">
        <f>D5/I5</f>
        <v>7.0556990803284796</v>
      </c>
      <c r="J28" s="90"/>
      <c r="N28" s="509" t="s">
        <v>645</v>
      </c>
      <c r="O28" s="278">
        <v>4420760</v>
      </c>
      <c r="P28" s="281">
        <f>balance!Q143</f>
        <v>4420760</v>
      </c>
      <c r="Q28" s="660">
        <f t="shared" si="1"/>
        <v>0</v>
      </c>
    </row>
    <row r="29" spans="1:17" ht="15" customHeight="1" x14ac:dyDescent="0.3">
      <c r="A29" s="529" t="s">
        <v>646</v>
      </c>
      <c r="B29" s="384"/>
      <c r="C29" s="396"/>
      <c r="D29" s="513">
        <f>Vaciado!L11</f>
        <v>0</v>
      </c>
      <c r="E29" s="385"/>
      <c r="F29" s="529" t="s">
        <v>647</v>
      </c>
      <c r="G29" s="749"/>
      <c r="H29" s="750">
        <v>0.25981952828370419</v>
      </c>
      <c r="I29" s="541">
        <f>D36/D26</f>
        <v>0.19539383336865371</v>
      </c>
      <c r="J29" s="90"/>
      <c r="N29" s="509" t="s">
        <v>648</v>
      </c>
      <c r="O29" s="278"/>
      <c r="P29" s="278"/>
      <c r="Q29" s="660">
        <f t="shared" si="1"/>
        <v>0</v>
      </c>
    </row>
    <row r="30" spans="1:17" ht="15" customHeight="1" x14ac:dyDescent="0.3">
      <c r="A30" s="529" t="s">
        <v>649</v>
      </c>
      <c r="B30" s="384"/>
      <c r="C30" s="396"/>
      <c r="D30" s="513">
        <f>Vaciado!L12</f>
        <v>0</v>
      </c>
      <c r="E30" s="385"/>
      <c r="F30" s="529" t="s">
        <v>650</v>
      </c>
      <c r="G30" s="401"/>
      <c r="H30" s="729">
        <v>50.902152832204273</v>
      </c>
      <c r="I30" s="544">
        <f>D10*365/D26</f>
        <v>181.05817312288195</v>
      </c>
      <c r="J30" s="90"/>
      <c r="N30" s="506" t="s">
        <v>384</v>
      </c>
      <c r="O30" s="278">
        <v>0</v>
      </c>
      <c r="P30" s="278">
        <f>balance!Q141</f>
        <v>0</v>
      </c>
      <c r="Q30" s="670">
        <f t="shared" si="1"/>
        <v>0</v>
      </c>
    </row>
    <row r="31" spans="1:17" ht="15" customHeight="1" x14ac:dyDescent="0.3">
      <c r="A31" s="532" t="s">
        <v>651</v>
      </c>
      <c r="B31" s="393"/>
      <c r="C31" s="397">
        <f>(C28-C29-C30)</f>
        <v>16115567.941898346</v>
      </c>
      <c r="D31" s="518">
        <f>(D28-D29-D30)</f>
        <v>6681791.2800000012</v>
      </c>
      <c r="E31" s="385"/>
      <c r="F31" s="529" t="s">
        <v>652</v>
      </c>
      <c r="G31" s="755"/>
      <c r="H31" s="540">
        <v>9.2321337094889824</v>
      </c>
      <c r="I31" s="540">
        <f>IF(D8=0, 0,D26/D8)</f>
        <v>24.371953018651425</v>
      </c>
      <c r="J31" s="90"/>
      <c r="N31" s="506" t="s">
        <v>387</v>
      </c>
      <c r="O31" s="278">
        <v>0</v>
      </c>
      <c r="P31" s="278">
        <f>balance!Q142</f>
        <v>0</v>
      </c>
      <c r="Q31" s="670">
        <f t="shared" si="1"/>
        <v>0</v>
      </c>
    </row>
    <row r="32" spans="1:17" ht="15" customHeight="1" x14ac:dyDescent="0.3">
      <c r="A32" s="529" t="s">
        <v>653</v>
      </c>
      <c r="B32" s="384"/>
      <c r="C32" s="396"/>
      <c r="D32" s="513">
        <f>Vaciado!L14-Vaciado!L22</f>
        <v>0</v>
      </c>
      <c r="E32" s="385"/>
      <c r="F32" s="536" t="s">
        <v>654</v>
      </c>
      <c r="G32" s="756"/>
      <c r="H32" s="757"/>
      <c r="I32" s="545"/>
      <c r="J32" s="90"/>
      <c r="N32" s="505" t="s">
        <v>655</v>
      </c>
      <c r="O32" s="278">
        <v>6885949</v>
      </c>
      <c r="P32" s="278">
        <f>balance!Q144</f>
        <v>6885949</v>
      </c>
      <c r="Q32" s="670">
        <f t="shared" si="1"/>
        <v>0</v>
      </c>
    </row>
    <row r="33" spans="1:17" ht="15" customHeight="1" x14ac:dyDescent="0.3">
      <c r="A33" s="529" t="s">
        <v>656</v>
      </c>
      <c r="B33" s="384"/>
      <c r="C33" s="396"/>
      <c r="D33" s="513"/>
      <c r="E33" s="385"/>
      <c r="F33" s="529" t="s">
        <v>657</v>
      </c>
      <c r="G33" s="401"/>
      <c r="H33" s="729"/>
      <c r="I33" s="540"/>
      <c r="J33" s="90"/>
      <c r="N33" s="505" t="s">
        <v>658</v>
      </c>
      <c r="O33" s="278">
        <v>0</v>
      </c>
      <c r="P33" s="278">
        <v>0</v>
      </c>
      <c r="Q33" s="670">
        <f t="shared" si="1"/>
        <v>0</v>
      </c>
    </row>
    <row r="34" spans="1:17" ht="15" customHeight="1" x14ac:dyDescent="0.3">
      <c r="A34" s="529" t="s">
        <v>659</v>
      </c>
      <c r="B34" s="384"/>
      <c r="C34" s="396"/>
      <c r="D34" s="513">
        <f>Vaciado!L29</f>
        <v>0</v>
      </c>
      <c r="E34" s="385"/>
      <c r="F34" s="529" t="s">
        <v>660</v>
      </c>
      <c r="G34" s="401"/>
      <c r="H34" s="729"/>
      <c r="I34" s="540"/>
      <c r="J34" s="90"/>
      <c r="N34" s="506" t="s">
        <v>405</v>
      </c>
      <c r="O34" s="278">
        <v>5792436</v>
      </c>
      <c r="P34" s="278">
        <f>balance!Q150</f>
        <v>5792436</v>
      </c>
      <c r="Q34" s="670">
        <f t="shared" si="1"/>
        <v>0</v>
      </c>
    </row>
    <row r="35" spans="1:17" ht="15" customHeight="1" x14ac:dyDescent="0.3">
      <c r="A35" s="529" t="s">
        <v>661</v>
      </c>
      <c r="B35" s="384"/>
      <c r="C35" s="396"/>
      <c r="D35" s="513">
        <f>Vaciado!L20</f>
        <v>0</v>
      </c>
      <c r="E35" s="385"/>
      <c r="F35" s="529" t="s">
        <v>662</v>
      </c>
      <c r="G35" s="753"/>
      <c r="H35" s="754">
        <v>0.80037156383197083</v>
      </c>
      <c r="I35" s="546">
        <f>(I5+I11)/I16</f>
        <v>0.78533558762286437</v>
      </c>
      <c r="J35" s="90"/>
      <c r="N35" s="505" t="s">
        <v>663</v>
      </c>
      <c r="O35" s="87">
        <v>0</v>
      </c>
      <c r="P35" s="278">
        <f>balance!Q159-balance!R154</f>
        <v>0</v>
      </c>
      <c r="Q35" s="669">
        <f t="shared" si="1"/>
        <v>0</v>
      </c>
    </row>
    <row r="36" spans="1:17" ht="15" customHeight="1" thickBot="1" x14ac:dyDescent="0.3">
      <c r="A36" s="378" t="s">
        <v>664</v>
      </c>
      <c r="B36" s="386"/>
      <c r="C36" s="398">
        <f>SUM(C31+C32+C33-C34-C35)</f>
        <v>16115567.941898346</v>
      </c>
      <c r="D36" s="538">
        <f>SUM(D31+D32+D33-D34-D35)</f>
        <v>6681791.2800000012</v>
      </c>
      <c r="E36" s="385"/>
      <c r="F36" s="376" t="s">
        <v>665</v>
      </c>
      <c r="G36" s="758"/>
      <c r="H36" s="759">
        <v>0.80037156383197083</v>
      </c>
      <c r="I36" s="547">
        <f>(I5+I11)/(I16+I15)</f>
        <v>0.78533558762286437</v>
      </c>
      <c r="J36" s="90"/>
      <c r="N36" s="671" t="s">
        <v>666</v>
      </c>
      <c r="O36" s="672">
        <v>5861616.3200000003</v>
      </c>
      <c r="P36" s="672">
        <f>balance!Q168</f>
        <v>6681791.2800000012</v>
      </c>
      <c r="Q36" s="673">
        <f t="shared" si="1"/>
        <v>820174.96000000089</v>
      </c>
    </row>
  </sheetData>
  <mergeCells count="2">
    <mergeCell ref="K19:L19"/>
    <mergeCell ref="A2:I2"/>
  </mergeCells>
  <conditionalFormatting sqref="J22">
    <cfRule type="cellIs" dxfId="39" priority="1" operator="greaterThan">
      <formula>10000</formula>
    </cfRule>
  </conditionalFormatting>
  <pageMargins left="0.70866141732283472" right="0.70866141732283472" top="0.74803149606299213" bottom="0.74803149606299213" header="0.31496062992125978" footer="0.31496062992125978"/>
  <pageSetup paperSize="9" scale="84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E7:H7"/>
  <sheetViews>
    <sheetView showGridLines="0" workbookViewId="0">
      <selection activeCell="N12" sqref="N12"/>
    </sheetView>
  </sheetViews>
  <sheetFormatPr baseColWidth="10" defaultColWidth="11.33203125" defaultRowHeight="14.4" x14ac:dyDescent="0.3"/>
  <cols>
    <col min="1" max="4" width="11.33203125" style="83" customWidth="1"/>
    <col min="5" max="5" width="12.88671875" style="83" customWidth="1"/>
    <col min="6" max="6" width="11.33203125" style="83" customWidth="1"/>
    <col min="7" max="7" width="19.109375" style="83" customWidth="1"/>
    <col min="8" max="8" width="20.33203125" style="83" customWidth="1"/>
    <col min="9" max="11" width="11.33203125" style="83" customWidth="1"/>
    <col min="12" max="16384" width="11.33203125" style="83"/>
  </cols>
  <sheetData>
    <row r="7" spans="5:8" ht="18.45" customHeight="1" thickBot="1" x14ac:dyDescent="0.4">
      <c r="E7" s="787" t="s">
        <v>667</v>
      </c>
      <c r="F7" s="788"/>
      <c r="G7" s="788"/>
      <c r="H7" s="789"/>
    </row>
  </sheetData>
  <mergeCells count="1">
    <mergeCell ref="E7:H7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atos"/>
  <dimension ref="A1:AG7399"/>
  <sheetViews>
    <sheetView zoomScale="90" zoomScaleNormal="90" workbookViewId="0">
      <pane ySplit="1" topLeftCell="A2" activePane="bottomLeft" state="frozen"/>
      <selection activeCell="AR1" sqref="AR1"/>
      <selection pane="bottomLeft" activeCell="S31" sqref="S31"/>
    </sheetView>
  </sheetViews>
  <sheetFormatPr baseColWidth="10" defaultColWidth="11.33203125" defaultRowHeight="14.4" x14ac:dyDescent="0.3"/>
  <cols>
    <col min="1" max="1" width="14.33203125" style="84" customWidth="1"/>
    <col min="2" max="2" width="15" style="84" bestFit="1" customWidth="1"/>
    <col min="3" max="3" width="12.88671875" style="285" bestFit="1" customWidth="1"/>
    <col min="4" max="4" width="11.33203125" style="84" customWidth="1"/>
    <col min="5" max="5" width="11.5546875" style="84" customWidth="1"/>
    <col min="6" max="6" width="15.5546875" style="157" bestFit="1" customWidth="1"/>
    <col min="7" max="7" width="13.33203125" style="285" bestFit="1" customWidth="1"/>
    <col min="8" max="8" width="11.6640625" style="85" bestFit="1" customWidth="1"/>
    <col min="9" max="9" width="12" style="85" bestFit="1" customWidth="1"/>
    <col min="10" max="10" width="15.6640625" style="85" customWidth="1"/>
    <col min="11" max="11" width="12.88671875" style="293" bestFit="1" customWidth="1"/>
    <col min="12" max="12" width="13" style="85" customWidth="1"/>
    <col min="13" max="13" width="13.33203125" style="293" bestFit="1" customWidth="1"/>
    <col min="14" max="14" width="7.21875" style="85" customWidth="1"/>
    <col min="15" max="15" width="11" style="85" bestFit="1" customWidth="1"/>
    <col min="16" max="16" width="19.21875" style="85" bestFit="1" customWidth="1"/>
    <col min="17" max="20" width="13.5546875" style="85" bestFit="1" customWidth="1"/>
    <col min="21" max="21" width="4.33203125" style="85" customWidth="1"/>
    <col min="22" max="24" width="11.33203125" style="85" customWidth="1"/>
    <col min="25" max="25" width="4.33203125" style="85" customWidth="1"/>
    <col min="26" max="26" width="16.88671875" style="85" bestFit="1" customWidth="1"/>
    <col min="27" max="27" width="16.44140625" style="85" bestFit="1" customWidth="1"/>
    <col min="28" max="28" width="18.44140625" style="85" bestFit="1" customWidth="1"/>
    <col min="29" max="31" width="11.33203125" style="85" customWidth="1"/>
    <col min="32" max="16384" width="11.33203125" style="85"/>
  </cols>
  <sheetData>
    <row r="1" spans="1:33" ht="16.2" customHeight="1" thickBot="1" x14ac:dyDescent="0.35">
      <c r="A1" s="286" t="s">
        <v>0</v>
      </c>
      <c r="B1" s="287" t="s">
        <v>668</v>
      </c>
      <c r="C1" s="288" t="s">
        <v>669</v>
      </c>
      <c r="E1" s="290" t="s">
        <v>0</v>
      </c>
      <c r="F1" s="291" t="s">
        <v>670</v>
      </c>
      <c r="G1" s="292" t="s">
        <v>671</v>
      </c>
      <c r="H1" s="449">
        <v>45752</v>
      </c>
      <c r="I1" s="449">
        <f ca="1">NOW()</f>
        <v>45847.617645949074</v>
      </c>
      <c r="J1" s="287" t="s">
        <v>668</v>
      </c>
      <c r="K1" s="288" t="s">
        <v>669</v>
      </c>
      <c r="L1" s="294" t="s">
        <v>670</v>
      </c>
      <c r="M1" s="295" t="s">
        <v>671</v>
      </c>
      <c r="O1" s="300"/>
      <c r="P1" s="302" t="s">
        <v>672</v>
      </c>
      <c r="Q1" s="301"/>
      <c r="R1" s="297"/>
      <c r="S1" s="790" t="s">
        <v>673</v>
      </c>
      <c r="T1" s="789"/>
      <c r="V1" s="77" t="s">
        <v>674</v>
      </c>
      <c r="W1" s="77" t="s">
        <v>675</v>
      </c>
      <c r="X1" s="77" t="s">
        <v>676</v>
      </c>
    </row>
    <row r="2" spans="1:33" s="289" customFormat="1" x14ac:dyDescent="0.3">
      <c r="A2" s="80">
        <v>45826</v>
      </c>
      <c r="B2">
        <v>1011001</v>
      </c>
      <c r="C2">
        <v>0</v>
      </c>
      <c r="D2" s="84"/>
      <c r="E2" s="80">
        <v>45826</v>
      </c>
      <c r="F2">
        <v>1010100</v>
      </c>
      <c r="G2">
        <v>708777</v>
      </c>
      <c r="H2" s="449">
        <v>45658</v>
      </c>
      <c r="I2" s="85"/>
      <c r="J2">
        <v>1010100</v>
      </c>
      <c r="K2">
        <v>67805482</v>
      </c>
      <c r="L2">
        <v>1010100</v>
      </c>
      <c r="M2">
        <v>62264418.579999998</v>
      </c>
      <c r="N2" s="85"/>
      <c r="O2" s="298"/>
      <c r="P2" s="296" t="s">
        <v>669</v>
      </c>
      <c r="Q2" s="296" t="s">
        <v>671</v>
      </c>
      <c r="R2" s="296"/>
      <c r="S2" s="296" t="s">
        <v>669</v>
      </c>
      <c r="T2" s="299" t="s">
        <v>671</v>
      </c>
      <c r="V2" t="s">
        <v>677</v>
      </c>
      <c r="W2">
        <v>2000</v>
      </c>
      <c r="X2">
        <v>1061037257</v>
      </c>
      <c r="Z2" s="79" t="s">
        <v>678</v>
      </c>
      <c r="AA2" t="s">
        <v>679</v>
      </c>
      <c r="AB2" t="s">
        <v>680</v>
      </c>
      <c r="AD2" s="289" t="s">
        <v>678</v>
      </c>
      <c r="AE2" s="289" t="s">
        <v>679</v>
      </c>
      <c r="AF2" s="289" t="s">
        <v>680</v>
      </c>
    </row>
    <row r="3" spans="1:33" ht="14.7" customHeight="1" thickBot="1" x14ac:dyDescent="0.35">
      <c r="A3" s="80">
        <v>45820</v>
      </c>
      <c r="B3">
        <v>1011001</v>
      </c>
      <c r="C3">
        <v>0</v>
      </c>
      <c r="E3" s="80">
        <v>45820</v>
      </c>
      <c r="F3">
        <v>1010100</v>
      </c>
      <c r="G3">
        <v>909</v>
      </c>
      <c r="J3">
        <v>1010501</v>
      </c>
      <c r="K3">
        <v>6718491</v>
      </c>
      <c r="L3">
        <v>1010501</v>
      </c>
      <c r="M3">
        <v>6718491</v>
      </c>
      <c r="O3" s="303" t="s">
        <v>681</v>
      </c>
      <c r="P3" s="304">
        <f>SUM(C2:C45133)</f>
        <v>183320909.72000581</v>
      </c>
      <c r="Q3" s="304">
        <f>SUM(G2:G50000)</f>
        <v>183320236.03000155</v>
      </c>
      <c r="R3" s="306"/>
      <c r="S3" s="304">
        <f>SUM(K2:K42637)</f>
        <v>183320909.72</v>
      </c>
      <c r="T3" s="305">
        <f>SUM(M2:M42637)</f>
        <v>183320236.03</v>
      </c>
      <c r="Z3" s="78" t="s">
        <v>682</v>
      </c>
      <c r="AA3">
        <v>100</v>
      </c>
      <c r="AB3">
        <v>1008000</v>
      </c>
      <c r="AD3" s="85" t="s">
        <v>682</v>
      </c>
      <c r="AE3" s="85">
        <v>100</v>
      </c>
      <c r="AF3" s="85">
        <v>1008000</v>
      </c>
      <c r="AG3" s="511">
        <f>AF3/AE3</f>
        <v>10080</v>
      </c>
    </row>
    <row r="4" spans="1:33" x14ac:dyDescent="0.3">
      <c r="A4" s="80">
        <v>45817</v>
      </c>
      <c r="B4">
        <v>1011001</v>
      </c>
      <c r="C4">
        <v>0</v>
      </c>
      <c r="E4" s="80">
        <v>45817</v>
      </c>
      <c r="F4">
        <v>1010100</v>
      </c>
      <c r="G4">
        <v>58530</v>
      </c>
      <c r="J4">
        <v>1010503</v>
      </c>
      <c r="K4">
        <v>7703260</v>
      </c>
      <c r="L4">
        <v>1010503</v>
      </c>
      <c r="M4">
        <v>7703260</v>
      </c>
      <c r="Z4" s="78" t="s">
        <v>683</v>
      </c>
      <c r="AD4" s="85" t="s">
        <v>683</v>
      </c>
      <c r="AG4" s="511" t="e">
        <f>AF4/AE4</f>
        <v>#DIV/0!</v>
      </c>
    </row>
    <row r="5" spans="1:33" ht="14.7" customHeight="1" thickBot="1" x14ac:dyDescent="0.35">
      <c r="A5" s="80">
        <v>45817</v>
      </c>
      <c r="B5">
        <v>1011001</v>
      </c>
      <c r="C5">
        <v>0</v>
      </c>
      <c r="E5" s="80">
        <v>45817</v>
      </c>
      <c r="F5">
        <v>1010100</v>
      </c>
      <c r="G5">
        <v>4855</v>
      </c>
      <c r="J5">
        <v>1010600</v>
      </c>
      <c r="K5">
        <v>2003110</v>
      </c>
      <c r="L5">
        <v>1010600</v>
      </c>
      <c r="M5">
        <v>600000</v>
      </c>
      <c r="Z5" s="78" t="s">
        <v>684</v>
      </c>
      <c r="AA5">
        <v>100</v>
      </c>
      <c r="AB5">
        <v>1008000</v>
      </c>
      <c r="AD5" s="85" t="s">
        <v>684</v>
      </c>
      <c r="AE5" s="85">
        <v>100</v>
      </c>
      <c r="AF5" s="85">
        <v>1008000</v>
      </c>
      <c r="AG5" s="511">
        <f>AF5/AE5</f>
        <v>10080</v>
      </c>
    </row>
    <row r="6" spans="1:33" ht="16.2" customHeight="1" thickBot="1" x14ac:dyDescent="0.35">
      <c r="A6" s="80">
        <v>45813</v>
      </c>
      <c r="B6">
        <v>1011001</v>
      </c>
      <c r="C6">
        <v>0</v>
      </c>
      <c r="E6" s="80">
        <v>45813</v>
      </c>
      <c r="F6">
        <v>1010100</v>
      </c>
      <c r="G6">
        <v>27560</v>
      </c>
      <c r="J6">
        <v>1010900</v>
      </c>
      <c r="K6">
        <v>23009520</v>
      </c>
      <c r="L6">
        <v>1010900</v>
      </c>
      <c r="M6">
        <v>6046338</v>
      </c>
      <c r="O6" s="300"/>
      <c r="P6" s="302" t="s">
        <v>685</v>
      </c>
      <c r="Q6" s="301"/>
    </row>
    <row r="7" spans="1:33" x14ac:dyDescent="0.3">
      <c r="A7" s="80">
        <v>45812</v>
      </c>
      <c r="B7">
        <v>1011001</v>
      </c>
      <c r="C7">
        <v>0</v>
      </c>
      <c r="E7" s="80">
        <v>45812</v>
      </c>
      <c r="F7">
        <v>1010100</v>
      </c>
      <c r="G7">
        <v>460000</v>
      </c>
      <c r="J7">
        <v>1011001</v>
      </c>
      <c r="K7">
        <v>4411837</v>
      </c>
      <c r="L7">
        <v>1011001</v>
      </c>
      <c r="M7">
        <v>2012779</v>
      </c>
      <c r="O7" s="298"/>
      <c r="P7" s="296" t="s">
        <v>669</v>
      </c>
      <c r="Q7" s="296" t="s">
        <v>671</v>
      </c>
    </row>
    <row r="8" spans="1:33" ht="14.7" customHeight="1" thickBot="1" x14ac:dyDescent="0.35">
      <c r="A8" s="80">
        <v>45810</v>
      </c>
      <c r="B8">
        <v>1011001</v>
      </c>
      <c r="C8">
        <v>0</v>
      </c>
      <c r="E8" s="80">
        <v>45810</v>
      </c>
      <c r="F8">
        <v>1010100</v>
      </c>
      <c r="G8">
        <v>13369</v>
      </c>
      <c r="J8">
        <v>1011100</v>
      </c>
      <c r="K8">
        <v>11339602</v>
      </c>
      <c r="L8">
        <v>1011100</v>
      </c>
      <c r="M8">
        <v>11339602</v>
      </c>
      <c r="O8" s="303" t="s">
        <v>681</v>
      </c>
      <c r="P8" s="304">
        <f>SUM(K2:K50)</f>
        <v>183320909.72</v>
      </c>
      <c r="Q8" s="304">
        <f>SUM(M2:M50)</f>
        <v>183320236.03</v>
      </c>
    </row>
    <row r="9" spans="1:33" x14ac:dyDescent="0.3">
      <c r="A9" s="80">
        <v>45807</v>
      </c>
      <c r="B9">
        <v>1011001</v>
      </c>
      <c r="C9">
        <v>0</v>
      </c>
      <c r="E9" s="80">
        <v>45807</v>
      </c>
      <c r="F9">
        <v>1010100</v>
      </c>
      <c r="G9">
        <v>125000</v>
      </c>
      <c r="J9">
        <v>1011501</v>
      </c>
      <c r="K9">
        <v>3417</v>
      </c>
      <c r="L9">
        <v>1011101</v>
      </c>
      <c r="M9">
        <v>477784</v>
      </c>
    </row>
    <row r="10" spans="1:33" x14ac:dyDescent="0.3">
      <c r="A10" s="80">
        <v>45807</v>
      </c>
      <c r="B10">
        <v>1011001</v>
      </c>
      <c r="C10">
        <v>0</v>
      </c>
      <c r="E10" s="80">
        <v>45807</v>
      </c>
      <c r="F10">
        <v>1010100</v>
      </c>
      <c r="G10">
        <v>458</v>
      </c>
      <c r="J10">
        <v>1031000</v>
      </c>
      <c r="K10">
        <v>4157547</v>
      </c>
      <c r="L10">
        <v>1011501</v>
      </c>
      <c r="M10">
        <v>0</v>
      </c>
    </row>
    <row r="11" spans="1:33" x14ac:dyDescent="0.3">
      <c r="A11" s="80">
        <v>45806</v>
      </c>
      <c r="B11">
        <v>1011001</v>
      </c>
      <c r="C11">
        <v>0</v>
      </c>
      <c r="E11" s="80">
        <v>45806</v>
      </c>
      <c r="F11">
        <v>1010100</v>
      </c>
      <c r="G11">
        <v>801666</v>
      </c>
      <c r="J11">
        <v>2010902</v>
      </c>
      <c r="K11">
        <v>0</v>
      </c>
      <c r="L11">
        <v>1031000</v>
      </c>
      <c r="M11">
        <v>0</v>
      </c>
    </row>
    <row r="12" spans="1:33" x14ac:dyDescent="0.3">
      <c r="A12" s="80">
        <v>45803</v>
      </c>
      <c r="B12">
        <v>1011001</v>
      </c>
      <c r="C12">
        <v>0</v>
      </c>
      <c r="E12" s="80">
        <v>45803</v>
      </c>
      <c r="F12">
        <v>1010100</v>
      </c>
      <c r="G12">
        <v>811375</v>
      </c>
      <c r="J12">
        <v>2011200</v>
      </c>
      <c r="K12">
        <v>0</v>
      </c>
      <c r="L12">
        <v>2010902</v>
      </c>
      <c r="M12">
        <v>2066302</v>
      </c>
    </row>
    <row r="13" spans="1:33" x14ac:dyDescent="0.3">
      <c r="A13" s="80">
        <v>45803</v>
      </c>
      <c r="B13">
        <v>1011001</v>
      </c>
      <c r="C13">
        <v>0</v>
      </c>
      <c r="E13" s="80">
        <v>45803</v>
      </c>
      <c r="F13">
        <v>1010100</v>
      </c>
      <c r="G13">
        <v>15620</v>
      </c>
      <c r="J13">
        <v>2011310</v>
      </c>
      <c r="K13">
        <v>5093043</v>
      </c>
      <c r="L13">
        <v>2011200</v>
      </c>
      <c r="M13">
        <v>207718.14</v>
      </c>
    </row>
    <row r="14" spans="1:33" x14ac:dyDescent="0.3">
      <c r="A14" s="80">
        <v>45803</v>
      </c>
      <c r="B14">
        <v>1011001</v>
      </c>
      <c r="C14">
        <v>0</v>
      </c>
      <c r="E14" s="80">
        <v>45803</v>
      </c>
      <c r="F14">
        <v>1010100</v>
      </c>
      <c r="G14">
        <v>92569</v>
      </c>
      <c r="J14">
        <v>2020502</v>
      </c>
      <c r="K14">
        <v>8753667</v>
      </c>
      <c r="L14">
        <v>2011310</v>
      </c>
      <c r="M14">
        <v>6480183.3099999996</v>
      </c>
    </row>
    <row r="15" spans="1:33" x14ac:dyDescent="0.3">
      <c r="A15" s="80">
        <v>45794</v>
      </c>
      <c r="B15">
        <v>1011001</v>
      </c>
      <c r="C15">
        <v>4991</v>
      </c>
      <c r="E15" s="80">
        <v>45794</v>
      </c>
      <c r="F15">
        <v>2010902</v>
      </c>
      <c r="G15">
        <v>31262</v>
      </c>
      <c r="J15">
        <v>2020503</v>
      </c>
      <c r="K15">
        <v>1057546</v>
      </c>
      <c r="L15">
        <v>2020502</v>
      </c>
      <c r="M15">
        <v>8647039</v>
      </c>
    </row>
    <row r="16" spans="1:33" x14ac:dyDescent="0.3">
      <c r="A16" s="80">
        <v>45791</v>
      </c>
      <c r="B16">
        <v>1011001</v>
      </c>
      <c r="C16">
        <v>0</v>
      </c>
      <c r="E16" s="80">
        <v>45791</v>
      </c>
      <c r="F16">
        <v>1010100</v>
      </c>
      <c r="G16">
        <v>920</v>
      </c>
      <c r="J16">
        <v>2030100</v>
      </c>
      <c r="K16">
        <v>0</v>
      </c>
      <c r="L16">
        <v>2020503</v>
      </c>
      <c r="M16">
        <v>10694576</v>
      </c>
    </row>
    <row r="17" spans="1:13" x14ac:dyDescent="0.3">
      <c r="A17" s="80">
        <v>45785</v>
      </c>
      <c r="B17">
        <v>1011001</v>
      </c>
      <c r="C17">
        <v>0</v>
      </c>
      <c r="E17" s="80">
        <v>45785</v>
      </c>
      <c r="F17">
        <v>1010100</v>
      </c>
      <c r="G17">
        <v>29428</v>
      </c>
      <c r="J17">
        <v>2030600</v>
      </c>
      <c r="K17">
        <v>0</v>
      </c>
      <c r="L17">
        <v>2030100</v>
      </c>
      <c r="M17">
        <v>3000000</v>
      </c>
    </row>
    <row r="18" spans="1:13" x14ac:dyDescent="0.3">
      <c r="A18" s="80">
        <v>45785</v>
      </c>
      <c r="B18">
        <v>1011001</v>
      </c>
      <c r="C18">
        <v>0</v>
      </c>
      <c r="E18" s="80">
        <v>45785</v>
      </c>
      <c r="F18">
        <v>1010100</v>
      </c>
      <c r="G18">
        <v>5060</v>
      </c>
      <c r="J18">
        <v>2030800</v>
      </c>
      <c r="K18">
        <v>9000000</v>
      </c>
      <c r="L18">
        <v>2030600</v>
      </c>
      <c r="M18">
        <v>16115566</v>
      </c>
    </row>
    <row r="19" spans="1:13" x14ac:dyDescent="0.3">
      <c r="A19" s="80">
        <v>45781</v>
      </c>
      <c r="B19">
        <v>1011001</v>
      </c>
      <c r="C19">
        <v>0</v>
      </c>
      <c r="E19" s="80">
        <v>45781</v>
      </c>
      <c r="F19">
        <v>2010902</v>
      </c>
      <c r="G19">
        <v>40000</v>
      </c>
      <c r="J19">
        <v>3010200</v>
      </c>
      <c r="K19">
        <v>6046338</v>
      </c>
      <c r="L19">
        <v>3010101</v>
      </c>
      <c r="M19">
        <v>32500881</v>
      </c>
    </row>
    <row r="20" spans="1:13" x14ac:dyDescent="0.3">
      <c r="A20" s="80">
        <v>45779</v>
      </c>
      <c r="B20">
        <v>1011001</v>
      </c>
      <c r="C20">
        <v>0</v>
      </c>
      <c r="E20" s="80">
        <v>45779</v>
      </c>
      <c r="F20">
        <v>1010100</v>
      </c>
      <c r="G20">
        <v>13457</v>
      </c>
      <c r="J20">
        <v>3010201</v>
      </c>
      <c r="K20">
        <v>7896846</v>
      </c>
      <c r="L20">
        <v>3010111</v>
      </c>
      <c r="M20">
        <v>1695650</v>
      </c>
    </row>
    <row r="21" spans="1:13" x14ac:dyDescent="0.3">
      <c r="A21" s="80">
        <v>45779</v>
      </c>
      <c r="B21">
        <v>1011001</v>
      </c>
      <c r="C21">
        <v>0</v>
      </c>
      <c r="E21" s="80">
        <v>45779</v>
      </c>
      <c r="F21">
        <v>1010100</v>
      </c>
      <c r="G21">
        <v>84116</v>
      </c>
      <c r="J21">
        <v>3010205</v>
      </c>
      <c r="K21">
        <v>4420760</v>
      </c>
      <c r="L21">
        <v>3010201</v>
      </c>
      <c r="M21">
        <v>4749648</v>
      </c>
    </row>
    <row r="22" spans="1:13" x14ac:dyDescent="0.3">
      <c r="A22" s="80">
        <v>45778</v>
      </c>
      <c r="B22">
        <v>1011001</v>
      </c>
      <c r="C22">
        <v>0</v>
      </c>
      <c r="E22" s="80">
        <v>45778</v>
      </c>
      <c r="F22">
        <v>2010902</v>
      </c>
      <c r="G22">
        <v>712500</v>
      </c>
      <c r="J22">
        <v>3010211</v>
      </c>
      <c r="K22">
        <v>6885949</v>
      </c>
      <c r="L22"/>
      <c r="M22"/>
    </row>
    <row r="23" spans="1:13" x14ac:dyDescent="0.3">
      <c r="A23" s="80">
        <v>45777</v>
      </c>
      <c r="B23">
        <v>1011001</v>
      </c>
      <c r="C23">
        <v>0</v>
      </c>
      <c r="E23" s="80">
        <v>45777</v>
      </c>
      <c r="F23">
        <v>1010100</v>
      </c>
      <c r="G23">
        <v>460000</v>
      </c>
      <c r="J23">
        <v>3010212</v>
      </c>
      <c r="K23">
        <v>1222058.72</v>
      </c>
      <c r="L23"/>
      <c r="M23"/>
    </row>
    <row r="24" spans="1:13" x14ac:dyDescent="0.3">
      <c r="A24" s="80">
        <v>45775</v>
      </c>
      <c r="B24">
        <v>1011001</v>
      </c>
      <c r="C24">
        <v>0</v>
      </c>
      <c r="E24" s="80">
        <v>45775</v>
      </c>
      <c r="F24">
        <v>1010100</v>
      </c>
      <c r="G24">
        <v>2480</v>
      </c>
      <c r="J24">
        <v>3010300</v>
      </c>
      <c r="K24">
        <v>5792436</v>
      </c>
      <c r="L24"/>
      <c r="M24"/>
    </row>
    <row r="25" spans="1:13" x14ac:dyDescent="0.3">
      <c r="A25" s="80">
        <v>45770</v>
      </c>
      <c r="B25">
        <v>1011001</v>
      </c>
      <c r="C25">
        <v>0</v>
      </c>
      <c r="E25" s="80">
        <v>45770</v>
      </c>
      <c r="F25">
        <v>1010100</v>
      </c>
      <c r="G25">
        <v>475</v>
      </c>
    </row>
    <row r="26" spans="1:13" x14ac:dyDescent="0.3">
      <c r="A26" s="80">
        <v>45769</v>
      </c>
      <c r="B26">
        <v>1011001</v>
      </c>
      <c r="C26">
        <v>0</v>
      </c>
      <c r="E26" s="80">
        <v>45769</v>
      </c>
      <c r="F26">
        <v>1010100</v>
      </c>
      <c r="G26">
        <v>133348</v>
      </c>
    </row>
    <row r="27" spans="1:13" x14ac:dyDescent="0.3">
      <c r="A27" s="80">
        <v>45764</v>
      </c>
      <c r="B27">
        <v>1011001</v>
      </c>
      <c r="C27">
        <v>0</v>
      </c>
      <c r="E27" s="80">
        <v>45764</v>
      </c>
      <c r="F27">
        <v>1010100</v>
      </c>
      <c r="G27">
        <v>76735</v>
      </c>
    </row>
    <row r="28" spans="1:13" x14ac:dyDescent="0.3">
      <c r="A28" s="80">
        <v>45761</v>
      </c>
      <c r="B28">
        <v>1011001</v>
      </c>
      <c r="C28">
        <v>0</v>
      </c>
      <c r="E28" s="80">
        <v>45761</v>
      </c>
      <c r="F28">
        <v>1010100</v>
      </c>
      <c r="G28">
        <v>313600</v>
      </c>
    </row>
    <row r="29" spans="1:13" x14ac:dyDescent="0.3">
      <c r="A29" s="80">
        <v>45761</v>
      </c>
      <c r="B29">
        <v>1011001</v>
      </c>
      <c r="C29">
        <v>0</v>
      </c>
      <c r="E29" s="80">
        <v>45761</v>
      </c>
      <c r="F29">
        <v>1010100</v>
      </c>
      <c r="G29">
        <v>980</v>
      </c>
    </row>
    <row r="30" spans="1:13" x14ac:dyDescent="0.3">
      <c r="A30" s="80">
        <v>45752</v>
      </c>
      <c r="B30">
        <v>1011001</v>
      </c>
      <c r="C30">
        <v>0</v>
      </c>
      <c r="E30" s="80">
        <v>45752</v>
      </c>
      <c r="F30">
        <v>2010902</v>
      </c>
      <c r="G30">
        <v>68400</v>
      </c>
    </row>
    <row r="31" spans="1:13" x14ac:dyDescent="0.3">
      <c r="A31" s="80">
        <v>45749</v>
      </c>
      <c r="B31">
        <v>1011001</v>
      </c>
      <c r="C31">
        <v>0</v>
      </c>
      <c r="E31" s="80">
        <v>45749</v>
      </c>
      <c r="F31">
        <v>2010902</v>
      </c>
      <c r="G31">
        <v>198561</v>
      </c>
    </row>
    <row r="32" spans="1:13" x14ac:dyDescent="0.3">
      <c r="A32" s="80">
        <v>45748</v>
      </c>
      <c r="B32">
        <v>1011001</v>
      </c>
      <c r="C32">
        <v>0</v>
      </c>
      <c r="E32" s="80">
        <v>45748</v>
      </c>
      <c r="F32">
        <v>1010100</v>
      </c>
      <c r="G32">
        <v>460000</v>
      </c>
    </row>
    <row r="33" spans="1:7" x14ac:dyDescent="0.3">
      <c r="A33" s="80">
        <v>45748</v>
      </c>
      <c r="B33">
        <v>1011001</v>
      </c>
      <c r="C33">
        <v>0</v>
      </c>
      <c r="E33" s="80">
        <v>45748</v>
      </c>
      <c r="F33">
        <v>1010100</v>
      </c>
      <c r="G33">
        <v>13514</v>
      </c>
    </row>
    <row r="34" spans="1:7" x14ac:dyDescent="0.3">
      <c r="A34" s="80">
        <v>45744</v>
      </c>
      <c r="B34">
        <v>1011001</v>
      </c>
      <c r="C34">
        <v>0</v>
      </c>
      <c r="E34" s="80">
        <v>45744</v>
      </c>
      <c r="F34">
        <v>1010100</v>
      </c>
      <c r="G34">
        <v>63523</v>
      </c>
    </row>
    <row r="35" spans="1:7" x14ac:dyDescent="0.3">
      <c r="A35" s="80">
        <v>45743</v>
      </c>
      <c r="B35">
        <v>1011001</v>
      </c>
      <c r="C35">
        <v>0</v>
      </c>
      <c r="E35" s="80">
        <v>45743</v>
      </c>
      <c r="F35">
        <v>1010100</v>
      </c>
      <c r="G35">
        <v>396100</v>
      </c>
    </row>
    <row r="36" spans="1:7" x14ac:dyDescent="0.3">
      <c r="A36" s="80">
        <v>45742</v>
      </c>
      <c r="B36">
        <v>1011001</v>
      </c>
      <c r="C36">
        <v>0</v>
      </c>
      <c r="E36" s="80">
        <v>45742</v>
      </c>
      <c r="F36">
        <v>1010100</v>
      </c>
      <c r="G36">
        <v>23198</v>
      </c>
    </row>
    <row r="37" spans="1:7" x14ac:dyDescent="0.3">
      <c r="A37" s="80">
        <v>45741</v>
      </c>
      <c r="B37">
        <v>1011001</v>
      </c>
      <c r="C37">
        <v>0</v>
      </c>
      <c r="E37" s="80">
        <v>45741</v>
      </c>
      <c r="F37">
        <v>1010100</v>
      </c>
      <c r="G37">
        <v>450</v>
      </c>
    </row>
    <row r="38" spans="1:7" x14ac:dyDescent="0.3">
      <c r="A38" s="80">
        <v>45740</v>
      </c>
      <c r="B38">
        <v>1011001</v>
      </c>
      <c r="C38">
        <v>0</v>
      </c>
      <c r="E38" s="80">
        <v>45740</v>
      </c>
      <c r="F38">
        <v>1010100</v>
      </c>
      <c r="G38">
        <v>1052344</v>
      </c>
    </row>
    <row r="39" spans="1:7" x14ac:dyDescent="0.3">
      <c r="A39" s="80">
        <v>45735</v>
      </c>
      <c r="B39">
        <v>1011001</v>
      </c>
      <c r="C39">
        <v>0</v>
      </c>
      <c r="E39" s="80">
        <v>45735</v>
      </c>
      <c r="F39">
        <v>1010100</v>
      </c>
      <c r="G39">
        <v>63365</v>
      </c>
    </row>
    <row r="40" spans="1:7" x14ac:dyDescent="0.3">
      <c r="A40" s="80">
        <v>45733</v>
      </c>
      <c r="B40">
        <v>1011001</v>
      </c>
      <c r="C40">
        <v>68575</v>
      </c>
      <c r="E40" s="80">
        <v>45733</v>
      </c>
      <c r="F40">
        <v>2010902</v>
      </c>
      <c r="G40">
        <v>429496</v>
      </c>
    </row>
    <row r="41" spans="1:7" x14ac:dyDescent="0.3">
      <c r="A41" s="80">
        <v>45729</v>
      </c>
      <c r="B41">
        <v>1011001</v>
      </c>
      <c r="C41">
        <v>0</v>
      </c>
      <c r="E41" s="80">
        <v>45729</v>
      </c>
      <c r="F41">
        <v>1010100</v>
      </c>
      <c r="G41">
        <v>453</v>
      </c>
    </row>
    <row r="42" spans="1:7" x14ac:dyDescent="0.3">
      <c r="A42" s="80">
        <v>45728</v>
      </c>
      <c r="B42">
        <v>1011001</v>
      </c>
      <c r="C42">
        <v>0</v>
      </c>
      <c r="E42" s="80">
        <v>45728</v>
      </c>
      <c r="F42">
        <v>1010100</v>
      </c>
      <c r="G42">
        <v>455</v>
      </c>
    </row>
    <row r="43" spans="1:7" x14ac:dyDescent="0.3">
      <c r="A43" s="80">
        <v>45726</v>
      </c>
      <c r="B43">
        <v>1011001</v>
      </c>
      <c r="C43">
        <v>0</v>
      </c>
      <c r="E43" s="80">
        <v>45726</v>
      </c>
      <c r="F43">
        <v>1010100</v>
      </c>
      <c r="G43">
        <v>7481</v>
      </c>
    </row>
    <row r="44" spans="1:7" x14ac:dyDescent="0.3">
      <c r="A44" s="80">
        <v>45726</v>
      </c>
      <c r="B44">
        <v>1011001</v>
      </c>
      <c r="C44">
        <v>0</v>
      </c>
      <c r="E44" s="80">
        <v>45726</v>
      </c>
      <c r="F44">
        <v>1010100</v>
      </c>
      <c r="G44">
        <v>7481</v>
      </c>
    </row>
    <row r="45" spans="1:7" x14ac:dyDescent="0.3">
      <c r="A45" s="80">
        <v>45723</v>
      </c>
      <c r="B45">
        <v>1011001</v>
      </c>
      <c r="C45">
        <v>0</v>
      </c>
      <c r="E45" s="80">
        <v>45723</v>
      </c>
      <c r="F45">
        <v>1010100</v>
      </c>
      <c r="G45">
        <v>64631</v>
      </c>
    </row>
    <row r="46" spans="1:7" x14ac:dyDescent="0.3">
      <c r="A46" s="80">
        <v>45720</v>
      </c>
      <c r="B46">
        <v>1011001</v>
      </c>
      <c r="C46">
        <v>0</v>
      </c>
      <c r="E46" s="80">
        <v>45720</v>
      </c>
      <c r="F46">
        <v>1010100</v>
      </c>
      <c r="G46">
        <v>57546</v>
      </c>
    </row>
    <row r="47" spans="1:7" x14ac:dyDescent="0.3">
      <c r="A47" s="80">
        <v>45720</v>
      </c>
      <c r="B47">
        <v>1011001</v>
      </c>
      <c r="C47">
        <v>0</v>
      </c>
      <c r="E47" s="80">
        <v>45720</v>
      </c>
      <c r="F47">
        <v>1010100</v>
      </c>
      <c r="G47">
        <v>100000</v>
      </c>
    </row>
    <row r="48" spans="1:7" x14ac:dyDescent="0.3">
      <c r="A48" s="80">
        <v>45719</v>
      </c>
      <c r="B48">
        <v>2020502</v>
      </c>
      <c r="C48">
        <v>0</v>
      </c>
      <c r="E48" s="80">
        <v>45719</v>
      </c>
      <c r="F48">
        <v>1010100</v>
      </c>
      <c r="G48">
        <v>500</v>
      </c>
    </row>
    <row r="49" spans="1:7" x14ac:dyDescent="0.3">
      <c r="A49" s="80">
        <v>45719</v>
      </c>
      <c r="B49">
        <v>1011001</v>
      </c>
      <c r="C49">
        <v>0</v>
      </c>
      <c r="E49" s="80">
        <v>45719</v>
      </c>
      <c r="F49">
        <v>1010100</v>
      </c>
      <c r="G49">
        <v>460000</v>
      </c>
    </row>
    <row r="50" spans="1:7" x14ac:dyDescent="0.3">
      <c r="A50" s="80">
        <v>45719</v>
      </c>
      <c r="B50">
        <v>1011001</v>
      </c>
      <c r="C50">
        <v>0</v>
      </c>
      <c r="E50" s="80">
        <v>45719</v>
      </c>
      <c r="F50">
        <v>1010100</v>
      </c>
      <c r="G50">
        <v>13416</v>
      </c>
    </row>
    <row r="51" spans="1:7" x14ac:dyDescent="0.3">
      <c r="A51" s="80">
        <v>45717</v>
      </c>
      <c r="B51">
        <v>2020502</v>
      </c>
      <c r="C51">
        <v>0</v>
      </c>
      <c r="E51" s="80">
        <v>45717</v>
      </c>
      <c r="F51">
        <v>1010100</v>
      </c>
      <c r="G51">
        <v>57992</v>
      </c>
    </row>
    <row r="52" spans="1:7" x14ac:dyDescent="0.3">
      <c r="A52" s="80">
        <v>45716</v>
      </c>
      <c r="B52">
        <v>1011001</v>
      </c>
      <c r="C52">
        <v>0</v>
      </c>
      <c r="E52" s="80">
        <v>45716</v>
      </c>
      <c r="F52">
        <v>1010100</v>
      </c>
      <c r="G52">
        <v>463</v>
      </c>
    </row>
    <row r="53" spans="1:7" x14ac:dyDescent="0.3">
      <c r="A53" s="80">
        <v>45714</v>
      </c>
      <c r="B53">
        <v>1011001</v>
      </c>
      <c r="C53">
        <v>0</v>
      </c>
      <c r="E53" s="80">
        <v>45714</v>
      </c>
      <c r="F53">
        <v>1010100</v>
      </c>
      <c r="G53">
        <v>1833916</v>
      </c>
    </row>
    <row r="54" spans="1:7" x14ac:dyDescent="0.3">
      <c r="A54" s="80">
        <v>45712</v>
      </c>
      <c r="B54">
        <v>1011001</v>
      </c>
      <c r="C54">
        <v>0</v>
      </c>
      <c r="E54" s="80">
        <v>45712</v>
      </c>
      <c r="F54">
        <v>1010100</v>
      </c>
      <c r="G54">
        <v>63545</v>
      </c>
    </row>
    <row r="55" spans="1:7" x14ac:dyDescent="0.3">
      <c r="A55" s="80">
        <v>45711</v>
      </c>
      <c r="B55">
        <v>1011001</v>
      </c>
      <c r="C55">
        <v>0</v>
      </c>
      <c r="E55" s="80">
        <v>45711</v>
      </c>
      <c r="F55">
        <v>2010902</v>
      </c>
      <c r="G55">
        <v>501000</v>
      </c>
    </row>
    <row r="56" spans="1:7" x14ac:dyDescent="0.3">
      <c r="A56" s="80">
        <v>45708</v>
      </c>
      <c r="B56">
        <v>1011001</v>
      </c>
      <c r="C56">
        <v>0</v>
      </c>
      <c r="E56" s="80">
        <v>45708</v>
      </c>
      <c r="F56">
        <v>1010100</v>
      </c>
      <c r="G56">
        <v>463</v>
      </c>
    </row>
    <row r="57" spans="1:7" x14ac:dyDescent="0.3">
      <c r="A57" s="80">
        <v>45705</v>
      </c>
      <c r="B57">
        <v>2020502</v>
      </c>
      <c r="C57">
        <v>0</v>
      </c>
      <c r="E57" s="80">
        <v>45705</v>
      </c>
      <c r="F57">
        <v>1010100</v>
      </c>
      <c r="G57">
        <v>233</v>
      </c>
    </row>
    <row r="58" spans="1:7" x14ac:dyDescent="0.3">
      <c r="A58" s="80">
        <v>45705</v>
      </c>
      <c r="B58">
        <v>2020502</v>
      </c>
      <c r="C58">
        <v>0</v>
      </c>
      <c r="E58" s="80">
        <v>45705</v>
      </c>
      <c r="F58">
        <v>1010100</v>
      </c>
      <c r="G58">
        <v>10</v>
      </c>
    </row>
    <row r="59" spans="1:7" x14ac:dyDescent="0.3">
      <c r="A59" s="80">
        <v>45705</v>
      </c>
      <c r="B59">
        <v>1011001</v>
      </c>
      <c r="C59">
        <v>0</v>
      </c>
      <c r="E59" s="80">
        <v>45705</v>
      </c>
      <c r="F59">
        <v>1010100</v>
      </c>
      <c r="G59">
        <v>63632</v>
      </c>
    </row>
    <row r="60" spans="1:7" x14ac:dyDescent="0.3">
      <c r="A60" s="80">
        <v>45701</v>
      </c>
      <c r="B60">
        <v>1011001</v>
      </c>
      <c r="C60">
        <v>0</v>
      </c>
      <c r="E60" s="80">
        <v>45701</v>
      </c>
      <c r="F60">
        <v>1010100</v>
      </c>
      <c r="G60">
        <v>945</v>
      </c>
    </row>
    <row r="61" spans="1:7" x14ac:dyDescent="0.3">
      <c r="A61" s="80">
        <v>45699</v>
      </c>
      <c r="B61">
        <v>1011001</v>
      </c>
      <c r="C61">
        <v>0</v>
      </c>
      <c r="E61" s="80">
        <v>45699</v>
      </c>
      <c r="F61">
        <v>1010100</v>
      </c>
      <c r="G61">
        <v>2807993</v>
      </c>
    </row>
    <row r="62" spans="1:7" x14ac:dyDescent="0.3">
      <c r="A62" s="80">
        <v>45698</v>
      </c>
      <c r="B62">
        <v>1011001</v>
      </c>
      <c r="C62">
        <v>0</v>
      </c>
      <c r="E62" s="80">
        <v>45698</v>
      </c>
      <c r="F62">
        <v>2020502</v>
      </c>
      <c r="G62">
        <v>1589071</v>
      </c>
    </row>
    <row r="63" spans="1:7" x14ac:dyDescent="0.3">
      <c r="A63" s="80">
        <v>45698</v>
      </c>
      <c r="B63">
        <v>1011001</v>
      </c>
      <c r="C63">
        <v>0</v>
      </c>
      <c r="E63" s="80">
        <v>45698</v>
      </c>
      <c r="F63">
        <v>1010100</v>
      </c>
      <c r="G63">
        <v>4895</v>
      </c>
    </row>
    <row r="64" spans="1:7" x14ac:dyDescent="0.3">
      <c r="A64" s="80">
        <v>45698</v>
      </c>
      <c r="B64">
        <v>1011001</v>
      </c>
      <c r="C64">
        <v>0</v>
      </c>
      <c r="E64" s="80">
        <v>45698</v>
      </c>
      <c r="F64">
        <v>1010100</v>
      </c>
      <c r="G64">
        <v>56569</v>
      </c>
    </row>
    <row r="65" spans="1:7" x14ac:dyDescent="0.3">
      <c r="A65" s="80">
        <v>45698</v>
      </c>
      <c r="B65">
        <v>1011001</v>
      </c>
      <c r="C65">
        <v>0</v>
      </c>
      <c r="E65" s="80">
        <v>45698</v>
      </c>
      <c r="F65">
        <v>1010100</v>
      </c>
      <c r="G65">
        <v>1031203</v>
      </c>
    </row>
    <row r="66" spans="1:7" x14ac:dyDescent="0.3">
      <c r="A66" s="80">
        <v>45695</v>
      </c>
      <c r="B66">
        <v>1011001</v>
      </c>
      <c r="C66">
        <v>0</v>
      </c>
      <c r="E66" s="80">
        <v>45695</v>
      </c>
      <c r="F66">
        <v>1010100</v>
      </c>
      <c r="G66">
        <v>3000000</v>
      </c>
    </row>
    <row r="67" spans="1:7" x14ac:dyDescent="0.3">
      <c r="A67" s="80">
        <v>45695</v>
      </c>
      <c r="B67">
        <v>1011001</v>
      </c>
      <c r="C67">
        <v>0</v>
      </c>
      <c r="E67" s="80">
        <v>45695</v>
      </c>
      <c r="F67">
        <v>1010100</v>
      </c>
      <c r="G67">
        <v>1000000</v>
      </c>
    </row>
    <row r="68" spans="1:7" x14ac:dyDescent="0.3">
      <c r="A68" s="80">
        <v>45695</v>
      </c>
      <c r="B68">
        <v>1011001</v>
      </c>
      <c r="C68">
        <v>0</v>
      </c>
      <c r="E68" s="80">
        <v>45695</v>
      </c>
      <c r="F68">
        <v>1010100</v>
      </c>
      <c r="G68">
        <v>6000000</v>
      </c>
    </row>
    <row r="69" spans="1:7" x14ac:dyDescent="0.3">
      <c r="A69" s="80">
        <v>45694</v>
      </c>
      <c r="B69">
        <v>1011001</v>
      </c>
      <c r="C69">
        <v>0</v>
      </c>
      <c r="E69" s="80">
        <v>45694</v>
      </c>
      <c r="F69">
        <v>1010100</v>
      </c>
      <c r="G69">
        <v>460000</v>
      </c>
    </row>
    <row r="70" spans="1:7" x14ac:dyDescent="0.3">
      <c r="A70" s="80">
        <v>45693</v>
      </c>
      <c r="B70">
        <v>1011001</v>
      </c>
      <c r="C70">
        <v>0</v>
      </c>
      <c r="E70" s="80">
        <v>45693</v>
      </c>
      <c r="F70">
        <v>1010100</v>
      </c>
      <c r="G70">
        <v>125000</v>
      </c>
    </row>
    <row r="71" spans="1:7" x14ac:dyDescent="0.3">
      <c r="A71" s="80">
        <v>45692</v>
      </c>
      <c r="B71">
        <v>1011001</v>
      </c>
      <c r="C71">
        <v>0</v>
      </c>
      <c r="E71" s="80">
        <v>45692</v>
      </c>
      <c r="F71">
        <v>2020502</v>
      </c>
      <c r="G71">
        <v>500000</v>
      </c>
    </row>
    <row r="72" spans="1:7" x14ac:dyDescent="0.3">
      <c r="A72" s="80">
        <v>45691</v>
      </c>
      <c r="B72">
        <v>1011001</v>
      </c>
      <c r="C72">
        <v>0</v>
      </c>
      <c r="E72" s="80">
        <v>45691</v>
      </c>
      <c r="F72">
        <v>1010100</v>
      </c>
      <c r="G72">
        <v>13534</v>
      </c>
    </row>
    <row r="73" spans="1:7" x14ac:dyDescent="0.3">
      <c r="A73" s="80">
        <v>45686</v>
      </c>
      <c r="B73">
        <v>1011001</v>
      </c>
      <c r="C73">
        <v>445776</v>
      </c>
      <c r="E73" s="80">
        <v>45686</v>
      </c>
      <c r="F73">
        <v>1010100</v>
      </c>
      <c r="G73">
        <v>2791965</v>
      </c>
    </row>
    <row r="74" spans="1:7" x14ac:dyDescent="0.3">
      <c r="A74" s="80">
        <v>45684</v>
      </c>
      <c r="B74">
        <v>1011001</v>
      </c>
      <c r="C74">
        <v>0</v>
      </c>
      <c r="E74" s="80">
        <v>45684</v>
      </c>
      <c r="F74">
        <v>2020502</v>
      </c>
      <c r="G74">
        <v>500000</v>
      </c>
    </row>
    <row r="75" spans="1:7" x14ac:dyDescent="0.3">
      <c r="A75" s="80">
        <v>45684</v>
      </c>
      <c r="B75">
        <v>1011001</v>
      </c>
      <c r="C75">
        <v>0</v>
      </c>
      <c r="E75" s="80">
        <v>45684</v>
      </c>
      <c r="F75">
        <v>2020502</v>
      </c>
      <c r="G75">
        <v>199920</v>
      </c>
    </row>
    <row r="76" spans="1:7" x14ac:dyDescent="0.3">
      <c r="A76" s="80">
        <v>45684</v>
      </c>
      <c r="B76">
        <v>1011001</v>
      </c>
      <c r="C76">
        <v>0</v>
      </c>
      <c r="E76" s="80">
        <v>45684</v>
      </c>
      <c r="F76">
        <v>2020502</v>
      </c>
      <c r="G76">
        <v>19002</v>
      </c>
    </row>
    <row r="77" spans="1:7" x14ac:dyDescent="0.3">
      <c r="A77" s="80">
        <v>45684</v>
      </c>
      <c r="B77">
        <v>1011001</v>
      </c>
      <c r="C77">
        <v>0</v>
      </c>
      <c r="E77" s="80">
        <v>45684</v>
      </c>
      <c r="F77">
        <v>1010100</v>
      </c>
      <c r="G77">
        <v>63420</v>
      </c>
    </row>
    <row r="78" spans="1:7" x14ac:dyDescent="0.3">
      <c r="A78" s="80">
        <v>45679</v>
      </c>
      <c r="B78">
        <v>1011001</v>
      </c>
      <c r="C78">
        <v>0</v>
      </c>
      <c r="E78" s="80">
        <v>45679</v>
      </c>
      <c r="F78">
        <v>1010100</v>
      </c>
      <c r="G78">
        <v>1037544</v>
      </c>
    </row>
    <row r="79" spans="1:7" x14ac:dyDescent="0.3">
      <c r="A79" s="80">
        <v>45678</v>
      </c>
      <c r="B79">
        <v>1011001</v>
      </c>
      <c r="C79">
        <v>0</v>
      </c>
      <c r="E79" s="80">
        <v>45678</v>
      </c>
      <c r="F79">
        <v>2020502</v>
      </c>
      <c r="G79">
        <v>106532</v>
      </c>
    </row>
    <row r="80" spans="1:7" x14ac:dyDescent="0.3">
      <c r="A80" s="80">
        <v>45678</v>
      </c>
      <c r="B80">
        <v>1011001</v>
      </c>
      <c r="C80">
        <v>0</v>
      </c>
      <c r="E80" s="80">
        <v>45678</v>
      </c>
      <c r="F80">
        <v>2020502</v>
      </c>
      <c r="G80">
        <v>40000</v>
      </c>
    </row>
    <row r="81" spans="1:7" x14ac:dyDescent="0.3">
      <c r="A81" s="80">
        <v>45678</v>
      </c>
      <c r="B81">
        <v>1011001</v>
      </c>
      <c r="C81">
        <v>0</v>
      </c>
      <c r="E81" s="80">
        <v>45678</v>
      </c>
      <c r="F81">
        <v>2020502</v>
      </c>
      <c r="G81">
        <v>41102</v>
      </c>
    </row>
    <row r="82" spans="1:7" x14ac:dyDescent="0.3">
      <c r="A82" s="80">
        <v>45678</v>
      </c>
      <c r="B82">
        <v>1011001</v>
      </c>
      <c r="C82">
        <v>0</v>
      </c>
      <c r="E82" s="80">
        <v>45678</v>
      </c>
      <c r="F82">
        <v>1010100</v>
      </c>
      <c r="G82">
        <v>11525</v>
      </c>
    </row>
    <row r="83" spans="1:7" x14ac:dyDescent="0.3">
      <c r="A83" s="80">
        <v>45674</v>
      </c>
      <c r="B83">
        <v>1011001</v>
      </c>
      <c r="C83">
        <v>0</v>
      </c>
      <c r="E83" s="80">
        <v>45674</v>
      </c>
      <c r="F83">
        <v>1010100</v>
      </c>
      <c r="G83">
        <v>57078</v>
      </c>
    </row>
    <row r="84" spans="1:7" x14ac:dyDescent="0.3">
      <c r="A84" s="80">
        <v>45673</v>
      </c>
      <c r="B84">
        <v>1011001</v>
      </c>
      <c r="C84">
        <v>0</v>
      </c>
      <c r="E84" s="80">
        <v>45673</v>
      </c>
      <c r="F84">
        <v>2020502</v>
      </c>
      <c r="G84">
        <v>500000</v>
      </c>
    </row>
    <row r="85" spans="1:7" x14ac:dyDescent="0.3">
      <c r="A85" s="80">
        <v>45673</v>
      </c>
      <c r="B85">
        <v>1011001</v>
      </c>
      <c r="C85">
        <v>0</v>
      </c>
      <c r="E85" s="80">
        <v>45673</v>
      </c>
      <c r="F85">
        <v>1010100</v>
      </c>
      <c r="G85">
        <v>12384</v>
      </c>
    </row>
    <row r="86" spans="1:7" x14ac:dyDescent="0.3">
      <c r="A86" s="80">
        <v>45665</v>
      </c>
      <c r="B86">
        <v>1011001</v>
      </c>
      <c r="C86">
        <v>0</v>
      </c>
      <c r="E86" s="80">
        <v>45665</v>
      </c>
      <c r="F86">
        <v>2020502</v>
      </c>
      <c r="G86">
        <v>67000</v>
      </c>
    </row>
    <row r="87" spans="1:7" x14ac:dyDescent="0.3">
      <c r="A87" s="80">
        <v>45665</v>
      </c>
      <c r="B87">
        <v>1011001</v>
      </c>
      <c r="C87">
        <v>0</v>
      </c>
      <c r="E87" s="80">
        <v>45665</v>
      </c>
      <c r="F87">
        <v>2020502</v>
      </c>
      <c r="G87">
        <v>60000</v>
      </c>
    </row>
    <row r="88" spans="1:7" x14ac:dyDescent="0.3">
      <c r="A88" s="80">
        <v>45665</v>
      </c>
      <c r="B88">
        <v>1011001</v>
      </c>
      <c r="C88">
        <v>0</v>
      </c>
      <c r="E88" s="80">
        <v>45665</v>
      </c>
      <c r="F88">
        <v>2020502</v>
      </c>
      <c r="G88">
        <v>911830</v>
      </c>
    </row>
    <row r="89" spans="1:7" x14ac:dyDescent="0.3">
      <c r="A89" s="80">
        <v>45665</v>
      </c>
      <c r="B89">
        <v>1011001</v>
      </c>
      <c r="C89">
        <v>0</v>
      </c>
      <c r="E89" s="80">
        <v>45665</v>
      </c>
      <c r="F89">
        <v>1010100</v>
      </c>
      <c r="G89">
        <v>7916</v>
      </c>
    </row>
    <row r="90" spans="1:7" x14ac:dyDescent="0.3">
      <c r="A90" s="80">
        <v>45665</v>
      </c>
      <c r="B90">
        <v>1011001</v>
      </c>
      <c r="C90">
        <v>0</v>
      </c>
      <c r="E90" s="80">
        <v>45665</v>
      </c>
      <c r="F90">
        <v>1010100</v>
      </c>
      <c r="G90">
        <v>16345</v>
      </c>
    </row>
    <row r="91" spans="1:7" x14ac:dyDescent="0.3">
      <c r="A91" s="80">
        <v>45664</v>
      </c>
      <c r="B91">
        <v>1011001</v>
      </c>
      <c r="C91">
        <v>0</v>
      </c>
      <c r="E91" s="80">
        <v>45664</v>
      </c>
      <c r="F91">
        <v>2020502</v>
      </c>
      <c r="G91">
        <v>180000</v>
      </c>
    </row>
    <row r="92" spans="1:7" x14ac:dyDescent="0.3">
      <c r="A92" s="80">
        <v>45663</v>
      </c>
      <c r="B92">
        <v>1011001</v>
      </c>
      <c r="C92">
        <v>0</v>
      </c>
      <c r="E92" s="80">
        <v>45663</v>
      </c>
      <c r="F92">
        <v>2020502</v>
      </c>
      <c r="G92">
        <v>150000</v>
      </c>
    </row>
    <row r="93" spans="1:7" x14ac:dyDescent="0.3">
      <c r="A93" s="80">
        <v>45663</v>
      </c>
      <c r="B93">
        <v>1011001</v>
      </c>
      <c r="C93">
        <v>0</v>
      </c>
      <c r="E93" s="80">
        <v>45663</v>
      </c>
      <c r="F93">
        <v>2020502</v>
      </c>
      <c r="G93">
        <v>350000</v>
      </c>
    </row>
    <row r="94" spans="1:7" x14ac:dyDescent="0.3">
      <c r="A94" s="80">
        <v>45663</v>
      </c>
      <c r="B94">
        <v>1011001</v>
      </c>
      <c r="C94">
        <v>0</v>
      </c>
      <c r="E94" s="80">
        <v>45663</v>
      </c>
      <c r="F94">
        <v>1010100</v>
      </c>
      <c r="G94">
        <v>51447</v>
      </c>
    </row>
    <row r="95" spans="1:7" x14ac:dyDescent="0.3">
      <c r="A95" s="80">
        <v>45659</v>
      </c>
      <c r="B95">
        <v>1011001</v>
      </c>
      <c r="C95">
        <v>0</v>
      </c>
      <c r="E95" s="80">
        <v>45659</v>
      </c>
      <c r="F95">
        <v>1010100</v>
      </c>
      <c r="G95">
        <v>486</v>
      </c>
    </row>
    <row r="96" spans="1:7" x14ac:dyDescent="0.3">
      <c r="A96" s="80">
        <v>45659</v>
      </c>
      <c r="B96">
        <v>1011001</v>
      </c>
      <c r="C96">
        <v>0</v>
      </c>
      <c r="E96" s="80">
        <v>45659</v>
      </c>
      <c r="F96">
        <v>1010100</v>
      </c>
      <c r="G96">
        <v>47634</v>
      </c>
    </row>
    <row r="97" spans="1:7" x14ac:dyDescent="0.3">
      <c r="A97" s="80">
        <v>45659</v>
      </c>
      <c r="B97">
        <v>1011001</v>
      </c>
      <c r="C97">
        <v>0</v>
      </c>
      <c r="E97" s="80">
        <v>45659</v>
      </c>
      <c r="F97">
        <v>1010100</v>
      </c>
      <c r="G97">
        <v>9145</v>
      </c>
    </row>
    <row r="98" spans="1:7" x14ac:dyDescent="0.3">
      <c r="A98" s="80">
        <v>45826</v>
      </c>
      <c r="B98">
        <v>3010211</v>
      </c>
      <c r="C98">
        <v>708777</v>
      </c>
      <c r="E98" s="80">
        <v>45660</v>
      </c>
      <c r="F98">
        <v>1010100</v>
      </c>
      <c r="G98">
        <v>1188055.8600000001</v>
      </c>
    </row>
    <row r="99" spans="1:7" x14ac:dyDescent="0.3">
      <c r="A99" s="80">
        <v>45820</v>
      </c>
      <c r="B99">
        <v>3010201</v>
      </c>
      <c r="C99">
        <v>909</v>
      </c>
      <c r="E99" s="80">
        <v>45663</v>
      </c>
      <c r="F99">
        <v>1010100</v>
      </c>
      <c r="G99">
        <v>100000</v>
      </c>
    </row>
    <row r="100" spans="1:7" x14ac:dyDescent="0.3">
      <c r="A100" s="80">
        <v>45817</v>
      </c>
      <c r="B100">
        <v>3010205</v>
      </c>
      <c r="C100">
        <v>58530</v>
      </c>
      <c r="E100" s="80">
        <v>45691</v>
      </c>
      <c r="F100">
        <v>1010100</v>
      </c>
      <c r="G100">
        <v>1000000</v>
      </c>
    </row>
    <row r="101" spans="1:7" x14ac:dyDescent="0.3">
      <c r="A101" s="80">
        <v>45817</v>
      </c>
      <c r="B101">
        <v>3010205</v>
      </c>
      <c r="C101">
        <v>4855</v>
      </c>
      <c r="E101" s="80">
        <v>45740</v>
      </c>
      <c r="F101">
        <v>1010100</v>
      </c>
      <c r="G101">
        <v>1000000</v>
      </c>
    </row>
    <row r="102" spans="1:7" x14ac:dyDescent="0.3">
      <c r="A102" s="80">
        <v>45813</v>
      </c>
      <c r="B102">
        <v>3010201</v>
      </c>
      <c r="C102">
        <v>27560</v>
      </c>
      <c r="E102" s="80">
        <v>45748</v>
      </c>
      <c r="F102">
        <v>1010100</v>
      </c>
      <c r="G102">
        <v>125000</v>
      </c>
    </row>
    <row r="103" spans="1:7" x14ac:dyDescent="0.3">
      <c r="A103" s="80">
        <v>45812</v>
      </c>
      <c r="B103">
        <v>3010201</v>
      </c>
      <c r="C103">
        <v>460000</v>
      </c>
      <c r="E103" s="80">
        <v>45769</v>
      </c>
      <c r="F103">
        <v>1010100</v>
      </c>
      <c r="G103">
        <v>1000000</v>
      </c>
    </row>
    <row r="104" spans="1:7" x14ac:dyDescent="0.3">
      <c r="A104" s="80">
        <v>45810</v>
      </c>
      <c r="B104">
        <v>3010205</v>
      </c>
      <c r="C104">
        <v>13369</v>
      </c>
      <c r="E104" s="80">
        <v>45802</v>
      </c>
      <c r="F104">
        <v>1010100</v>
      </c>
      <c r="G104">
        <v>1000000</v>
      </c>
    </row>
    <row r="105" spans="1:7" x14ac:dyDescent="0.3">
      <c r="A105" s="80">
        <v>45807</v>
      </c>
      <c r="B105">
        <v>3010205</v>
      </c>
      <c r="C105">
        <v>125000</v>
      </c>
      <c r="E105" s="80">
        <v>45798</v>
      </c>
      <c r="F105">
        <v>1011101</v>
      </c>
      <c r="G105">
        <v>477784</v>
      </c>
    </row>
    <row r="106" spans="1:7" x14ac:dyDescent="0.3">
      <c r="A106" s="80">
        <v>45807</v>
      </c>
      <c r="B106">
        <v>3010201</v>
      </c>
      <c r="C106">
        <v>458</v>
      </c>
      <c r="E106" s="80">
        <v>45777</v>
      </c>
      <c r="F106">
        <v>3010101</v>
      </c>
      <c r="G106">
        <v>481330</v>
      </c>
    </row>
    <row r="107" spans="1:7" x14ac:dyDescent="0.3">
      <c r="A107" s="80">
        <v>45806</v>
      </c>
      <c r="B107">
        <v>2020502</v>
      </c>
      <c r="C107">
        <v>801666</v>
      </c>
      <c r="E107" s="80">
        <v>45747</v>
      </c>
      <c r="F107">
        <v>1010600</v>
      </c>
      <c r="G107">
        <v>600000</v>
      </c>
    </row>
    <row r="108" spans="1:7" x14ac:dyDescent="0.3">
      <c r="A108" s="80">
        <v>45803</v>
      </c>
      <c r="B108">
        <v>3010211</v>
      </c>
      <c r="C108">
        <v>811375</v>
      </c>
      <c r="E108" s="80">
        <v>45716</v>
      </c>
      <c r="F108">
        <v>3010101</v>
      </c>
      <c r="G108">
        <v>1518350</v>
      </c>
    </row>
    <row r="109" spans="1:7" x14ac:dyDescent="0.3">
      <c r="A109" s="80">
        <v>45803</v>
      </c>
      <c r="B109">
        <v>3010201</v>
      </c>
      <c r="C109">
        <v>15620</v>
      </c>
      <c r="E109" s="80">
        <v>45716</v>
      </c>
      <c r="F109">
        <v>3010101</v>
      </c>
      <c r="G109">
        <v>715284</v>
      </c>
    </row>
    <row r="110" spans="1:7" x14ac:dyDescent="0.3">
      <c r="A110" s="80">
        <v>45803</v>
      </c>
      <c r="B110">
        <v>3010205</v>
      </c>
      <c r="C110">
        <v>92569</v>
      </c>
      <c r="E110" s="80">
        <v>45716</v>
      </c>
      <c r="F110">
        <v>1011001</v>
      </c>
      <c r="G110">
        <v>2012779</v>
      </c>
    </row>
    <row r="111" spans="1:7" x14ac:dyDescent="0.3">
      <c r="A111" s="80">
        <v>45794</v>
      </c>
      <c r="B111">
        <v>3010205</v>
      </c>
      <c r="C111">
        <v>26271</v>
      </c>
      <c r="E111" s="80">
        <v>45703</v>
      </c>
      <c r="F111">
        <v>3010201</v>
      </c>
      <c r="G111">
        <v>1031203</v>
      </c>
    </row>
    <row r="112" spans="1:7" x14ac:dyDescent="0.3">
      <c r="A112" s="80">
        <v>45791</v>
      </c>
      <c r="B112">
        <v>3010201</v>
      </c>
      <c r="C112">
        <v>920</v>
      </c>
      <c r="E112" s="80">
        <v>45703</v>
      </c>
      <c r="F112">
        <v>1011100</v>
      </c>
      <c r="G112">
        <v>11339602</v>
      </c>
    </row>
    <row r="113" spans="1:7" x14ac:dyDescent="0.3">
      <c r="A113" s="80">
        <v>45785</v>
      </c>
      <c r="B113">
        <v>3010205</v>
      </c>
      <c r="C113">
        <v>29428</v>
      </c>
      <c r="E113" s="80">
        <v>45698</v>
      </c>
      <c r="F113">
        <v>3010201</v>
      </c>
      <c r="G113">
        <v>1589071</v>
      </c>
    </row>
    <row r="114" spans="1:7" x14ac:dyDescent="0.3">
      <c r="A114" s="80">
        <v>45785</v>
      </c>
      <c r="B114">
        <v>3010205</v>
      </c>
      <c r="C114">
        <v>5060</v>
      </c>
      <c r="E114" s="80">
        <v>45693</v>
      </c>
      <c r="F114">
        <v>1010503</v>
      </c>
      <c r="G114">
        <v>7703260</v>
      </c>
    </row>
    <row r="115" spans="1:7" x14ac:dyDescent="0.3">
      <c r="A115" s="80">
        <v>45781</v>
      </c>
      <c r="B115">
        <v>3010205</v>
      </c>
      <c r="C115">
        <v>40000</v>
      </c>
      <c r="E115" s="80">
        <v>45690</v>
      </c>
      <c r="F115">
        <v>3010201</v>
      </c>
      <c r="G115">
        <v>180000</v>
      </c>
    </row>
    <row r="116" spans="1:7" x14ac:dyDescent="0.3">
      <c r="A116" s="80">
        <v>45779</v>
      </c>
      <c r="B116">
        <v>3010205</v>
      </c>
      <c r="C116">
        <v>13457</v>
      </c>
      <c r="E116" s="80">
        <v>45690</v>
      </c>
      <c r="F116">
        <v>3010201</v>
      </c>
      <c r="G116">
        <v>911830</v>
      </c>
    </row>
    <row r="117" spans="1:7" x14ac:dyDescent="0.3">
      <c r="A117" s="80">
        <v>45779</v>
      </c>
      <c r="B117">
        <v>3010205</v>
      </c>
      <c r="C117">
        <v>84116</v>
      </c>
      <c r="E117" s="80">
        <v>45688</v>
      </c>
      <c r="F117">
        <v>3010101</v>
      </c>
      <c r="G117">
        <v>2818645</v>
      </c>
    </row>
    <row r="118" spans="1:7" x14ac:dyDescent="0.3">
      <c r="A118" s="80">
        <v>45778</v>
      </c>
      <c r="B118">
        <v>3010201</v>
      </c>
      <c r="C118">
        <v>712500</v>
      </c>
      <c r="E118" s="80">
        <v>45688</v>
      </c>
      <c r="F118">
        <v>1010100</v>
      </c>
      <c r="G118">
        <v>7703260</v>
      </c>
    </row>
    <row r="119" spans="1:7" x14ac:dyDescent="0.3">
      <c r="A119" s="80">
        <v>45777</v>
      </c>
      <c r="B119">
        <v>3010201</v>
      </c>
      <c r="C119">
        <v>460000</v>
      </c>
      <c r="E119" s="80">
        <v>45679</v>
      </c>
      <c r="F119">
        <v>3010201</v>
      </c>
      <c r="G119">
        <v>1037544</v>
      </c>
    </row>
    <row r="120" spans="1:7" x14ac:dyDescent="0.3">
      <c r="A120" s="80">
        <v>45775</v>
      </c>
      <c r="B120">
        <v>3010205</v>
      </c>
      <c r="C120">
        <v>2480</v>
      </c>
      <c r="E120" s="80">
        <v>45679</v>
      </c>
      <c r="F120">
        <v>1010100</v>
      </c>
      <c r="G120">
        <v>1144076</v>
      </c>
    </row>
    <row r="121" spans="1:7" x14ac:dyDescent="0.3">
      <c r="A121" s="80">
        <v>45770</v>
      </c>
      <c r="B121">
        <v>3010201</v>
      </c>
      <c r="C121">
        <v>475</v>
      </c>
      <c r="E121" s="80">
        <v>45678</v>
      </c>
      <c r="F121">
        <v>1010100</v>
      </c>
      <c r="G121">
        <v>708102</v>
      </c>
    </row>
    <row r="122" spans="1:7" x14ac:dyDescent="0.3">
      <c r="A122" s="80">
        <v>45769</v>
      </c>
      <c r="B122">
        <v>3010211</v>
      </c>
      <c r="C122">
        <v>133348</v>
      </c>
      <c r="E122" s="80">
        <v>45677</v>
      </c>
      <c r="F122">
        <v>1010100</v>
      </c>
      <c r="G122">
        <v>308560</v>
      </c>
    </row>
    <row r="123" spans="1:7" x14ac:dyDescent="0.3">
      <c r="A123" s="80">
        <v>45764</v>
      </c>
      <c r="B123">
        <v>3010205</v>
      </c>
      <c r="C123">
        <v>76735</v>
      </c>
      <c r="E123" s="80">
        <v>45672</v>
      </c>
      <c r="F123">
        <v>1010501</v>
      </c>
      <c r="G123">
        <v>6718491</v>
      </c>
    </row>
    <row r="124" spans="1:7" x14ac:dyDescent="0.3">
      <c r="A124" s="80">
        <v>45761</v>
      </c>
      <c r="B124">
        <v>1010600</v>
      </c>
      <c r="C124">
        <v>313600</v>
      </c>
      <c r="E124" s="80">
        <v>45666</v>
      </c>
      <c r="F124">
        <v>1010100</v>
      </c>
      <c r="G124">
        <v>1091830</v>
      </c>
    </row>
    <row r="125" spans="1:7" x14ac:dyDescent="0.3">
      <c r="A125" s="80">
        <v>45761</v>
      </c>
      <c r="B125">
        <v>3010201</v>
      </c>
      <c r="C125">
        <v>980</v>
      </c>
      <c r="E125" s="80">
        <v>45663</v>
      </c>
      <c r="F125">
        <v>1010100</v>
      </c>
      <c r="G125">
        <v>1200000</v>
      </c>
    </row>
    <row r="126" spans="1:7" x14ac:dyDescent="0.3">
      <c r="A126" s="80">
        <v>45752</v>
      </c>
      <c r="B126">
        <v>3010201</v>
      </c>
      <c r="C126">
        <v>68400</v>
      </c>
      <c r="E126" s="80">
        <v>45663</v>
      </c>
      <c r="F126">
        <v>1010100</v>
      </c>
      <c r="G126">
        <v>460950</v>
      </c>
    </row>
    <row r="127" spans="1:7" x14ac:dyDescent="0.3">
      <c r="A127" s="80">
        <v>45749</v>
      </c>
      <c r="B127">
        <v>3010205</v>
      </c>
      <c r="C127">
        <v>198561</v>
      </c>
      <c r="E127" s="80">
        <v>45660</v>
      </c>
      <c r="F127">
        <v>1010100</v>
      </c>
      <c r="G127">
        <v>1000000</v>
      </c>
    </row>
    <row r="128" spans="1:7" x14ac:dyDescent="0.3">
      <c r="A128" s="80">
        <v>45748</v>
      </c>
      <c r="B128">
        <v>1010600</v>
      </c>
      <c r="C128">
        <v>460000</v>
      </c>
      <c r="E128" s="80">
        <v>45703</v>
      </c>
      <c r="F128">
        <v>1010100</v>
      </c>
      <c r="G128">
        <v>9975000</v>
      </c>
    </row>
    <row r="129" spans="1:7" x14ac:dyDescent="0.3">
      <c r="A129" s="80">
        <v>45748</v>
      </c>
      <c r="B129">
        <v>3010205</v>
      </c>
      <c r="C129">
        <v>13514</v>
      </c>
      <c r="E129" s="80">
        <v>45703</v>
      </c>
      <c r="F129">
        <v>1010100</v>
      </c>
      <c r="G129">
        <v>0</v>
      </c>
    </row>
    <row r="130" spans="1:7" x14ac:dyDescent="0.3">
      <c r="A130" s="80">
        <v>45744</v>
      </c>
      <c r="B130">
        <v>3010205</v>
      </c>
      <c r="C130">
        <v>63523</v>
      </c>
      <c r="E130" s="80">
        <v>45690</v>
      </c>
      <c r="F130">
        <v>1010100</v>
      </c>
      <c r="G130">
        <v>4384500</v>
      </c>
    </row>
    <row r="131" spans="1:7" x14ac:dyDescent="0.3">
      <c r="A131" s="80">
        <v>45743</v>
      </c>
      <c r="B131">
        <v>3010201</v>
      </c>
      <c r="C131">
        <v>396100</v>
      </c>
      <c r="E131" s="80">
        <v>45660</v>
      </c>
      <c r="F131">
        <v>2011200</v>
      </c>
      <c r="G131">
        <v>154380.14000000001</v>
      </c>
    </row>
    <row r="132" spans="1:7" x14ac:dyDescent="0.3">
      <c r="A132" s="80">
        <v>45742</v>
      </c>
      <c r="B132">
        <v>3010201</v>
      </c>
      <c r="C132">
        <v>23198</v>
      </c>
      <c r="E132" s="80">
        <v>45663</v>
      </c>
      <c r="F132">
        <v>2011200</v>
      </c>
      <c r="G132">
        <v>0</v>
      </c>
    </row>
    <row r="133" spans="1:7" x14ac:dyDescent="0.3">
      <c r="A133" s="80">
        <v>45741</v>
      </c>
      <c r="B133">
        <v>3010201</v>
      </c>
      <c r="C133">
        <v>450</v>
      </c>
      <c r="E133" s="80">
        <v>45691</v>
      </c>
      <c r="F133">
        <v>2011200</v>
      </c>
      <c r="G133">
        <v>0</v>
      </c>
    </row>
    <row r="134" spans="1:7" x14ac:dyDescent="0.3">
      <c r="A134" s="80">
        <v>45740</v>
      </c>
      <c r="B134">
        <v>3010211</v>
      </c>
      <c r="C134">
        <v>1052344</v>
      </c>
      <c r="E134" s="80">
        <v>45740</v>
      </c>
      <c r="F134">
        <v>2011200</v>
      </c>
      <c r="G134">
        <v>0</v>
      </c>
    </row>
    <row r="135" spans="1:7" x14ac:dyDescent="0.3">
      <c r="A135" s="80">
        <v>45735</v>
      </c>
      <c r="B135">
        <v>3010205</v>
      </c>
      <c r="C135">
        <v>63365</v>
      </c>
      <c r="E135" s="80">
        <v>45748</v>
      </c>
      <c r="F135">
        <v>2011200</v>
      </c>
      <c r="G135">
        <v>0</v>
      </c>
    </row>
    <row r="136" spans="1:7" x14ac:dyDescent="0.3">
      <c r="A136" s="80">
        <v>45733</v>
      </c>
      <c r="B136">
        <v>3010205</v>
      </c>
      <c r="C136">
        <v>360921</v>
      </c>
      <c r="E136" s="80">
        <v>45769</v>
      </c>
      <c r="F136">
        <v>2011200</v>
      </c>
      <c r="G136">
        <v>0</v>
      </c>
    </row>
    <row r="137" spans="1:7" x14ac:dyDescent="0.3">
      <c r="A137" s="80">
        <v>45729</v>
      </c>
      <c r="B137">
        <v>3010201</v>
      </c>
      <c r="C137">
        <v>453</v>
      </c>
      <c r="E137" s="80">
        <v>45802</v>
      </c>
      <c r="F137">
        <v>2011200</v>
      </c>
      <c r="G137">
        <v>0</v>
      </c>
    </row>
    <row r="138" spans="1:7" x14ac:dyDescent="0.3">
      <c r="A138" s="80">
        <v>45728</v>
      </c>
      <c r="B138">
        <v>3010201</v>
      </c>
      <c r="C138">
        <v>455</v>
      </c>
      <c r="E138" s="80">
        <v>45658</v>
      </c>
      <c r="F138">
        <v>1010100</v>
      </c>
      <c r="G138">
        <v>0</v>
      </c>
    </row>
    <row r="139" spans="1:7" x14ac:dyDescent="0.3">
      <c r="A139" s="80">
        <v>45726</v>
      </c>
      <c r="B139">
        <v>3010205</v>
      </c>
      <c r="C139">
        <v>7481</v>
      </c>
      <c r="E139" s="80">
        <v>45658</v>
      </c>
      <c r="F139">
        <v>1010501</v>
      </c>
      <c r="G139">
        <v>0</v>
      </c>
    </row>
    <row r="140" spans="1:7" x14ac:dyDescent="0.3">
      <c r="A140" s="80">
        <v>45726</v>
      </c>
      <c r="B140">
        <v>3010205</v>
      </c>
      <c r="C140">
        <v>7481</v>
      </c>
      <c r="E140" s="80">
        <v>45658</v>
      </c>
      <c r="F140">
        <v>1010900</v>
      </c>
      <c r="G140">
        <v>0</v>
      </c>
    </row>
    <row r="141" spans="1:7" x14ac:dyDescent="0.3">
      <c r="A141" s="80">
        <v>45723</v>
      </c>
      <c r="B141">
        <v>3010205</v>
      </c>
      <c r="C141">
        <v>64631</v>
      </c>
      <c r="E141" s="80">
        <v>45658</v>
      </c>
      <c r="F141">
        <v>1011001</v>
      </c>
      <c r="G141">
        <v>0</v>
      </c>
    </row>
    <row r="142" spans="1:7" x14ac:dyDescent="0.3">
      <c r="A142" s="80">
        <v>45720</v>
      </c>
      <c r="B142">
        <v>2020503</v>
      </c>
      <c r="C142">
        <v>57546</v>
      </c>
      <c r="E142" s="80">
        <v>45658</v>
      </c>
      <c r="F142">
        <v>1011100</v>
      </c>
      <c r="G142">
        <v>0</v>
      </c>
    </row>
    <row r="143" spans="1:7" x14ac:dyDescent="0.3">
      <c r="A143" s="80">
        <v>45720</v>
      </c>
      <c r="B143">
        <v>3010300</v>
      </c>
      <c r="C143">
        <v>100000</v>
      </c>
      <c r="E143" s="80">
        <v>45658</v>
      </c>
      <c r="F143">
        <v>1011501</v>
      </c>
      <c r="G143">
        <v>0</v>
      </c>
    </row>
    <row r="144" spans="1:7" x14ac:dyDescent="0.3">
      <c r="A144" s="80">
        <v>45719</v>
      </c>
      <c r="B144">
        <v>3010205</v>
      </c>
      <c r="C144">
        <v>500</v>
      </c>
      <c r="E144" s="80">
        <v>45658</v>
      </c>
      <c r="F144">
        <v>1031000</v>
      </c>
      <c r="G144">
        <v>0</v>
      </c>
    </row>
    <row r="145" spans="1:7" x14ac:dyDescent="0.3">
      <c r="A145" s="80">
        <v>45719</v>
      </c>
      <c r="B145">
        <v>1010600</v>
      </c>
      <c r="C145">
        <v>460000</v>
      </c>
      <c r="E145" s="80">
        <v>45658</v>
      </c>
      <c r="F145">
        <v>2010902</v>
      </c>
      <c r="G145">
        <v>85083</v>
      </c>
    </row>
    <row r="146" spans="1:7" x14ac:dyDescent="0.3">
      <c r="A146" s="80">
        <v>45719</v>
      </c>
      <c r="B146">
        <v>3010205</v>
      </c>
      <c r="C146">
        <v>13416</v>
      </c>
      <c r="E146" s="80">
        <v>45658</v>
      </c>
      <c r="F146">
        <v>2011200</v>
      </c>
      <c r="G146">
        <v>53338</v>
      </c>
    </row>
    <row r="147" spans="1:7" x14ac:dyDescent="0.3">
      <c r="A147" s="80">
        <v>45717</v>
      </c>
      <c r="B147">
        <v>3010205</v>
      </c>
      <c r="C147">
        <v>57992</v>
      </c>
      <c r="E147" s="80">
        <v>45658</v>
      </c>
      <c r="F147">
        <v>2011310</v>
      </c>
      <c r="G147">
        <v>1033978</v>
      </c>
    </row>
    <row r="148" spans="1:7" x14ac:dyDescent="0.3">
      <c r="A148" s="80">
        <v>45716</v>
      </c>
      <c r="B148">
        <v>3010201</v>
      </c>
      <c r="C148">
        <v>463</v>
      </c>
      <c r="E148" s="80">
        <v>45658</v>
      </c>
      <c r="F148">
        <v>2020502</v>
      </c>
      <c r="G148">
        <v>3432582</v>
      </c>
    </row>
    <row r="149" spans="1:7" x14ac:dyDescent="0.3">
      <c r="A149" s="80">
        <v>45714</v>
      </c>
      <c r="B149">
        <v>3010211</v>
      </c>
      <c r="C149">
        <v>1833916</v>
      </c>
      <c r="E149" s="80">
        <v>45658</v>
      </c>
      <c r="F149">
        <v>2020503</v>
      </c>
      <c r="G149">
        <v>10694576</v>
      </c>
    </row>
    <row r="150" spans="1:7" x14ac:dyDescent="0.3">
      <c r="A150" s="80">
        <v>45712</v>
      </c>
      <c r="B150">
        <v>3010205</v>
      </c>
      <c r="C150">
        <v>63545</v>
      </c>
      <c r="E150" s="80">
        <v>45658</v>
      </c>
      <c r="F150">
        <v>2030100</v>
      </c>
      <c r="G150">
        <v>3000000</v>
      </c>
    </row>
    <row r="151" spans="1:7" x14ac:dyDescent="0.3">
      <c r="A151" s="80">
        <v>45711</v>
      </c>
      <c r="B151">
        <v>3010205</v>
      </c>
      <c r="C151">
        <v>501000</v>
      </c>
      <c r="E151" s="80">
        <v>45658</v>
      </c>
      <c r="F151">
        <v>2030600</v>
      </c>
      <c r="G151">
        <v>16115566</v>
      </c>
    </row>
    <row r="152" spans="1:7" x14ac:dyDescent="0.3">
      <c r="A152" s="80">
        <v>45708</v>
      </c>
      <c r="B152">
        <v>3010201</v>
      </c>
      <c r="C152">
        <v>463</v>
      </c>
      <c r="E152" s="80">
        <v>45828</v>
      </c>
      <c r="F152">
        <v>1010900</v>
      </c>
      <c r="G152">
        <v>5000</v>
      </c>
    </row>
    <row r="153" spans="1:7" x14ac:dyDescent="0.3">
      <c r="A153" s="80">
        <v>45705</v>
      </c>
      <c r="B153">
        <v>3010205</v>
      </c>
      <c r="C153">
        <v>233</v>
      </c>
      <c r="E153" s="80">
        <v>45827</v>
      </c>
      <c r="F153">
        <v>1010900</v>
      </c>
      <c r="G153">
        <v>5000</v>
      </c>
    </row>
    <row r="154" spans="1:7" x14ac:dyDescent="0.3">
      <c r="A154" s="80">
        <v>45705</v>
      </c>
      <c r="B154">
        <v>3010205</v>
      </c>
      <c r="C154">
        <v>10</v>
      </c>
      <c r="E154" s="80">
        <v>45827</v>
      </c>
      <c r="F154">
        <v>1010900</v>
      </c>
      <c r="G154">
        <v>4500</v>
      </c>
    </row>
    <row r="155" spans="1:7" x14ac:dyDescent="0.3">
      <c r="A155" s="80">
        <v>45705</v>
      </c>
      <c r="B155">
        <v>3010205</v>
      </c>
      <c r="C155">
        <v>63632</v>
      </c>
      <c r="E155" s="80">
        <v>45826</v>
      </c>
      <c r="F155">
        <v>1010900</v>
      </c>
      <c r="G155">
        <v>5000</v>
      </c>
    </row>
    <row r="156" spans="1:7" x14ac:dyDescent="0.3">
      <c r="A156" s="80">
        <v>45701</v>
      </c>
      <c r="B156">
        <v>3010201</v>
      </c>
      <c r="C156">
        <v>945</v>
      </c>
      <c r="E156" s="80">
        <v>45826</v>
      </c>
      <c r="F156">
        <v>1010900</v>
      </c>
      <c r="G156">
        <v>5000</v>
      </c>
    </row>
    <row r="157" spans="1:7" x14ac:dyDescent="0.3">
      <c r="A157" s="80">
        <v>45699</v>
      </c>
      <c r="B157">
        <v>2020502</v>
      </c>
      <c r="C157">
        <v>2807993</v>
      </c>
      <c r="E157" s="80">
        <v>45826</v>
      </c>
      <c r="F157">
        <v>1010900</v>
      </c>
      <c r="G157">
        <v>5000</v>
      </c>
    </row>
    <row r="158" spans="1:7" x14ac:dyDescent="0.3">
      <c r="A158" s="80">
        <v>45698</v>
      </c>
      <c r="B158">
        <v>3010201</v>
      </c>
      <c r="C158">
        <v>1589071</v>
      </c>
      <c r="E158" s="80">
        <v>45825</v>
      </c>
      <c r="F158">
        <v>1010900</v>
      </c>
      <c r="G158">
        <v>4500</v>
      </c>
    </row>
    <row r="159" spans="1:7" x14ac:dyDescent="0.3">
      <c r="A159" s="80">
        <v>45698</v>
      </c>
      <c r="B159">
        <v>3010205</v>
      </c>
      <c r="C159">
        <v>4895</v>
      </c>
      <c r="E159" s="80">
        <v>45825</v>
      </c>
      <c r="F159">
        <v>1010900</v>
      </c>
      <c r="G159">
        <v>500</v>
      </c>
    </row>
    <row r="160" spans="1:7" x14ac:dyDescent="0.3">
      <c r="A160" s="80">
        <v>45698</v>
      </c>
      <c r="B160">
        <v>3010205</v>
      </c>
      <c r="C160">
        <v>56569</v>
      </c>
      <c r="E160" s="80">
        <v>45825</v>
      </c>
      <c r="F160">
        <v>1010900</v>
      </c>
      <c r="G160">
        <v>5000</v>
      </c>
    </row>
    <row r="161" spans="1:7" x14ac:dyDescent="0.3">
      <c r="A161" s="80">
        <v>45698</v>
      </c>
      <c r="B161">
        <v>3010201</v>
      </c>
      <c r="C161">
        <v>1031203</v>
      </c>
      <c r="E161" s="80">
        <v>45825</v>
      </c>
      <c r="F161">
        <v>1010900</v>
      </c>
      <c r="G161">
        <v>5000</v>
      </c>
    </row>
    <row r="162" spans="1:7" x14ac:dyDescent="0.3">
      <c r="A162" s="80">
        <v>45695</v>
      </c>
      <c r="B162">
        <v>2030800</v>
      </c>
      <c r="C162">
        <v>3000000</v>
      </c>
      <c r="E162" s="80">
        <v>45824</v>
      </c>
      <c r="F162">
        <v>1010900</v>
      </c>
      <c r="G162">
        <v>5000</v>
      </c>
    </row>
    <row r="163" spans="1:7" x14ac:dyDescent="0.3">
      <c r="A163" s="80">
        <v>45695</v>
      </c>
      <c r="B163">
        <v>2020503</v>
      </c>
      <c r="C163">
        <v>1000000</v>
      </c>
      <c r="E163" s="80">
        <v>45824</v>
      </c>
      <c r="F163">
        <v>1010900</v>
      </c>
      <c r="G163">
        <v>5000</v>
      </c>
    </row>
    <row r="164" spans="1:7" x14ac:dyDescent="0.3">
      <c r="A164" s="80">
        <v>45695</v>
      </c>
      <c r="B164">
        <v>2030800</v>
      </c>
      <c r="C164">
        <v>6000000</v>
      </c>
      <c r="E164" s="80">
        <v>45823</v>
      </c>
      <c r="F164">
        <v>1010900</v>
      </c>
      <c r="G164">
        <v>5000</v>
      </c>
    </row>
    <row r="165" spans="1:7" x14ac:dyDescent="0.3">
      <c r="A165" s="80">
        <v>45694</v>
      </c>
      <c r="B165">
        <v>3010201</v>
      </c>
      <c r="C165">
        <v>460000</v>
      </c>
      <c r="E165" s="80">
        <v>45823</v>
      </c>
      <c r="F165">
        <v>1010900</v>
      </c>
      <c r="G165">
        <v>5000</v>
      </c>
    </row>
    <row r="166" spans="1:7" x14ac:dyDescent="0.3">
      <c r="A166" s="80">
        <v>45693</v>
      </c>
      <c r="B166">
        <v>3010300</v>
      </c>
      <c r="C166">
        <v>125000</v>
      </c>
      <c r="E166" s="80">
        <v>45823</v>
      </c>
      <c r="F166">
        <v>1010900</v>
      </c>
      <c r="G166">
        <v>4500</v>
      </c>
    </row>
    <row r="167" spans="1:7" x14ac:dyDescent="0.3">
      <c r="A167" s="80">
        <v>45692</v>
      </c>
      <c r="B167">
        <v>3010205</v>
      </c>
      <c r="C167">
        <v>500000</v>
      </c>
      <c r="E167" s="80">
        <v>45823</v>
      </c>
      <c r="F167">
        <v>1010900</v>
      </c>
      <c r="G167">
        <v>4500</v>
      </c>
    </row>
    <row r="168" spans="1:7" x14ac:dyDescent="0.3">
      <c r="A168" s="80">
        <v>45691</v>
      </c>
      <c r="B168">
        <v>3010205</v>
      </c>
      <c r="C168">
        <v>13534</v>
      </c>
      <c r="E168" s="80">
        <v>45822</v>
      </c>
      <c r="F168">
        <v>1010900</v>
      </c>
      <c r="G168">
        <v>5000</v>
      </c>
    </row>
    <row r="169" spans="1:7" x14ac:dyDescent="0.3">
      <c r="A169" s="80">
        <v>45686</v>
      </c>
      <c r="B169">
        <v>3010211</v>
      </c>
      <c r="C169">
        <v>2346189</v>
      </c>
      <c r="E169" s="80">
        <v>45822</v>
      </c>
      <c r="F169">
        <v>1010900</v>
      </c>
      <c r="G169">
        <v>5000</v>
      </c>
    </row>
    <row r="170" spans="1:7" x14ac:dyDescent="0.3">
      <c r="A170" s="80">
        <v>45684</v>
      </c>
      <c r="B170">
        <v>3010205</v>
      </c>
      <c r="C170">
        <v>500000</v>
      </c>
      <c r="E170" s="80">
        <v>45822</v>
      </c>
      <c r="F170">
        <v>1010900</v>
      </c>
      <c r="G170">
        <v>5000</v>
      </c>
    </row>
    <row r="171" spans="1:7" x14ac:dyDescent="0.3">
      <c r="A171" s="80">
        <v>45684</v>
      </c>
      <c r="B171">
        <v>3010201</v>
      </c>
      <c r="C171">
        <v>199920</v>
      </c>
      <c r="E171" s="80">
        <v>45820</v>
      </c>
      <c r="F171">
        <v>1010900</v>
      </c>
      <c r="G171">
        <v>5000</v>
      </c>
    </row>
    <row r="172" spans="1:7" x14ac:dyDescent="0.3">
      <c r="A172" s="80">
        <v>45684</v>
      </c>
      <c r="B172">
        <v>3010201</v>
      </c>
      <c r="C172">
        <v>19002</v>
      </c>
      <c r="E172" s="80">
        <v>45819</v>
      </c>
      <c r="F172">
        <v>1010900</v>
      </c>
      <c r="G172">
        <v>5000</v>
      </c>
    </row>
    <row r="173" spans="1:7" x14ac:dyDescent="0.3">
      <c r="A173" s="80">
        <v>45684</v>
      </c>
      <c r="B173">
        <v>3010205</v>
      </c>
      <c r="C173">
        <v>63420</v>
      </c>
      <c r="E173" s="80">
        <v>45819</v>
      </c>
      <c r="F173">
        <v>1010900</v>
      </c>
      <c r="G173">
        <v>4500</v>
      </c>
    </row>
    <row r="174" spans="1:7" x14ac:dyDescent="0.3">
      <c r="A174" s="80">
        <v>45679</v>
      </c>
      <c r="B174">
        <v>3010201</v>
      </c>
      <c r="C174">
        <v>1037544</v>
      </c>
      <c r="E174" s="80">
        <v>45819</v>
      </c>
      <c r="F174">
        <v>1010900</v>
      </c>
      <c r="G174">
        <v>500</v>
      </c>
    </row>
    <row r="175" spans="1:7" x14ac:dyDescent="0.3">
      <c r="A175" s="80">
        <v>45678</v>
      </c>
      <c r="B175">
        <v>3010201</v>
      </c>
      <c r="C175">
        <v>106532</v>
      </c>
      <c r="E175" s="80">
        <v>45819</v>
      </c>
      <c r="F175">
        <v>1010900</v>
      </c>
      <c r="G175">
        <v>5000</v>
      </c>
    </row>
    <row r="176" spans="1:7" x14ac:dyDescent="0.3">
      <c r="A176" s="80">
        <v>45678</v>
      </c>
      <c r="B176">
        <v>3010201</v>
      </c>
      <c r="C176">
        <v>40000</v>
      </c>
      <c r="E176" s="80">
        <v>45818</v>
      </c>
      <c r="F176">
        <v>1010900</v>
      </c>
      <c r="G176">
        <v>5000</v>
      </c>
    </row>
    <row r="177" spans="1:7" x14ac:dyDescent="0.3">
      <c r="A177" s="80">
        <v>45678</v>
      </c>
      <c r="B177">
        <v>3010205</v>
      </c>
      <c r="C177">
        <v>41102</v>
      </c>
      <c r="E177" s="80">
        <v>45818</v>
      </c>
      <c r="F177">
        <v>1010900</v>
      </c>
      <c r="G177">
        <v>4500</v>
      </c>
    </row>
    <row r="178" spans="1:7" x14ac:dyDescent="0.3">
      <c r="A178" s="80">
        <v>45678</v>
      </c>
      <c r="B178">
        <v>3010201</v>
      </c>
      <c r="C178">
        <v>11525</v>
      </c>
      <c r="E178" s="80">
        <v>45818</v>
      </c>
      <c r="F178">
        <v>1010900</v>
      </c>
      <c r="G178">
        <v>4500</v>
      </c>
    </row>
    <row r="179" spans="1:7" x14ac:dyDescent="0.3">
      <c r="A179" s="80">
        <v>45674</v>
      </c>
      <c r="B179">
        <v>3010205</v>
      </c>
      <c r="C179">
        <v>57078</v>
      </c>
      <c r="E179" s="80">
        <v>45818</v>
      </c>
      <c r="F179">
        <v>1010900</v>
      </c>
      <c r="G179">
        <v>5000</v>
      </c>
    </row>
    <row r="180" spans="1:7" x14ac:dyDescent="0.3">
      <c r="A180" s="80">
        <v>45673</v>
      </c>
      <c r="B180">
        <v>3010205</v>
      </c>
      <c r="C180">
        <v>500000</v>
      </c>
      <c r="E180" s="80">
        <v>45817</v>
      </c>
      <c r="F180">
        <v>1010900</v>
      </c>
      <c r="G180">
        <v>5000</v>
      </c>
    </row>
    <row r="181" spans="1:7" x14ac:dyDescent="0.3">
      <c r="A181" s="80">
        <v>45673</v>
      </c>
      <c r="B181">
        <v>3010201</v>
      </c>
      <c r="C181">
        <v>12384</v>
      </c>
      <c r="E181" s="80">
        <v>45817</v>
      </c>
      <c r="F181">
        <v>1010900</v>
      </c>
      <c r="G181">
        <v>5000</v>
      </c>
    </row>
    <row r="182" spans="1:7" x14ac:dyDescent="0.3">
      <c r="A182" s="80">
        <v>45665</v>
      </c>
      <c r="B182">
        <v>3010201</v>
      </c>
      <c r="C182">
        <v>67000</v>
      </c>
      <c r="E182" s="80">
        <v>45817</v>
      </c>
      <c r="F182">
        <v>1010900</v>
      </c>
      <c r="G182">
        <v>5000</v>
      </c>
    </row>
    <row r="183" spans="1:7" x14ac:dyDescent="0.3">
      <c r="A183" s="80">
        <v>45665</v>
      </c>
      <c r="B183">
        <v>3010201</v>
      </c>
      <c r="C183">
        <v>60000</v>
      </c>
      <c r="E183" s="80">
        <v>45817</v>
      </c>
      <c r="F183">
        <v>1010900</v>
      </c>
      <c r="G183">
        <v>5000</v>
      </c>
    </row>
    <row r="184" spans="1:7" x14ac:dyDescent="0.3">
      <c r="A184" s="80">
        <v>45665</v>
      </c>
      <c r="B184">
        <v>3010201</v>
      </c>
      <c r="C184">
        <v>911830</v>
      </c>
      <c r="E184" s="80">
        <v>45817</v>
      </c>
      <c r="F184">
        <v>1010900</v>
      </c>
      <c r="G184">
        <v>5000</v>
      </c>
    </row>
    <row r="185" spans="1:7" x14ac:dyDescent="0.3">
      <c r="A185" s="80">
        <v>45665</v>
      </c>
      <c r="B185">
        <v>3010205</v>
      </c>
      <c r="C185">
        <v>7916</v>
      </c>
      <c r="E185" s="80">
        <v>45816</v>
      </c>
      <c r="F185">
        <v>1010900</v>
      </c>
      <c r="G185">
        <v>5000</v>
      </c>
    </row>
    <row r="186" spans="1:7" x14ac:dyDescent="0.3">
      <c r="A186" s="80">
        <v>45665</v>
      </c>
      <c r="B186">
        <v>3010205</v>
      </c>
      <c r="C186">
        <v>16345</v>
      </c>
      <c r="E186" s="80">
        <v>45816</v>
      </c>
      <c r="F186">
        <v>1010900</v>
      </c>
      <c r="G186">
        <v>5000</v>
      </c>
    </row>
    <row r="187" spans="1:7" x14ac:dyDescent="0.3">
      <c r="A187" s="80">
        <v>45664</v>
      </c>
      <c r="B187">
        <v>3010201</v>
      </c>
      <c r="C187">
        <v>180000</v>
      </c>
      <c r="E187" s="80">
        <v>45816</v>
      </c>
      <c r="F187">
        <v>1010900</v>
      </c>
      <c r="G187">
        <v>2630</v>
      </c>
    </row>
    <row r="188" spans="1:7" x14ac:dyDescent="0.3">
      <c r="A188" s="80">
        <v>45663</v>
      </c>
      <c r="B188">
        <v>3010205</v>
      </c>
      <c r="C188">
        <v>150000</v>
      </c>
      <c r="E188" s="80">
        <v>45816</v>
      </c>
      <c r="F188">
        <v>1010900</v>
      </c>
      <c r="G188">
        <v>5000</v>
      </c>
    </row>
    <row r="189" spans="1:7" x14ac:dyDescent="0.3">
      <c r="A189" s="80">
        <v>45663</v>
      </c>
      <c r="B189">
        <v>3010205</v>
      </c>
      <c r="C189">
        <v>350000</v>
      </c>
      <c r="E189" s="80">
        <v>45815</v>
      </c>
      <c r="F189">
        <v>1010900</v>
      </c>
      <c r="G189">
        <v>5000</v>
      </c>
    </row>
    <row r="190" spans="1:7" x14ac:dyDescent="0.3">
      <c r="A190" s="80">
        <v>45663</v>
      </c>
      <c r="B190">
        <v>3010205</v>
      </c>
      <c r="C190">
        <v>51447</v>
      </c>
      <c r="E190" s="80">
        <v>45814</v>
      </c>
      <c r="F190">
        <v>1010900</v>
      </c>
      <c r="G190">
        <v>5000</v>
      </c>
    </row>
    <row r="191" spans="1:7" x14ac:dyDescent="0.3">
      <c r="A191" s="80">
        <v>45659</v>
      </c>
      <c r="B191">
        <v>3010201</v>
      </c>
      <c r="C191">
        <v>486</v>
      </c>
      <c r="E191" s="80">
        <v>45814</v>
      </c>
      <c r="F191">
        <v>1010900</v>
      </c>
      <c r="G191">
        <v>5000</v>
      </c>
    </row>
    <row r="192" spans="1:7" x14ac:dyDescent="0.3">
      <c r="A192" s="80">
        <v>45659</v>
      </c>
      <c r="B192">
        <v>3010205</v>
      </c>
      <c r="C192">
        <v>47634</v>
      </c>
      <c r="E192" s="80">
        <v>45814</v>
      </c>
      <c r="F192">
        <v>1010900</v>
      </c>
      <c r="G192">
        <v>5000</v>
      </c>
    </row>
    <row r="193" spans="1:7" x14ac:dyDescent="0.3">
      <c r="A193" s="80">
        <v>45659</v>
      </c>
      <c r="B193">
        <v>3010205</v>
      </c>
      <c r="C193">
        <v>9145</v>
      </c>
      <c r="E193" s="80">
        <v>45814</v>
      </c>
      <c r="F193">
        <v>1010900</v>
      </c>
      <c r="G193">
        <v>9000</v>
      </c>
    </row>
    <row r="194" spans="1:7" x14ac:dyDescent="0.3">
      <c r="A194" s="80">
        <v>45660</v>
      </c>
      <c r="B194">
        <v>3010300</v>
      </c>
      <c r="C194">
        <v>1342436</v>
      </c>
      <c r="E194" s="80">
        <v>45813</v>
      </c>
      <c r="F194">
        <v>1010900</v>
      </c>
      <c r="G194">
        <v>5000</v>
      </c>
    </row>
    <row r="195" spans="1:7" x14ac:dyDescent="0.3">
      <c r="A195" s="80">
        <v>45663</v>
      </c>
      <c r="B195">
        <v>3010300</v>
      </c>
      <c r="C195">
        <v>100000</v>
      </c>
      <c r="E195" s="80">
        <v>45813</v>
      </c>
      <c r="F195">
        <v>1010900</v>
      </c>
      <c r="G195">
        <v>5000</v>
      </c>
    </row>
    <row r="196" spans="1:7" x14ac:dyDescent="0.3">
      <c r="A196" s="80">
        <v>45691</v>
      </c>
      <c r="B196">
        <v>3010300</v>
      </c>
      <c r="C196">
        <v>1000000</v>
      </c>
      <c r="E196" s="80">
        <v>45813</v>
      </c>
      <c r="F196">
        <v>1010900</v>
      </c>
      <c r="G196">
        <v>4500</v>
      </c>
    </row>
    <row r="197" spans="1:7" x14ac:dyDescent="0.3">
      <c r="A197" s="80">
        <v>45740</v>
      </c>
      <c r="B197">
        <v>3010300</v>
      </c>
      <c r="C197">
        <v>1000000</v>
      </c>
      <c r="E197" s="80">
        <v>45813</v>
      </c>
      <c r="F197">
        <v>1010900</v>
      </c>
      <c r="G197">
        <v>500</v>
      </c>
    </row>
    <row r="198" spans="1:7" x14ac:dyDescent="0.3">
      <c r="A198" s="80">
        <v>45748</v>
      </c>
      <c r="B198">
        <v>3010300</v>
      </c>
      <c r="C198">
        <v>125000</v>
      </c>
      <c r="E198" s="80">
        <v>45813</v>
      </c>
      <c r="F198">
        <v>1010900</v>
      </c>
      <c r="G198">
        <v>500</v>
      </c>
    </row>
    <row r="199" spans="1:7" x14ac:dyDescent="0.3">
      <c r="A199" s="80">
        <v>45769</v>
      </c>
      <c r="B199">
        <v>3010300</v>
      </c>
      <c r="C199">
        <v>1000000</v>
      </c>
      <c r="E199" s="80">
        <v>45813</v>
      </c>
      <c r="F199">
        <v>1010900</v>
      </c>
      <c r="G199">
        <v>5000</v>
      </c>
    </row>
    <row r="200" spans="1:7" x14ac:dyDescent="0.3">
      <c r="A200" s="80">
        <v>45802</v>
      </c>
      <c r="B200">
        <v>3010300</v>
      </c>
      <c r="C200">
        <v>1000000</v>
      </c>
      <c r="E200" s="80">
        <v>45813</v>
      </c>
      <c r="F200">
        <v>1010900</v>
      </c>
      <c r="G200">
        <v>5000</v>
      </c>
    </row>
    <row r="201" spans="1:7" x14ac:dyDescent="0.3">
      <c r="A201" s="80">
        <v>45798</v>
      </c>
      <c r="B201">
        <v>2011310</v>
      </c>
      <c r="C201">
        <v>477784</v>
      </c>
      <c r="E201" s="80">
        <v>45813</v>
      </c>
      <c r="F201">
        <v>1010900</v>
      </c>
      <c r="G201">
        <v>12630</v>
      </c>
    </row>
    <row r="202" spans="1:7" x14ac:dyDescent="0.3">
      <c r="A202" s="80">
        <v>45777</v>
      </c>
      <c r="B202">
        <v>2011310</v>
      </c>
      <c r="C202">
        <v>481330</v>
      </c>
      <c r="E202" s="80">
        <v>45813</v>
      </c>
      <c r="F202">
        <v>1010900</v>
      </c>
      <c r="G202">
        <v>5000</v>
      </c>
    </row>
    <row r="203" spans="1:7" x14ac:dyDescent="0.3">
      <c r="A203" s="80">
        <v>45747</v>
      </c>
      <c r="B203">
        <v>2011310</v>
      </c>
      <c r="C203">
        <v>600000</v>
      </c>
      <c r="E203" s="80">
        <v>45813</v>
      </c>
      <c r="F203">
        <v>1010900</v>
      </c>
      <c r="G203">
        <v>5000</v>
      </c>
    </row>
    <row r="204" spans="1:7" x14ac:dyDescent="0.3">
      <c r="A204" s="80">
        <v>45716</v>
      </c>
      <c r="B204">
        <v>1010100</v>
      </c>
      <c r="C204">
        <v>1518350</v>
      </c>
      <c r="E204" s="80">
        <v>45813</v>
      </c>
      <c r="F204">
        <v>1010900</v>
      </c>
      <c r="G204">
        <v>5000</v>
      </c>
    </row>
    <row r="205" spans="1:7" x14ac:dyDescent="0.3">
      <c r="A205" s="80">
        <v>45716</v>
      </c>
      <c r="B205">
        <v>2011310</v>
      </c>
      <c r="C205">
        <v>715284</v>
      </c>
      <c r="E205" s="80">
        <v>45813</v>
      </c>
      <c r="F205">
        <v>1010900</v>
      </c>
      <c r="G205">
        <v>5000</v>
      </c>
    </row>
    <row r="206" spans="1:7" x14ac:dyDescent="0.3">
      <c r="A206" s="80">
        <v>45716</v>
      </c>
      <c r="B206">
        <v>1010100</v>
      </c>
      <c r="C206">
        <v>2012779</v>
      </c>
      <c r="E206" s="80">
        <v>45813</v>
      </c>
      <c r="F206">
        <v>1010900</v>
      </c>
      <c r="G206">
        <v>4500</v>
      </c>
    </row>
    <row r="207" spans="1:7" x14ac:dyDescent="0.3">
      <c r="A207" s="80">
        <v>45703</v>
      </c>
      <c r="B207">
        <v>1010100</v>
      </c>
      <c r="C207">
        <v>1031203</v>
      </c>
      <c r="E207" s="80">
        <v>45813</v>
      </c>
      <c r="F207">
        <v>1010900</v>
      </c>
      <c r="G207">
        <v>5000</v>
      </c>
    </row>
    <row r="208" spans="1:7" x14ac:dyDescent="0.3">
      <c r="A208" s="80">
        <v>45703</v>
      </c>
      <c r="B208">
        <v>1010100</v>
      </c>
      <c r="C208">
        <v>11339602</v>
      </c>
      <c r="E208" s="80">
        <v>45812</v>
      </c>
      <c r="F208">
        <v>1010900</v>
      </c>
      <c r="G208">
        <v>5000</v>
      </c>
    </row>
    <row r="209" spans="1:7" x14ac:dyDescent="0.3">
      <c r="A209" s="80">
        <v>45698</v>
      </c>
      <c r="B209">
        <v>1011001</v>
      </c>
      <c r="C209">
        <v>1589071</v>
      </c>
      <c r="E209" s="80">
        <v>45812</v>
      </c>
      <c r="F209">
        <v>1010900</v>
      </c>
      <c r="G209">
        <v>4500</v>
      </c>
    </row>
    <row r="210" spans="1:7" x14ac:dyDescent="0.3">
      <c r="A210" s="80">
        <v>45693</v>
      </c>
      <c r="B210">
        <v>1010100</v>
      </c>
      <c r="C210">
        <v>7703260</v>
      </c>
      <c r="E210" s="80">
        <v>45812</v>
      </c>
      <c r="F210">
        <v>1010900</v>
      </c>
      <c r="G210">
        <v>12630</v>
      </c>
    </row>
    <row r="211" spans="1:7" x14ac:dyDescent="0.3">
      <c r="A211" s="80">
        <v>45690</v>
      </c>
      <c r="B211">
        <v>1010100</v>
      </c>
      <c r="C211">
        <v>180000</v>
      </c>
      <c r="E211" s="80">
        <v>45812</v>
      </c>
      <c r="F211">
        <v>1010900</v>
      </c>
      <c r="G211">
        <v>5000</v>
      </c>
    </row>
    <row r="212" spans="1:7" x14ac:dyDescent="0.3">
      <c r="A212" s="80">
        <v>45690</v>
      </c>
      <c r="B212">
        <v>1010100</v>
      </c>
      <c r="C212">
        <v>911830</v>
      </c>
      <c r="E212" s="80">
        <v>45812</v>
      </c>
      <c r="F212">
        <v>1010900</v>
      </c>
      <c r="G212">
        <v>5000</v>
      </c>
    </row>
    <row r="213" spans="1:7" x14ac:dyDescent="0.3">
      <c r="A213" s="80">
        <v>45688</v>
      </c>
      <c r="B213">
        <v>2011310</v>
      </c>
      <c r="C213">
        <v>2818645</v>
      </c>
      <c r="E213" s="80">
        <v>45812</v>
      </c>
      <c r="F213">
        <v>1010900</v>
      </c>
      <c r="G213">
        <v>4500</v>
      </c>
    </row>
    <row r="214" spans="1:7" x14ac:dyDescent="0.3">
      <c r="A214" s="80">
        <v>45688</v>
      </c>
      <c r="B214">
        <v>1010503</v>
      </c>
      <c r="C214">
        <v>7703260</v>
      </c>
      <c r="E214" s="80">
        <v>45812</v>
      </c>
      <c r="F214">
        <v>1010900</v>
      </c>
      <c r="G214">
        <v>4500</v>
      </c>
    </row>
    <row r="215" spans="1:7" x14ac:dyDescent="0.3">
      <c r="A215" s="80">
        <v>45679</v>
      </c>
      <c r="B215">
        <v>1011001</v>
      </c>
      <c r="C215">
        <v>1037544</v>
      </c>
      <c r="E215" s="80">
        <v>45812</v>
      </c>
      <c r="F215">
        <v>1010900</v>
      </c>
      <c r="G215">
        <v>4500</v>
      </c>
    </row>
    <row r="216" spans="1:7" x14ac:dyDescent="0.3">
      <c r="A216" s="80">
        <v>45679</v>
      </c>
      <c r="B216">
        <v>2020502</v>
      </c>
      <c r="C216">
        <v>1144076</v>
      </c>
      <c r="E216" s="80">
        <v>45812</v>
      </c>
      <c r="F216">
        <v>1010900</v>
      </c>
      <c r="G216">
        <v>5000</v>
      </c>
    </row>
    <row r="217" spans="1:7" x14ac:dyDescent="0.3">
      <c r="A217" s="80">
        <v>45678</v>
      </c>
      <c r="B217">
        <v>2020502</v>
      </c>
      <c r="C217">
        <v>708102</v>
      </c>
      <c r="E217" s="80">
        <v>45812</v>
      </c>
      <c r="F217">
        <v>1010900</v>
      </c>
      <c r="G217">
        <v>5000</v>
      </c>
    </row>
    <row r="218" spans="1:7" x14ac:dyDescent="0.3">
      <c r="A218" s="80">
        <v>45677</v>
      </c>
      <c r="B218">
        <v>1010600</v>
      </c>
      <c r="C218">
        <v>308560</v>
      </c>
      <c r="E218" s="80">
        <v>45812</v>
      </c>
      <c r="F218">
        <v>1010900</v>
      </c>
      <c r="G218">
        <v>4500</v>
      </c>
    </row>
    <row r="219" spans="1:7" x14ac:dyDescent="0.3">
      <c r="A219" s="80">
        <v>45672</v>
      </c>
      <c r="B219">
        <v>1010100</v>
      </c>
      <c r="C219">
        <v>6718491</v>
      </c>
      <c r="E219" s="80">
        <v>45812</v>
      </c>
      <c r="F219">
        <v>1010900</v>
      </c>
      <c r="G219">
        <v>5000</v>
      </c>
    </row>
    <row r="220" spans="1:7" x14ac:dyDescent="0.3">
      <c r="A220" s="80">
        <v>45666</v>
      </c>
      <c r="B220">
        <v>2020502</v>
      </c>
      <c r="C220">
        <v>1091830</v>
      </c>
      <c r="E220" s="80">
        <v>45812</v>
      </c>
      <c r="F220">
        <v>1010900</v>
      </c>
      <c r="G220">
        <v>500</v>
      </c>
    </row>
    <row r="221" spans="1:7" x14ac:dyDescent="0.3">
      <c r="A221" s="80">
        <v>45663</v>
      </c>
      <c r="B221">
        <v>2020502</v>
      </c>
      <c r="C221">
        <v>1200000</v>
      </c>
      <c r="E221" s="80">
        <v>45812</v>
      </c>
      <c r="F221">
        <v>1010900</v>
      </c>
      <c r="G221">
        <v>4500</v>
      </c>
    </row>
    <row r="222" spans="1:7" x14ac:dyDescent="0.3">
      <c r="A222" s="80">
        <v>45663</v>
      </c>
      <c r="B222">
        <v>1010600</v>
      </c>
      <c r="C222">
        <v>460950</v>
      </c>
      <c r="E222" s="80">
        <v>45812</v>
      </c>
      <c r="F222">
        <v>1010900</v>
      </c>
      <c r="G222">
        <v>5000</v>
      </c>
    </row>
    <row r="223" spans="1:7" x14ac:dyDescent="0.3">
      <c r="A223" s="80">
        <v>45660</v>
      </c>
      <c r="B223">
        <v>2020502</v>
      </c>
      <c r="C223">
        <v>1000000</v>
      </c>
      <c r="E223" s="80">
        <v>45812</v>
      </c>
      <c r="F223">
        <v>1010900</v>
      </c>
      <c r="G223">
        <v>12630</v>
      </c>
    </row>
    <row r="224" spans="1:7" x14ac:dyDescent="0.3">
      <c r="A224" s="80">
        <v>45703</v>
      </c>
      <c r="B224">
        <v>1010900</v>
      </c>
      <c r="C224">
        <v>9975000</v>
      </c>
      <c r="E224" s="80">
        <v>45812</v>
      </c>
      <c r="F224">
        <v>1010900</v>
      </c>
      <c r="G224">
        <v>500</v>
      </c>
    </row>
    <row r="225" spans="1:7" x14ac:dyDescent="0.3">
      <c r="A225" s="80">
        <v>45703</v>
      </c>
      <c r="B225">
        <v>1010900</v>
      </c>
      <c r="C225">
        <v>0</v>
      </c>
      <c r="E225" s="80">
        <v>45812</v>
      </c>
      <c r="F225">
        <v>1010900</v>
      </c>
      <c r="G225">
        <v>5000</v>
      </c>
    </row>
    <row r="226" spans="1:7" x14ac:dyDescent="0.3">
      <c r="A226" s="80">
        <v>45690</v>
      </c>
      <c r="B226">
        <v>1010900</v>
      </c>
      <c r="C226">
        <v>4384500</v>
      </c>
      <c r="E226" s="80">
        <v>45812</v>
      </c>
      <c r="F226">
        <v>1010900</v>
      </c>
      <c r="G226">
        <v>5000</v>
      </c>
    </row>
    <row r="227" spans="1:7" x14ac:dyDescent="0.3">
      <c r="A227" s="80">
        <v>45703</v>
      </c>
      <c r="B227">
        <v>1011001</v>
      </c>
      <c r="C227">
        <v>0</v>
      </c>
      <c r="E227" s="80">
        <v>45812</v>
      </c>
      <c r="F227">
        <v>1010900</v>
      </c>
      <c r="G227">
        <v>5000</v>
      </c>
    </row>
    <row r="228" spans="1:7" x14ac:dyDescent="0.3">
      <c r="A228" s="80">
        <v>45703</v>
      </c>
      <c r="B228">
        <v>1011001</v>
      </c>
      <c r="C228">
        <v>0</v>
      </c>
      <c r="E228" s="80">
        <v>45812</v>
      </c>
      <c r="F228">
        <v>1010900</v>
      </c>
      <c r="G228">
        <v>5000</v>
      </c>
    </row>
    <row r="229" spans="1:7" x14ac:dyDescent="0.3">
      <c r="A229" s="80">
        <v>45690</v>
      </c>
      <c r="B229">
        <v>1011001</v>
      </c>
      <c r="C229">
        <v>0</v>
      </c>
      <c r="E229" s="80">
        <v>45812</v>
      </c>
      <c r="F229">
        <v>1010900</v>
      </c>
      <c r="G229">
        <v>4500</v>
      </c>
    </row>
    <row r="230" spans="1:7" x14ac:dyDescent="0.3">
      <c r="A230" s="80">
        <v>45658</v>
      </c>
      <c r="B230">
        <v>1010100</v>
      </c>
      <c r="C230">
        <v>2280166</v>
      </c>
      <c r="E230" s="80">
        <v>45812</v>
      </c>
      <c r="F230">
        <v>1010900</v>
      </c>
      <c r="G230">
        <v>4500</v>
      </c>
    </row>
    <row r="231" spans="1:7" x14ac:dyDescent="0.3">
      <c r="A231" s="80">
        <v>45658</v>
      </c>
      <c r="B231">
        <v>1010501</v>
      </c>
      <c r="C231">
        <v>6718491</v>
      </c>
      <c r="E231" s="80">
        <v>45811</v>
      </c>
      <c r="F231">
        <v>1010900</v>
      </c>
      <c r="G231">
        <v>5000</v>
      </c>
    </row>
    <row r="232" spans="1:7" x14ac:dyDescent="0.3">
      <c r="A232" s="80">
        <v>45658</v>
      </c>
      <c r="B232">
        <v>1010900</v>
      </c>
      <c r="C232">
        <v>8650020</v>
      </c>
      <c r="E232" s="80">
        <v>45811</v>
      </c>
      <c r="F232">
        <v>1010900</v>
      </c>
      <c r="G232">
        <v>5000</v>
      </c>
    </row>
    <row r="233" spans="1:7" x14ac:dyDescent="0.3">
      <c r="A233" s="80">
        <v>45658</v>
      </c>
      <c r="B233">
        <v>1011001</v>
      </c>
      <c r="C233">
        <v>1265880</v>
      </c>
      <c r="E233" s="80">
        <v>45811</v>
      </c>
      <c r="F233">
        <v>1010900</v>
      </c>
      <c r="G233">
        <v>5000</v>
      </c>
    </row>
    <row r="234" spans="1:7" x14ac:dyDescent="0.3">
      <c r="A234" s="80">
        <v>45658</v>
      </c>
      <c r="B234">
        <v>1011100</v>
      </c>
      <c r="C234">
        <v>11339602</v>
      </c>
      <c r="E234" s="80">
        <v>45811</v>
      </c>
      <c r="F234">
        <v>1010900</v>
      </c>
      <c r="G234">
        <v>12630</v>
      </c>
    </row>
    <row r="235" spans="1:7" x14ac:dyDescent="0.3">
      <c r="A235" s="80">
        <v>45658</v>
      </c>
      <c r="B235">
        <v>1011501</v>
      </c>
      <c r="C235">
        <v>3417</v>
      </c>
      <c r="E235" s="80">
        <v>45811</v>
      </c>
      <c r="F235">
        <v>1010900</v>
      </c>
      <c r="G235">
        <v>4500</v>
      </c>
    </row>
    <row r="236" spans="1:7" x14ac:dyDescent="0.3">
      <c r="A236" s="80">
        <v>45658</v>
      </c>
      <c r="B236">
        <v>1031000</v>
      </c>
      <c r="C236">
        <v>4157547</v>
      </c>
      <c r="E236" s="80">
        <v>45811</v>
      </c>
      <c r="F236">
        <v>1010900</v>
      </c>
      <c r="G236">
        <v>5000</v>
      </c>
    </row>
    <row r="237" spans="1:7" x14ac:dyDescent="0.3">
      <c r="A237" s="80">
        <v>45658</v>
      </c>
      <c r="B237">
        <v>2010902</v>
      </c>
      <c r="C237">
        <v>0</v>
      </c>
      <c r="E237" s="80">
        <v>45811</v>
      </c>
      <c r="F237">
        <v>1010900</v>
      </c>
      <c r="G237">
        <v>5000</v>
      </c>
    </row>
    <row r="238" spans="1:7" x14ac:dyDescent="0.3">
      <c r="A238" s="80">
        <v>45658</v>
      </c>
      <c r="B238">
        <v>2011200</v>
      </c>
      <c r="C238">
        <v>0</v>
      </c>
      <c r="E238" s="80">
        <v>45811</v>
      </c>
      <c r="F238">
        <v>1010900</v>
      </c>
      <c r="G238">
        <v>4500</v>
      </c>
    </row>
    <row r="239" spans="1:7" x14ac:dyDescent="0.3">
      <c r="A239" s="80">
        <v>45658</v>
      </c>
      <c r="B239">
        <v>2011310</v>
      </c>
      <c r="C239">
        <v>0</v>
      </c>
      <c r="E239" s="80">
        <v>45811</v>
      </c>
      <c r="F239">
        <v>1010900</v>
      </c>
      <c r="G239">
        <v>5000</v>
      </c>
    </row>
    <row r="240" spans="1:7" x14ac:dyDescent="0.3">
      <c r="A240" s="80">
        <v>45658</v>
      </c>
      <c r="B240">
        <v>2020502</v>
      </c>
      <c r="C240">
        <v>0</v>
      </c>
      <c r="E240" s="80">
        <v>45811</v>
      </c>
      <c r="F240">
        <v>1010900</v>
      </c>
      <c r="G240">
        <v>5000</v>
      </c>
    </row>
    <row r="241" spans="1:7" x14ac:dyDescent="0.3">
      <c r="A241" s="80">
        <v>45658</v>
      </c>
      <c r="B241">
        <v>2020503</v>
      </c>
      <c r="C241">
        <v>0</v>
      </c>
      <c r="E241" s="80">
        <v>45811</v>
      </c>
      <c r="F241">
        <v>1010900</v>
      </c>
      <c r="G241">
        <v>10000</v>
      </c>
    </row>
    <row r="242" spans="1:7" x14ac:dyDescent="0.3">
      <c r="A242" s="80">
        <v>45658</v>
      </c>
      <c r="B242">
        <v>2030100</v>
      </c>
      <c r="C242">
        <v>0</v>
      </c>
      <c r="E242" s="80">
        <v>45811</v>
      </c>
      <c r="F242">
        <v>1010900</v>
      </c>
      <c r="G242">
        <v>5000</v>
      </c>
    </row>
    <row r="243" spans="1:7" x14ac:dyDescent="0.3">
      <c r="A243" s="80">
        <v>45658</v>
      </c>
      <c r="B243">
        <v>2030600</v>
      </c>
      <c r="C243">
        <v>0</v>
      </c>
      <c r="E243" s="80">
        <v>45810</v>
      </c>
      <c r="F243">
        <v>1010900</v>
      </c>
      <c r="G243">
        <v>4500</v>
      </c>
    </row>
    <row r="244" spans="1:7" x14ac:dyDescent="0.3">
      <c r="A244" s="80">
        <v>45828</v>
      </c>
      <c r="B244">
        <v>1010100</v>
      </c>
      <c r="C244">
        <v>29990</v>
      </c>
      <c r="E244" s="80">
        <v>45810</v>
      </c>
      <c r="F244">
        <v>1010900</v>
      </c>
      <c r="G244">
        <v>12630</v>
      </c>
    </row>
    <row r="245" spans="1:7" x14ac:dyDescent="0.3">
      <c r="A245" s="80">
        <v>45827</v>
      </c>
      <c r="B245">
        <v>1010100</v>
      </c>
      <c r="C245">
        <v>32990</v>
      </c>
      <c r="E245" s="80">
        <v>45810</v>
      </c>
      <c r="F245">
        <v>1010900</v>
      </c>
      <c r="G245">
        <v>4500</v>
      </c>
    </row>
    <row r="246" spans="1:7" x14ac:dyDescent="0.3">
      <c r="A246" s="80">
        <v>45827</v>
      </c>
      <c r="B246">
        <v>1010100</v>
      </c>
      <c r="C246">
        <v>32990</v>
      </c>
      <c r="E246" s="80">
        <v>45810</v>
      </c>
      <c r="F246">
        <v>1010900</v>
      </c>
      <c r="G246">
        <v>5000</v>
      </c>
    </row>
    <row r="247" spans="1:7" x14ac:dyDescent="0.3">
      <c r="A247" s="80">
        <v>45826</v>
      </c>
      <c r="B247">
        <v>1010100</v>
      </c>
      <c r="C247">
        <v>29990</v>
      </c>
      <c r="E247" s="80">
        <v>45810</v>
      </c>
      <c r="F247">
        <v>1010900</v>
      </c>
      <c r="G247">
        <v>5000</v>
      </c>
    </row>
    <row r="248" spans="1:7" x14ac:dyDescent="0.3">
      <c r="A248" s="80">
        <v>45826</v>
      </c>
      <c r="B248">
        <v>1010100</v>
      </c>
      <c r="C248">
        <v>29990</v>
      </c>
      <c r="E248" s="80">
        <v>45810</v>
      </c>
      <c r="F248">
        <v>1010900</v>
      </c>
      <c r="G248">
        <v>5000</v>
      </c>
    </row>
    <row r="249" spans="1:7" x14ac:dyDescent="0.3">
      <c r="A249" s="80">
        <v>45826</v>
      </c>
      <c r="B249">
        <v>1010100</v>
      </c>
      <c r="C249">
        <v>29990</v>
      </c>
      <c r="E249" s="80">
        <v>45810</v>
      </c>
      <c r="F249">
        <v>1010900</v>
      </c>
      <c r="G249">
        <v>500</v>
      </c>
    </row>
    <row r="250" spans="1:7" x14ac:dyDescent="0.3">
      <c r="A250" s="80">
        <v>45825</v>
      </c>
      <c r="B250">
        <v>1010100</v>
      </c>
      <c r="C250">
        <v>32990</v>
      </c>
      <c r="E250" s="80">
        <v>45810</v>
      </c>
      <c r="F250">
        <v>1010900</v>
      </c>
      <c r="G250">
        <v>4500</v>
      </c>
    </row>
    <row r="251" spans="1:7" x14ac:dyDescent="0.3">
      <c r="A251" s="80">
        <v>45825</v>
      </c>
      <c r="B251">
        <v>1010100</v>
      </c>
      <c r="C251">
        <v>4995</v>
      </c>
      <c r="E251" s="80">
        <v>45810</v>
      </c>
      <c r="F251">
        <v>1010900</v>
      </c>
      <c r="G251">
        <v>5000</v>
      </c>
    </row>
    <row r="252" spans="1:7" x14ac:dyDescent="0.3">
      <c r="A252" s="80">
        <v>45825</v>
      </c>
      <c r="B252">
        <v>1010100</v>
      </c>
      <c r="C252">
        <v>29990</v>
      </c>
      <c r="E252" s="80">
        <v>45810</v>
      </c>
      <c r="F252">
        <v>1010900</v>
      </c>
      <c r="G252">
        <v>5000</v>
      </c>
    </row>
    <row r="253" spans="1:7" x14ac:dyDescent="0.3">
      <c r="A253" s="80">
        <v>45825</v>
      </c>
      <c r="B253">
        <v>1010100</v>
      </c>
      <c r="C253">
        <v>32990</v>
      </c>
      <c r="E253" s="80">
        <v>45809</v>
      </c>
      <c r="F253">
        <v>1010900</v>
      </c>
      <c r="G253">
        <v>5000</v>
      </c>
    </row>
    <row r="254" spans="1:7" x14ac:dyDescent="0.3">
      <c r="A254" s="80">
        <v>45824</v>
      </c>
      <c r="B254">
        <v>1010100</v>
      </c>
      <c r="C254">
        <v>29990</v>
      </c>
      <c r="E254" s="80">
        <v>45809</v>
      </c>
      <c r="F254">
        <v>1010900</v>
      </c>
      <c r="G254">
        <v>5000</v>
      </c>
    </row>
    <row r="255" spans="1:7" x14ac:dyDescent="0.3">
      <c r="A255" s="80">
        <v>45824</v>
      </c>
      <c r="B255">
        <v>1010100</v>
      </c>
      <c r="C255">
        <v>32990</v>
      </c>
      <c r="E255" s="80">
        <v>45809</v>
      </c>
      <c r="F255">
        <v>1010900</v>
      </c>
      <c r="G255">
        <v>5000</v>
      </c>
    </row>
    <row r="256" spans="1:7" x14ac:dyDescent="0.3">
      <c r="A256" s="80">
        <v>45823</v>
      </c>
      <c r="B256">
        <v>1010100</v>
      </c>
      <c r="C256">
        <v>32990</v>
      </c>
      <c r="E256" s="80">
        <v>45809</v>
      </c>
      <c r="F256">
        <v>1010900</v>
      </c>
      <c r="G256">
        <v>9000</v>
      </c>
    </row>
    <row r="257" spans="1:7" x14ac:dyDescent="0.3">
      <c r="A257" s="80">
        <v>45823</v>
      </c>
      <c r="B257">
        <v>1010100</v>
      </c>
      <c r="C257">
        <v>23093</v>
      </c>
      <c r="E257" s="80">
        <v>45809</v>
      </c>
      <c r="F257">
        <v>1010900</v>
      </c>
      <c r="G257">
        <v>5000</v>
      </c>
    </row>
    <row r="258" spans="1:7" x14ac:dyDescent="0.3">
      <c r="A258" s="80">
        <v>45823</v>
      </c>
      <c r="B258">
        <v>1010100</v>
      </c>
      <c r="C258">
        <v>23093</v>
      </c>
      <c r="E258" s="80">
        <v>45809</v>
      </c>
      <c r="F258">
        <v>1010900</v>
      </c>
      <c r="G258">
        <v>4500</v>
      </c>
    </row>
    <row r="259" spans="1:7" x14ac:dyDescent="0.3">
      <c r="A259" s="80">
        <v>45823</v>
      </c>
      <c r="B259">
        <v>1010100</v>
      </c>
      <c r="C259">
        <v>32990</v>
      </c>
      <c r="E259" s="80">
        <v>45809</v>
      </c>
      <c r="F259">
        <v>1010900</v>
      </c>
      <c r="G259">
        <v>5000</v>
      </c>
    </row>
    <row r="260" spans="1:7" x14ac:dyDescent="0.3">
      <c r="A260" s="80">
        <v>45822</v>
      </c>
      <c r="B260">
        <v>1010100</v>
      </c>
      <c r="C260">
        <v>32990</v>
      </c>
      <c r="E260" s="80">
        <v>45809</v>
      </c>
      <c r="F260">
        <v>1010900</v>
      </c>
      <c r="G260">
        <v>5000</v>
      </c>
    </row>
    <row r="261" spans="1:7" x14ac:dyDescent="0.3">
      <c r="A261" s="80">
        <v>45822</v>
      </c>
      <c r="B261">
        <v>1010100</v>
      </c>
      <c r="C261">
        <v>32990</v>
      </c>
      <c r="E261" s="80">
        <v>45809</v>
      </c>
      <c r="F261">
        <v>1010900</v>
      </c>
      <c r="G261">
        <v>5000</v>
      </c>
    </row>
    <row r="262" spans="1:7" x14ac:dyDescent="0.3">
      <c r="A262" s="80">
        <v>45822</v>
      </c>
      <c r="B262">
        <v>1010100</v>
      </c>
      <c r="C262">
        <v>29990</v>
      </c>
      <c r="E262" s="80">
        <v>45809</v>
      </c>
      <c r="F262">
        <v>1010900</v>
      </c>
      <c r="G262">
        <v>5000</v>
      </c>
    </row>
    <row r="263" spans="1:7" x14ac:dyDescent="0.3">
      <c r="A263" s="80">
        <v>45820</v>
      </c>
      <c r="B263">
        <v>1010100</v>
      </c>
      <c r="C263">
        <v>29990</v>
      </c>
      <c r="E263" s="80">
        <v>45809</v>
      </c>
      <c r="F263">
        <v>1010900</v>
      </c>
      <c r="G263">
        <v>5000</v>
      </c>
    </row>
    <row r="264" spans="1:7" x14ac:dyDescent="0.3">
      <c r="A264" s="80">
        <v>45819</v>
      </c>
      <c r="B264">
        <v>1010100</v>
      </c>
      <c r="C264">
        <v>32990</v>
      </c>
      <c r="E264" s="80">
        <v>45809</v>
      </c>
      <c r="F264">
        <v>1010900</v>
      </c>
      <c r="G264">
        <v>5000</v>
      </c>
    </row>
    <row r="265" spans="1:7" x14ac:dyDescent="0.3">
      <c r="A265" s="80">
        <v>45819</v>
      </c>
      <c r="B265">
        <v>1010100</v>
      </c>
      <c r="C265">
        <v>32990</v>
      </c>
      <c r="E265" s="80">
        <v>45809</v>
      </c>
      <c r="F265">
        <v>1010900</v>
      </c>
      <c r="G265">
        <v>5000</v>
      </c>
    </row>
    <row r="266" spans="1:7" x14ac:dyDescent="0.3">
      <c r="A266" s="80">
        <v>45819</v>
      </c>
      <c r="B266">
        <v>1010100</v>
      </c>
      <c r="C266">
        <v>9990</v>
      </c>
      <c r="E266" s="80">
        <v>45808</v>
      </c>
      <c r="F266">
        <v>1010900</v>
      </c>
      <c r="G266">
        <v>4500</v>
      </c>
    </row>
    <row r="267" spans="1:7" x14ac:dyDescent="0.3">
      <c r="A267" s="80">
        <v>45819</v>
      </c>
      <c r="B267">
        <v>1010100</v>
      </c>
      <c r="C267">
        <v>29990</v>
      </c>
      <c r="E267" s="80">
        <v>45808</v>
      </c>
      <c r="F267">
        <v>1010900</v>
      </c>
      <c r="G267">
        <v>5000</v>
      </c>
    </row>
    <row r="268" spans="1:7" x14ac:dyDescent="0.3">
      <c r="A268" s="80">
        <v>45818</v>
      </c>
      <c r="B268">
        <v>1010100</v>
      </c>
      <c r="C268">
        <v>32990</v>
      </c>
      <c r="E268" s="80">
        <v>45808</v>
      </c>
      <c r="F268">
        <v>1010900</v>
      </c>
      <c r="G268">
        <v>12630</v>
      </c>
    </row>
    <row r="269" spans="1:7" x14ac:dyDescent="0.3">
      <c r="A269" s="80">
        <v>45818</v>
      </c>
      <c r="B269">
        <v>1010100</v>
      </c>
      <c r="C269">
        <v>32990</v>
      </c>
      <c r="E269" s="80">
        <v>45808</v>
      </c>
      <c r="F269">
        <v>1010900</v>
      </c>
      <c r="G269">
        <v>12630</v>
      </c>
    </row>
    <row r="270" spans="1:7" x14ac:dyDescent="0.3">
      <c r="A270" s="80">
        <v>45818</v>
      </c>
      <c r="B270">
        <v>1010100</v>
      </c>
      <c r="C270">
        <v>32990</v>
      </c>
      <c r="E270" s="80">
        <v>45807</v>
      </c>
      <c r="F270">
        <v>1010900</v>
      </c>
      <c r="G270">
        <v>5000</v>
      </c>
    </row>
    <row r="271" spans="1:7" x14ac:dyDescent="0.3">
      <c r="A271" s="80">
        <v>45818</v>
      </c>
      <c r="B271">
        <v>1010100</v>
      </c>
      <c r="C271">
        <v>29990</v>
      </c>
      <c r="E271" s="80">
        <v>45807</v>
      </c>
      <c r="F271">
        <v>1010900</v>
      </c>
      <c r="G271">
        <v>4500</v>
      </c>
    </row>
    <row r="272" spans="1:7" x14ac:dyDescent="0.3">
      <c r="A272" s="80">
        <v>45817</v>
      </c>
      <c r="B272">
        <v>1010100</v>
      </c>
      <c r="C272">
        <v>29990</v>
      </c>
      <c r="E272" s="80">
        <v>45806</v>
      </c>
      <c r="F272">
        <v>1010900</v>
      </c>
      <c r="G272">
        <v>5000</v>
      </c>
    </row>
    <row r="273" spans="1:7" x14ac:dyDescent="0.3">
      <c r="A273" s="80">
        <v>45817</v>
      </c>
      <c r="B273">
        <v>1010100</v>
      </c>
      <c r="C273">
        <v>29990</v>
      </c>
      <c r="E273" s="80">
        <v>45806</v>
      </c>
      <c r="F273">
        <v>1010900</v>
      </c>
      <c r="G273">
        <v>5000</v>
      </c>
    </row>
    <row r="274" spans="1:7" x14ac:dyDescent="0.3">
      <c r="A274" s="80">
        <v>45817</v>
      </c>
      <c r="B274">
        <v>1010100</v>
      </c>
      <c r="C274">
        <v>29990</v>
      </c>
      <c r="E274" s="80">
        <v>45805</v>
      </c>
      <c r="F274">
        <v>1010900</v>
      </c>
      <c r="G274">
        <v>5000</v>
      </c>
    </row>
    <row r="275" spans="1:7" x14ac:dyDescent="0.3">
      <c r="A275" s="80">
        <v>45817</v>
      </c>
      <c r="B275">
        <v>1010100</v>
      </c>
      <c r="C275">
        <v>32990</v>
      </c>
      <c r="E275" s="80">
        <v>45805</v>
      </c>
      <c r="F275">
        <v>1010900</v>
      </c>
      <c r="G275">
        <v>12630</v>
      </c>
    </row>
    <row r="276" spans="1:7" x14ac:dyDescent="0.3">
      <c r="A276" s="80">
        <v>45817</v>
      </c>
      <c r="B276">
        <v>1010100</v>
      </c>
      <c r="C276">
        <v>32990</v>
      </c>
      <c r="E276" s="80">
        <v>45805</v>
      </c>
      <c r="F276">
        <v>1010900</v>
      </c>
      <c r="G276">
        <v>500</v>
      </c>
    </row>
    <row r="277" spans="1:7" x14ac:dyDescent="0.3">
      <c r="A277" s="80">
        <v>45816</v>
      </c>
      <c r="B277">
        <v>1010100</v>
      </c>
      <c r="C277">
        <v>29990</v>
      </c>
      <c r="E277" s="80">
        <v>45805</v>
      </c>
      <c r="F277">
        <v>1010900</v>
      </c>
      <c r="G277">
        <v>4500</v>
      </c>
    </row>
    <row r="278" spans="1:7" x14ac:dyDescent="0.3">
      <c r="A278" s="80">
        <v>45816</v>
      </c>
      <c r="B278">
        <v>1010100</v>
      </c>
      <c r="C278">
        <v>32990</v>
      </c>
      <c r="E278" s="80">
        <v>45804</v>
      </c>
      <c r="F278">
        <v>1010900</v>
      </c>
      <c r="G278">
        <v>5000</v>
      </c>
    </row>
    <row r="279" spans="1:7" x14ac:dyDescent="0.3">
      <c r="A279" s="80">
        <v>45816</v>
      </c>
      <c r="B279">
        <v>1010100</v>
      </c>
      <c r="C279">
        <v>9990</v>
      </c>
      <c r="E279" s="80">
        <v>45804</v>
      </c>
      <c r="F279">
        <v>1010900</v>
      </c>
      <c r="G279">
        <v>5000</v>
      </c>
    </row>
    <row r="280" spans="1:7" x14ac:dyDescent="0.3">
      <c r="A280" s="80">
        <v>45816</v>
      </c>
      <c r="B280">
        <v>1010100</v>
      </c>
      <c r="C280">
        <v>32990</v>
      </c>
      <c r="E280" s="80">
        <v>45804</v>
      </c>
      <c r="F280">
        <v>1010900</v>
      </c>
      <c r="G280">
        <v>8769</v>
      </c>
    </row>
    <row r="281" spans="1:7" x14ac:dyDescent="0.3">
      <c r="A281" s="80">
        <v>45815</v>
      </c>
      <c r="B281">
        <v>1010100</v>
      </c>
      <c r="C281">
        <v>32990</v>
      </c>
      <c r="E281" s="80">
        <v>45804</v>
      </c>
      <c r="F281">
        <v>1010900</v>
      </c>
      <c r="G281">
        <v>500</v>
      </c>
    </row>
    <row r="282" spans="1:7" x14ac:dyDescent="0.3">
      <c r="A282" s="80">
        <v>45814</v>
      </c>
      <c r="B282">
        <v>1010100</v>
      </c>
      <c r="C282">
        <v>23093</v>
      </c>
      <c r="E282" s="80">
        <v>45804</v>
      </c>
      <c r="F282">
        <v>1010900</v>
      </c>
      <c r="G282">
        <v>4500</v>
      </c>
    </row>
    <row r="283" spans="1:7" x14ac:dyDescent="0.3">
      <c r="A283" s="80">
        <v>45814</v>
      </c>
      <c r="B283">
        <v>1010100</v>
      </c>
      <c r="C283">
        <v>32990</v>
      </c>
      <c r="E283" s="80">
        <v>45804</v>
      </c>
      <c r="F283">
        <v>1010900</v>
      </c>
      <c r="G283">
        <v>500</v>
      </c>
    </row>
    <row r="284" spans="1:7" x14ac:dyDescent="0.3">
      <c r="A284" s="80">
        <v>45814</v>
      </c>
      <c r="B284">
        <v>1010100</v>
      </c>
      <c r="C284">
        <v>29990</v>
      </c>
      <c r="E284" s="80">
        <v>45804</v>
      </c>
      <c r="F284">
        <v>1010900</v>
      </c>
      <c r="G284">
        <v>4500</v>
      </c>
    </row>
    <row r="285" spans="1:7" x14ac:dyDescent="0.3">
      <c r="A285" s="80">
        <v>45814</v>
      </c>
      <c r="B285">
        <v>1010100</v>
      </c>
      <c r="C285">
        <v>46186</v>
      </c>
      <c r="E285" s="80">
        <v>45804</v>
      </c>
      <c r="F285">
        <v>1010900</v>
      </c>
      <c r="G285">
        <v>5000</v>
      </c>
    </row>
    <row r="286" spans="1:7" x14ac:dyDescent="0.3">
      <c r="A286" s="80">
        <v>45813</v>
      </c>
      <c r="B286">
        <v>1010100</v>
      </c>
      <c r="C286">
        <v>23093</v>
      </c>
      <c r="E286" s="80">
        <v>45804</v>
      </c>
      <c r="F286">
        <v>1010900</v>
      </c>
      <c r="G286">
        <v>5000</v>
      </c>
    </row>
    <row r="287" spans="1:7" x14ac:dyDescent="0.3">
      <c r="A287" s="80">
        <v>45813</v>
      </c>
      <c r="B287">
        <v>1010100</v>
      </c>
      <c r="C287">
        <v>23093</v>
      </c>
      <c r="E287" s="80">
        <v>45804</v>
      </c>
      <c r="F287">
        <v>1010900</v>
      </c>
      <c r="G287">
        <v>4500</v>
      </c>
    </row>
    <row r="288" spans="1:7" x14ac:dyDescent="0.3">
      <c r="A288" s="80">
        <v>45813</v>
      </c>
      <c r="B288">
        <v>1010100</v>
      </c>
      <c r="C288">
        <v>23093</v>
      </c>
      <c r="E288" s="80">
        <v>45803</v>
      </c>
      <c r="F288">
        <v>1010900</v>
      </c>
      <c r="G288">
        <v>5000</v>
      </c>
    </row>
    <row r="289" spans="1:7" x14ac:dyDescent="0.3">
      <c r="A289" s="80">
        <v>45813</v>
      </c>
      <c r="B289">
        <v>1010100</v>
      </c>
      <c r="C289">
        <v>4490</v>
      </c>
      <c r="E289" s="80">
        <v>45803</v>
      </c>
      <c r="F289">
        <v>1010900</v>
      </c>
      <c r="G289">
        <v>25000</v>
      </c>
    </row>
    <row r="290" spans="1:7" x14ac:dyDescent="0.3">
      <c r="A290" s="80">
        <v>45813</v>
      </c>
      <c r="B290">
        <v>1010100</v>
      </c>
      <c r="C290">
        <v>4490</v>
      </c>
      <c r="E290" s="80">
        <v>45803</v>
      </c>
      <c r="F290">
        <v>1010900</v>
      </c>
      <c r="G290">
        <v>26307</v>
      </c>
    </row>
    <row r="291" spans="1:7" x14ac:dyDescent="0.3">
      <c r="A291" s="80">
        <v>45813</v>
      </c>
      <c r="B291">
        <v>1010100</v>
      </c>
      <c r="C291">
        <v>23093</v>
      </c>
      <c r="E291" s="80">
        <v>45803</v>
      </c>
      <c r="F291">
        <v>1010900</v>
      </c>
      <c r="G291">
        <v>5000</v>
      </c>
    </row>
    <row r="292" spans="1:7" x14ac:dyDescent="0.3">
      <c r="A292" s="80">
        <v>45813</v>
      </c>
      <c r="B292">
        <v>1010100</v>
      </c>
      <c r="C292">
        <v>29990</v>
      </c>
      <c r="E292" s="80">
        <v>45803</v>
      </c>
      <c r="F292">
        <v>1010900</v>
      </c>
      <c r="G292">
        <v>5000</v>
      </c>
    </row>
    <row r="293" spans="1:7" x14ac:dyDescent="0.3">
      <c r="A293" s="80">
        <v>45813</v>
      </c>
      <c r="B293">
        <v>1010100</v>
      </c>
      <c r="C293">
        <v>48990</v>
      </c>
      <c r="E293" s="80">
        <v>45803</v>
      </c>
      <c r="F293">
        <v>1010900</v>
      </c>
      <c r="G293">
        <v>5000</v>
      </c>
    </row>
    <row r="294" spans="1:7" x14ac:dyDescent="0.3">
      <c r="A294" s="80">
        <v>45813</v>
      </c>
      <c r="B294">
        <v>1010100</v>
      </c>
      <c r="C294">
        <v>23093</v>
      </c>
      <c r="E294" s="80">
        <v>45803</v>
      </c>
      <c r="F294">
        <v>1010900</v>
      </c>
      <c r="G294">
        <v>4500</v>
      </c>
    </row>
    <row r="295" spans="1:7" x14ac:dyDescent="0.3">
      <c r="A295" s="80">
        <v>45813</v>
      </c>
      <c r="B295">
        <v>1010100</v>
      </c>
      <c r="C295">
        <v>23093</v>
      </c>
      <c r="E295" s="80">
        <v>45802</v>
      </c>
      <c r="F295">
        <v>1010900</v>
      </c>
      <c r="G295">
        <v>5000</v>
      </c>
    </row>
    <row r="296" spans="1:7" x14ac:dyDescent="0.3">
      <c r="A296" s="80">
        <v>45813</v>
      </c>
      <c r="B296">
        <v>1010100</v>
      </c>
      <c r="C296">
        <v>23093</v>
      </c>
      <c r="E296" s="80">
        <v>45802</v>
      </c>
      <c r="F296">
        <v>1010900</v>
      </c>
      <c r="G296">
        <v>5000</v>
      </c>
    </row>
    <row r="297" spans="1:7" x14ac:dyDescent="0.3">
      <c r="A297" s="80">
        <v>45813</v>
      </c>
      <c r="B297">
        <v>1010100</v>
      </c>
      <c r="C297">
        <v>23093</v>
      </c>
      <c r="E297" s="80">
        <v>45801</v>
      </c>
      <c r="F297">
        <v>1010900</v>
      </c>
      <c r="G297">
        <v>5000</v>
      </c>
    </row>
    <row r="298" spans="1:7" x14ac:dyDescent="0.3">
      <c r="A298" s="80">
        <v>45813</v>
      </c>
      <c r="B298">
        <v>1010100</v>
      </c>
      <c r="C298">
        <v>23093</v>
      </c>
      <c r="E298" s="80">
        <v>45801</v>
      </c>
      <c r="F298">
        <v>1010900</v>
      </c>
      <c r="G298">
        <v>5000</v>
      </c>
    </row>
    <row r="299" spans="1:7" x14ac:dyDescent="0.3">
      <c r="A299" s="80">
        <v>45813</v>
      </c>
      <c r="B299">
        <v>1010100</v>
      </c>
      <c r="C299">
        <v>23093</v>
      </c>
      <c r="E299" s="80">
        <v>45801</v>
      </c>
      <c r="F299">
        <v>1010900</v>
      </c>
      <c r="G299">
        <v>5000</v>
      </c>
    </row>
    <row r="300" spans="1:7" x14ac:dyDescent="0.3">
      <c r="A300" s="80">
        <v>45812</v>
      </c>
      <c r="B300">
        <v>1010100</v>
      </c>
      <c r="C300">
        <v>23093</v>
      </c>
      <c r="E300" s="80">
        <v>45801</v>
      </c>
      <c r="F300">
        <v>1010900</v>
      </c>
      <c r="G300">
        <v>5000</v>
      </c>
    </row>
    <row r="301" spans="1:7" x14ac:dyDescent="0.3">
      <c r="A301" s="80">
        <v>45812</v>
      </c>
      <c r="B301">
        <v>1010100</v>
      </c>
      <c r="C301">
        <v>23093</v>
      </c>
      <c r="E301" s="80">
        <v>45801</v>
      </c>
      <c r="F301">
        <v>1010900</v>
      </c>
      <c r="G301">
        <v>12630</v>
      </c>
    </row>
    <row r="302" spans="1:7" x14ac:dyDescent="0.3">
      <c r="A302" s="80">
        <v>45812</v>
      </c>
      <c r="B302">
        <v>1010100</v>
      </c>
      <c r="C302">
        <v>48990</v>
      </c>
      <c r="E302" s="80">
        <v>45801</v>
      </c>
      <c r="F302">
        <v>1010900</v>
      </c>
      <c r="G302">
        <v>5000</v>
      </c>
    </row>
    <row r="303" spans="1:7" x14ac:dyDescent="0.3">
      <c r="A303" s="80">
        <v>45812</v>
      </c>
      <c r="B303">
        <v>1010100</v>
      </c>
      <c r="C303">
        <v>29990</v>
      </c>
      <c r="E303" s="80">
        <v>45801</v>
      </c>
      <c r="F303">
        <v>1010900</v>
      </c>
      <c r="G303">
        <v>5000</v>
      </c>
    </row>
    <row r="304" spans="1:7" x14ac:dyDescent="0.3">
      <c r="A304" s="80">
        <v>45812</v>
      </c>
      <c r="B304">
        <v>1010100</v>
      </c>
      <c r="C304">
        <v>29990</v>
      </c>
      <c r="E304" s="80">
        <v>45801</v>
      </c>
      <c r="F304">
        <v>1010900</v>
      </c>
      <c r="G304">
        <v>10000</v>
      </c>
    </row>
    <row r="305" spans="1:7" x14ac:dyDescent="0.3">
      <c r="A305" s="80">
        <v>45812</v>
      </c>
      <c r="B305">
        <v>1010100</v>
      </c>
      <c r="C305">
        <v>23093</v>
      </c>
      <c r="E305" s="80">
        <v>45801</v>
      </c>
      <c r="F305">
        <v>1010900</v>
      </c>
      <c r="G305">
        <v>4500</v>
      </c>
    </row>
    <row r="306" spans="1:7" x14ac:dyDescent="0.3">
      <c r="A306" s="80">
        <v>45812</v>
      </c>
      <c r="B306">
        <v>1010100</v>
      </c>
      <c r="C306">
        <v>23093</v>
      </c>
      <c r="E306" s="80">
        <v>45801</v>
      </c>
      <c r="F306">
        <v>1010900</v>
      </c>
      <c r="G306">
        <v>500</v>
      </c>
    </row>
    <row r="307" spans="1:7" x14ac:dyDescent="0.3">
      <c r="A307" s="80">
        <v>45812</v>
      </c>
      <c r="B307">
        <v>1010100</v>
      </c>
      <c r="C307">
        <v>23093</v>
      </c>
      <c r="E307" s="80">
        <v>45800</v>
      </c>
      <c r="F307">
        <v>1010900</v>
      </c>
      <c r="G307">
        <v>500</v>
      </c>
    </row>
    <row r="308" spans="1:7" x14ac:dyDescent="0.3">
      <c r="A308" s="80">
        <v>45812</v>
      </c>
      <c r="B308">
        <v>1010100</v>
      </c>
      <c r="C308">
        <v>23093</v>
      </c>
      <c r="E308" s="80">
        <v>45800</v>
      </c>
      <c r="F308">
        <v>1010900</v>
      </c>
      <c r="G308">
        <v>5000</v>
      </c>
    </row>
    <row r="309" spans="1:7" x14ac:dyDescent="0.3">
      <c r="A309" s="80">
        <v>45812</v>
      </c>
      <c r="B309">
        <v>1010100</v>
      </c>
      <c r="C309">
        <v>23093</v>
      </c>
      <c r="E309" s="80">
        <v>45800</v>
      </c>
      <c r="F309">
        <v>1010900</v>
      </c>
      <c r="G309">
        <v>5000</v>
      </c>
    </row>
    <row r="310" spans="1:7" x14ac:dyDescent="0.3">
      <c r="A310" s="80">
        <v>45812</v>
      </c>
      <c r="B310">
        <v>1010100</v>
      </c>
      <c r="C310">
        <v>23093</v>
      </c>
      <c r="E310" s="80">
        <v>45800</v>
      </c>
      <c r="F310">
        <v>1010900</v>
      </c>
      <c r="G310">
        <v>5000</v>
      </c>
    </row>
    <row r="311" spans="1:7" x14ac:dyDescent="0.3">
      <c r="A311" s="80">
        <v>45812</v>
      </c>
      <c r="B311">
        <v>1010100</v>
      </c>
      <c r="C311">
        <v>23093</v>
      </c>
      <c r="E311" s="80">
        <v>45800</v>
      </c>
      <c r="F311">
        <v>1010900</v>
      </c>
      <c r="G311">
        <v>5000</v>
      </c>
    </row>
    <row r="312" spans="1:7" x14ac:dyDescent="0.3">
      <c r="A312" s="80">
        <v>45812</v>
      </c>
      <c r="B312">
        <v>1010100</v>
      </c>
      <c r="C312">
        <v>2245</v>
      </c>
      <c r="E312" s="80">
        <v>45800</v>
      </c>
      <c r="F312">
        <v>1010900</v>
      </c>
      <c r="G312">
        <v>8769</v>
      </c>
    </row>
    <row r="313" spans="1:7" x14ac:dyDescent="0.3">
      <c r="A313" s="80">
        <v>45812</v>
      </c>
      <c r="B313">
        <v>1010100</v>
      </c>
      <c r="C313">
        <v>23093</v>
      </c>
      <c r="E313" s="80">
        <v>45800</v>
      </c>
      <c r="F313">
        <v>1010900</v>
      </c>
      <c r="G313">
        <v>12630</v>
      </c>
    </row>
    <row r="314" spans="1:7" x14ac:dyDescent="0.3">
      <c r="A314" s="80">
        <v>45812</v>
      </c>
      <c r="B314">
        <v>1010100</v>
      </c>
      <c r="C314">
        <v>23093</v>
      </c>
      <c r="E314" s="80">
        <v>45799</v>
      </c>
      <c r="F314">
        <v>1010900</v>
      </c>
      <c r="G314">
        <v>5000</v>
      </c>
    </row>
    <row r="315" spans="1:7" x14ac:dyDescent="0.3">
      <c r="A315" s="80">
        <v>45812</v>
      </c>
      <c r="B315">
        <v>1010100</v>
      </c>
      <c r="C315">
        <v>48990</v>
      </c>
      <c r="E315" s="80">
        <v>45799</v>
      </c>
      <c r="F315">
        <v>1010900</v>
      </c>
      <c r="G315">
        <v>5000</v>
      </c>
    </row>
    <row r="316" spans="1:7" x14ac:dyDescent="0.3">
      <c r="A316" s="80">
        <v>45812</v>
      </c>
      <c r="B316">
        <v>1010100</v>
      </c>
      <c r="C316">
        <v>4490</v>
      </c>
      <c r="E316" s="80">
        <v>45799</v>
      </c>
      <c r="F316">
        <v>1010900</v>
      </c>
      <c r="G316">
        <v>4500</v>
      </c>
    </row>
    <row r="317" spans="1:7" x14ac:dyDescent="0.3">
      <c r="A317" s="80">
        <v>45812</v>
      </c>
      <c r="B317">
        <v>1010100</v>
      </c>
      <c r="C317">
        <v>23093</v>
      </c>
      <c r="E317" s="80">
        <v>45799</v>
      </c>
      <c r="F317">
        <v>1010900</v>
      </c>
      <c r="G317">
        <v>5000</v>
      </c>
    </row>
    <row r="318" spans="1:7" x14ac:dyDescent="0.3">
      <c r="A318" s="80">
        <v>45812</v>
      </c>
      <c r="B318">
        <v>1010100</v>
      </c>
      <c r="C318">
        <v>23093</v>
      </c>
      <c r="E318" s="80">
        <v>45798</v>
      </c>
      <c r="F318">
        <v>1010900</v>
      </c>
      <c r="G318">
        <v>500</v>
      </c>
    </row>
    <row r="319" spans="1:7" x14ac:dyDescent="0.3">
      <c r="A319" s="80">
        <v>45812</v>
      </c>
      <c r="B319">
        <v>1010100</v>
      </c>
      <c r="C319">
        <v>23093</v>
      </c>
      <c r="E319" s="80">
        <v>45798</v>
      </c>
      <c r="F319">
        <v>1010900</v>
      </c>
      <c r="G319">
        <v>9000</v>
      </c>
    </row>
    <row r="320" spans="1:7" x14ac:dyDescent="0.3">
      <c r="A320" s="80">
        <v>45812</v>
      </c>
      <c r="B320">
        <v>1010100</v>
      </c>
      <c r="C320">
        <v>23093</v>
      </c>
      <c r="E320" s="80">
        <v>45798</v>
      </c>
      <c r="F320">
        <v>1010900</v>
      </c>
      <c r="G320">
        <v>5000</v>
      </c>
    </row>
    <row r="321" spans="1:7" x14ac:dyDescent="0.3">
      <c r="A321" s="80">
        <v>45812</v>
      </c>
      <c r="B321">
        <v>1010100</v>
      </c>
      <c r="C321">
        <v>23093</v>
      </c>
      <c r="E321" s="80">
        <v>45798</v>
      </c>
      <c r="F321">
        <v>1010900</v>
      </c>
      <c r="G321">
        <v>12630</v>
      </c>
    </row>
    <row r="322" spans="1:7" x14ac:dyDescent="0.3">
      <c r="A322" s="80">
        <v>45812</v>
      </c>
      <c r="B322">
        <v>1010100</v>
      </c>
      <c r="C322">
        <v>23093</v>
      </c>
      <c r="E322" s="80">
        <v>45798</v>
      </c>
      <c r="F322">
        <v>1010900</v>
      </c>
      <c r="G322">
        <v>12630</v>
      </c>
    </row>
    <row r="323" spans="1:7" x14ac:dyDescent="0.3">
      <c r="A323" s="80">
        <v>45811</v>
      </c>
      <c r="B323">
        <v>1010100</v>
      </c>
      <c r="C323">
        <v>23093</v>
      </c>
      <c r="E323" s="80">
        <v>45798</v>
      </c>
      <c r="F323">
        <v>1010900</v>
      </c>
      <c r="G323">
        <v>5000</v>
      </c>
    </row>
    <row r="324" spans="1:7" x14ac:dyDescent="0.3">
      <c r="A324" s="80">
        <v>45811</v>
      </c>
      <c r="B324">
        <v>1010100</v>
      </c>
      <c r="C324">
        <v>23093</v>
      </c>
      <c r="E324" s="80">
        <v>45798</v>
      </c>
      <c r="F324">
        <v>1010900</v>
      </c>
      <c r="G324">
        <v>5000</v>
      </c>
    </row>
    <row r="325" spans="1:7" x14ac:dyDescent="0.3">
      <c r="A325" s="80">
        <v>45811</v>
      </c>
      <c r="B325">
        <v>1010100</v>
      </c>
      <c r="C325">
        <v>23093</v>
      </c>
      <c r="E325" s="80">
        <v>45797</v>
      </c>
      <c r="F325">
        <v>1010900</v>
      </c>
      <c r="G325">
        <v>5000</v>
      </c>
    </row>
    <row r="326" spans="1:7" x14ac:dyDescent="0.3">
      <c r="A326" s="80">
        <v>45811</v>
      </c>
      <c r="B326">
        <v>1010100</v>
      </c>
      <c r="C326">
        <v>48990</v>
      </c>
      <c r="E326" s="80">
        <v>45797</v>
      </c>
      <c r="F326">
        <v>1010900</v>
      </c>
      <c r="G326">
        <v>5000</v>
      </c>
    </row>
    <row r="327" spans="1:7" x14ac:dyDescent="0.3">
      <c r="A327" s="80">
        <v>45811</v>
      </c>
      <c r="B327">
        <v>1010100</v>
      </c>
      <c r="C327">
        <v>23093</v>
      </c>
      <c r="E327" s="80">
        <v>45797</v>
      </c>
      <c r="F327">
        <v>1010900</v>
      </c>
      <c r="G327">
        <v>5000</v>
      </c>
    </row>
    <row r="328" spans="1:7" x14ac:dyDescent="0.3">
      <c r="A328" s="80">
        <v>45811</v>
      </c>
      <c r="B328">
        <v>1010100</v>
      </c>
      <c r="C328">
        <v>23093</v>
      </c>
      <c r="E328" s="80">
        <v>45797</v>
      </c>
      <c r="F328">
        <v>1010900</v>
      </c>
      <c r="G328">
        <v>4500</v>
      </c>
    </row>
    <row r="329" spans="1:7" x14ac:dyDescent="0.3">
      <c r="A329" s="80">
        <v>45811</v>
      </c>
      <c r="B329">
        <v>1010100</v>
      </c>
      <c r="C329">
        <v>23093</v>
      </c>
      <c r="E329" s="80">
        <v>45797</v>
      </c>
      <c r="F329">
        <v>1010900</v>
      </c>
      <c r="G329">
        <v>5000</v>
      </c>
    </row>
    <row r="330" spans="1:7" x14ac:dyDescent="0.3">
      <c r="A330" s="80">
        <v>45811</v>
      </c>
      <c r="B330">
        <v>1010100</v>
      </c>
      <c r="C330">
        <v>23093</v>
      </c>
      <c r="E330" s="80">
        <v>45797</v>
      </c>
      <c r="F330">
        <v>1010900</v>
      </c>
      <c r="G330">
        <v>5000</v>
      </c>
    </row>
    <row r="331" spans="1:7" x14ac:dyDescent="0.3">
      <c r="A331" s="80">
        <v>45811</v>
      </c>
      <c r="B331">
        <v>1010100</v>
      </c>
      <c r="C331">
        <v>23093</v>
      </c>
      <c r="E331" s="80">
        <v>45796</v>
      </c>
      <c r="F331">
        <v>1010900</v>
      </c>
      <c r="G331">
        <v>5000</v>
      </c>
    </row>
    <row r="332" spans="1:7" x14ac:dyDescent="0.3">
      <c r="A332" s="80">
        <v>45811</v>
      </c>
      <c r="B332">
        <v>1010100</v>
      </c>
      <c r="C332">
        <v>23093</v>
      </c>
      <c r="E332" s="80">
        <v>45796</v>
      </c>
      <c r="F332">
        <v>1010900</v>
      </c>
      <c r="G332">
        <v>5000</v>
      </c>
    </row>
    <row r="333" spans="1:7" x14ac:dyDescent="0.3">
      <c r="A333" s="80">
        <v>45811</v>
      </c>
      <c r="B333">
        <v>1010100</v>
      </c>
      <c r="C333">
        <v>46186</v>
      </c>
      <c r="E333" s="80">
        <v>45796</v>
      </c>
      <c r="F333">
        <v>1010900</v>
      </c>
      <c r="G333">
        <v>5000</v>
      </c>
    </row>
    <row r="334" spans="1:7" x14ac:dyDescent="0.3">
      <c r="A334" s="80">
        <v>45811</v>
      </c>
      <c r="B334">
        <v>1010100</v>
      </c>
      <c r="C334">
        <v>23093</v>
      </c>
      <c r="E334" s="80">
        <v>45795</v>
      </c>
      <c r="F334">
        <v>1010900</v>
      </c>
      <c r="G334">
        <v>5000</v>
      </c>
    </row>
    <row r="335" spans="1:7" x14ac:dyDescent="0.3">
      <c r="A335" s="80">
        <v>45810</v>
      </c>
      <c r="B335">
        <v>1010100</v>
      </c>
      <c r="C335">
        <v>23093</v>
      </c>
      <c r="E335" s="80">
        <v>45795</v>
      </c>
      <c r="F335">
        <v>1010900</v>
      </c>
      <c r="G335">
        <v>5000</v>
      </c>
    </row>
    <row r="336" spans="1:7" x14ac:dyDescent="0.3">
      <c r="A336" s="80">
        <v>45810</v>
      </c>
      <c r="B336">
        <v>1010100</v>
      </c>
      <c r="C336">
        <v>48990</v>
      </c>
      <c r="E336" s="80">
        <v>45795</v>
      </c>
      <c r="F336">
        <v>1010900</v>
      </c>
      <c r="G336">
        <v>12630</v>
      </c>
    </row>
    <row r="337" spans="1:7" x14ac:dyDescent="0.3">
      <c r="A337" s="80">
        <v>45810</v>
      </c>
      <c r="B337">
        <v>1010100</v>
      </c>
      <c r="C337">
        <v>23093</v>
      </c>
      <c r="E337" s="80">
        <v>45795</v>
      </c>
      <c r="F337">
        <v>1010900</v>
      </c>
      <c r="G337">
        <v>5000</v>
      </c>
    </row>
    <row r="338" spans="1:7" x14ac:dyDescent="0.3">
      <c r="A338" s="80">
        <v>45810</v>
      </c>
      <c r="B338">
        <v>1010100</v>
      </c>
      <c r="C338">
        <v>23093</v>
      </c>
      <c r="E338" s="80">
        <v>45794</v>
      </c>
      <c r="F338">
        <v>1010900</v>
      </c>
      <c r="G338">
        <v>5000</v>
      </c>
    </row>
    <row r="339" spans="1:7" x14ac:dyDescent="0.3">
      <c r="A339" s="80">
        <v>45810</v>
      </c>
      <c r="B339">
        <v>1010100</v>
      </c>
      <c r="C339">
        <v>23093</v>
      </c>
      <c r="E339" s="80">
        <v>45794</v>
      </c>
      <c r="F339">
        <v>1010900</v>
      </c>
      <c r="G339">
        <v>5000</v>
      </c>
    </row>
    <row r="340" spans="1:7" x14ac:dyDescent="0.3">
      <c r="A340" s="80">
        <v>45810</v>
      </c>
      <c r="B340">
        <v>1010100</v>
      </c>
      <c r="C340">
        <v>23093</v>
      </c>
      <c r="E340" s="80">
        <v>45794</v>
      </c>
      <c r="F340">
        <v>1010900</v>
      </c>
      <c r="G340">
        <v>5000</v>
      </c>
    </row>
    <row r="341" spans="1:7" x14ac:dyDescent="0.3">
      <c r="A341" s="80">
        <v>45810</v>
      </c>
      <c r="B341">
        <v>1010100</v>
      </c>
      <c r="C341">
        <v>4995</v>
      </c>
      <c r="E341" s="80">
        <v>45793</v>
      </c>
      <c r="F341">
        <v>1010900</v>
      </c>
      <c r="G341">
        <v>5000</v>
      </c>
    </row>
    <row r="342" spans="1:7" x14ac:dyDescent="0.3">
      <c r="A342" s="80">
        <v>45810</v>
      </c>
      <c r="B342">
        <v>1010100</v>
      </c>
      <c r="C342">
        <v>23093</v>
      </c>
      <c r="E342" s="80">
        <v>45792</v>
      </c>
      <c r="F342">
        <v>1010900</v>
      </c>
      <c r="G342">
        <v>5000</v>
      </c>
    </row>
    <row r="343" spans="1:7" x14ac:dyDescent="0.3">
      <c r="A343" s="80">
        <v>45810</v>
      </c>
      <c r="B343">
        <v>1010100</v>
      </c>
      <c r="C343">
        <v>23093</v>
      </c>
      <c r="E343" s="80">
        <v>45792</v>
      </c>
      <c r="F343">
        <v>1010900</v>
      </c>
      <c r="G343">
        <v>5000</v>
      </c>
    </row>
    <row r="344" spans="1:7" x14ac:dyDescent="0.3">
      <c r="A344" s="80">
        <v>45810</v>
      </c>
      <c r="B344">
        <v>1010100</v>
      </c>
      <c r="C344">
        <v>23093</v>
      </c>
      <c r="E344" s="80">
        <v>45792</v>
      </c>
      <c r="F344">
        <v>1010900</v>
      </c>
      <c r="G344">
        <v>500</v>
      </c>
    </row>
    <row r="345" spans="1:7" x14ac:dyDescent="0.3">
      <c r="A345" s="80">
        <v>45809</v>
      </c>
      <c r="B345">
        <v>1010100</v>
      </c>
      <c r="C345">
        <v>23093</v>
      </c>
      <c r="E345" s="80">
        <v>45792</v>
      </c>
      <c r="F345">
        <v>1010900</v>
      </c>
      <c r="G345">
        <v>5000</v>
      </c>
    </row>
    <row r="346" spans="1:7" x14ac:dyDescent="0.3">
      <c r="A346" s="80">
        <v>45809</v>
      </c>
      <c r="B346">
        <v>1010100</v>
      </c>
      <c r="C346">
        <v>23093</v>
      </c>
      <c r="E346" s="80">
        <v>45791</v>
      </c>
      <c r="F346">
        <v>1010900</v>
      </c>
      <c r="G346">
        <v>5000</v>
      </c>
    </row>
    <row r="347" spans="1:7" x14ac:dyDescent="0.3">
      <c r="A347" s="80">
        <v>45809</v>
      </c>
      <c r="B347">
        <v>1010100</v>
      </c>
      <c r="C347">
        <v>23093</v>
      </c>
      <c r="E347" s="80">
        <v>45791</v>
      </c>
      <c r="F347">
        <v>1010900</v>
      </c>
      <c r="G347">
        <v>5000</v>
      </c>
    </row>
    <row r="348" spans="1:7" x14ac:dyDescent="0.3">
      <c r="A348" s="80">
        <v>45809</v>
      </c>
      <c r="B348">
        <v>1010100</v>
      </c>
      <c r="C348">
        <v>46186</v>
      </c>
      <c r="E348" s="80">
        <v>45791</v>
      </c>
      <c r="F348">
        <v>1010900</v>
      </c>
      <c r="G348">
        <v>5000</v>
      </c>
    </row>
    <row r="349" spans="1:7" x14ac:dyDescent="0.3">
      <c r="A349" s="80">
        <v>45809</v>
      </c>
      <c r="B349">
        <v>1010100</v>
      </c>
      <c r="C349">
        <v>23093</v>
      </c>
      <c r="E349" s="80">
        <v>45791</v>
      </c>
      <c r="F349">
        <v>1010900</v>
      </c>
      <c r="G349">
        <v>5000</v>
      </c>
    </row>
    <row r="350" spans="1:7" x14ac:dyDescent="0.3">
      <c r="A350" s="80">
        <v>45809</v>
      </c>
      <c r="B350">
        <v>1010100</v>
      </c>
      <c r="C350">
        <v>23093</v>
      </c>
      <c r="E350" s="80">
        <v>45790</v>
      </c>
      <c r="F350">
        <v>1010900</v>
      </c>
      <c r="G350">
        <v>5000</v>
      </c>
    </row>
    <row r="351" spans="1:7" x14ac:dyDescent="0.3">
      <c r="A351" s="80">
        <v>45809</v>
      </c>
      <c r="B351">
        <v>1010100</v>
      </c>
      <c r="C351">
        <v>23093</v>
      </c>
      <c r="E351" s="80">
        <v>45789</v>
      </c>
      <c r="F351">
        <v>1010900</v>
      </c>
      <c r="G351">
        <v>5000</v>
      </c>
    </row>
    <row r="352" spans="1:7" x14ac:dyDescent="0.3">
      <c r="A352" s="80">
        <v>45809</v>
      </c>
      <c r="B352">
        <v>1010100</v>
      </c>
      <c r="C352">
        <v>29990</v>
      </c>
      <c r="E352" s="80">
        <v>45789</v>
      </c>
      <c r="F352">
        <v>1010900</v>
      </c>
      <c r="G352">
        <v>5000</v>
      </c>
    </row>
    <row r="353" spans="1:7" x14ac:dyDescent="0.3">
      <c r="A353" s="80">
        <v>45809</v>
      </c>
      <c r="B353">
        <v>1010100</v>
      </c>
      <c r="C353">
        <v>29990</v>
      </c>
      <c r="E353" s="80">
        <v>45789</v>
      </c>
      <c r="F353">
        <v>1010900</v>
      </c>
      <c r="G353">
        <v>5000</v>
      </c>
    </row>
    <row r="354" spans="1:7" x14ac:dyDescent="0.3">
      <c r="A354" s="80">
        <v>45809</v>
      </c>
      <c r="B354">
        <v>1010100</v>
      </c>
      <c r="C354">
        <v>29990</v>
      </c>
      <c r="E354" s="80">
        <v>45788</v>
      </c>
      <c r="F354">
        <v>1010900</v>
      </c>
      <c r="G354">
        <v>5000</v>
      </c>
    </row>
    <row r="355" spans="1:7" x14ac:dyDescent="0.3">
      <c r="A355" s="80">
        <v>45809</v>
      </c>
      <c r="B355">
        <v>1010100</v>
      </c>
      <c r="C355">
        <v>24990</v>
      </c>
      <c r="E355" s="80">
        <v>45788</v>
      </c>
      <c r="F355">
        <v>1010900</v>
      </c>
      <c r="G355">
        <v>5000</v>
      </c>
    </row>
    <row r="356" spans="1:7" x14ac:dyDescent="0.3">
      <c r="A356" s="80">
        <v>45809</v>
      </c>
      <c r="B356">
        <v>1010100</v>
      </c>
      <c r="C356">
        <v>24990</v>
      </c>
      <c r="E356" s="80">
        <v>45788</v>
      </c>
      <c r="F356">
        <v>1010900</v>
      </c>
      <c r="G356">
        <v>5000</v>
      </c>
    </row>
    <row r="357" spans="1:7" x14ac:dyDescent="0.3">
      <c r="A357" s="80">
        <v>45809</v>
      </c>
      <c r="B357">
        <v>1010100</v>
      </c>
      <c r="C357">
        <v>24990</v>
      </c>
      <c r="E357" s="80">
        <v>45788</v>
      </c>
      <c r="F357">
        <v>1010900</v>
      </c>
      <c r="G357">
        <v>9000</v>
      </c>
    </row>
    <row r="358" spans="1:7" x14ac:dyDescent="0.3">
      <c r="A358" s="80">
        <v>45808</v>
      </c>
      <c r="B358">
        <v>1010100</v>
      </c>
      <c r="C358">
        <v>24990</v>
      </c>
      <c r="E358" s="80">
        <v>45788</v>
      </c>
      <c r="F358">
        <v>1010900</v>
      </c>
      <c r="G358">
        <v>5000</v>
      </c>
    </row>
    <row r="359" spans="1:7" x14ac:dyDescent="0.3">
      <c r="A359" s="80">
        <v>45808</v>
      </c>
      <c r="B359">
        <v>1010100</v>
      </c>
      <c r="C359">
        <v>29990</v>
      </c>
      <c r="E359" s="80">
        <v>45788</v>
      </c>
      <c r="F359">
        <v>1010900</v>
      </c>
      <c r="G359">
        <v>5000</v>
      </c>
    </row>
    <row r="360" spans="1:7" x14ac:dyDescent="0.3">
      <c r="A360" s="80">
        <v>45808</v>
      </c>
      <c r="B360">
        <v>1010100</v>
      </c>
      <c r="C360">
        <v>48990</v>
      </c>
      <c r="E360" s="80">
        <v>45787</v>
      </c>
      <c r="F360">
        <v>1010900</v>
      </c>
      <c r="G360">
        <v>12630</v>
      </c>
    </row>
    <row r="361" spans="1:7" x14ac:dyDescent="0.3">
      <c r="A361" s="80">
        <v>45808</v>
      </c>
      <c r="B361">
        <v>1010100</v>
      </c>
      <c r="C361">
        <v>48990</v>
      </c>
      <c r="E361" s="80">
        <v>45787</v>
      </c>
      <c r="F361">
        <v>1010900</v>
      </c>
      <c r="G361">
        <v>4500</v>
      </c>
    </row>
    <row r="362" spans="1:7" x14ac:dyDescent="0.3">
      <c r="A362" s="80">
        <v>45807</v>
      </c>
      <c r="B362">
        <v>1010100</v>
      </c>
      <c r="C362">
        <v>24990</v>
      </c>
      <c r="E362" s="80">
        <v>45787</v>
      </c>
      <c r="F362">
        <v>1010900</v>
      </c>
      <c r="G362">
        <v>5000</v>
      </c>
    </row>
    <row r="363" spans="1:7" x14ac:dyDescent="0.3">
      <c r="A363" s="80">
        <v>45807</v>
      </c>
      <c r="B363">
        <v>1010100</v>
      </c>
      <c r="C363">
        <v>24990</v>
      </c>
      <c r="E363" s="80">
        <v>45787</v>
      </c>
      <c r="F363">
        <v>1010900</v>
      </c>
      <c r="G363">
        <v>5000</v>
      </c>
    </row>
    <row r="364" spans="1:7" x14ac:dyDescent="0.3">
      <c r="A364" s="80">
        <v>45806</v>
      </c>
      <c r="B364">
        <v>1010100</v>
      </c>
      <c r="C364">
        <v>29990</v>
      </c>
      <c r="E364" s="80">
        <v>45786</v>
      </c>
      <c r="F364">
        <v>1010900</v>
      </c>
      <c r="G364">
        <v>5000</v>
      </c>
    </row>
    <row r="365" spans="1:7" x14ac:dyDescent="0.3">
      <c r="A365" s="80">
        <v>45806</v>
      </c>
      <c r="B365">
        <v>1010100</v>
      </c>
      <c r="C365">
        <v>24990</v>
      </c>
      <c r="E365" s="80">
        <v>45786</v>
      </c>
      <c r="F365">
        <v>1010900</v>
      </c>
      <c r="G365">
        <v>4500</v>
      </c>
    </row>
    <row r="366" spans="1:7" x14ac:dyDescent="0.3">
      <c r="A366" s="80">
        <v>45805</v>
      </c>
      <c r="B366">
        <v>1010100</v>
      </c>
      <c r="C366">
        <v>24990</v>
      </c>
      <c r="E366" s="80">
        <v>45786</v>
      </c>
      <c r="F366">
        <v>1010900</v>
      </c>
      <c r="G366">
        <v>500</v>
      </c>
    </row>
    <row r="367" spans="1:7" x14ac:dyDescent="0.3">
      <c r="A367" s="80">
        <v>45805</v>
      </c>
      <c r="B367">
        <v>1010100</v>
      </c>
      <c r="C367">
        <v>48990</v>
      </c>
      <c r="E367" s="80">
        <v>45786</v>
      </c>
      <c r="F367">
        <v>1010900</v>
      </c>
      <c r="G367">
        <v>5000</v>
      </c>
    </row>
    <row r="368" spans="1:7" x14ac:dyDescent="0.3">
      <c r="A368" s="80">
        <v>45805</v>
      </c>
      <c r="B368">
        <v>1010100</v>
      </c>
      <c r="C368">
        <v>9990</v>
      </c>
      <c r="E368" s="80">
        <v>45786</v>
      </c>
      <c r="F368">
        <v>1010900</v>
      </c>
      <c r="G368">
        <v>5000</v>
      </c>
    </row>
    <row r="369" spans="1:7" x14ac:dyDescent="0.3">
      <c r="A369" s="80">
        <v>45805</v>
      </c>
      <c r="B369">
        <v>1010100</v>
      </c>
      <c r="C369">
        <v>24990</v>
      </c>
      <c r="E369" s="80">
        <v>45786</v>
      </c>
      <c r="F369">
        <v>1010900</v>
      </c>
      <c r="G369">
        <v>5000</v>
      </c>
    </row>
    <row r="370" spans="1:7" x14ac:dyDescent="0.3">
      <c r="A370" s="80">
        <v>45804</v>
      </c>
      <c r="B370">
        <v>1010100</v>
      </c>
      <c r="C370">
        <v>29990</v>
      </c>
      <c r="E370" s="80">
        <v>45786</v>
      </c>
      <c r="F370">
        <v>1010900</v>
      </c>
      <c r="G370">
        <v>5000</v>
      </c>
    </row>
    <row r="371" spans="1:7" x14ac:dyDescent="0.3">
      <c r="A371" s="80">
        <v>45804</v>
      </c>
      <c r="B371">
        <v>1010100</v>
      </c>
      <c r="C371">
        <v>29990</v>
      </c>
      <c r="E371" s="80">
        <v>45785</v>
      </c>
      <c r="F371">
        <v>1010900</v>
      </c>
      <c r="G371">
        <v>5000</v>
      </c>
    </row>
    <row r="372" spans="1:7" x14ac:dyDescent="0.3">
      <c r="A372" s="80">
        <v>45804</v>
      </c>
      <c r="B372">
        <v>1010100</v>
      </c>
      <c r="C372">
        <v>24990</v>
      </c>
      <c r="E372" s="80">
        <v>45785</v>
      </c>
      <c r="F372">
        <v>1010900</v>
      </c>
      <c r="G372">
        <v>5000</v>
      </c>
    </row>
    <row r="373" spans="1:7" x14ac:dyDescent="0.3">
      <c r="A373" s="80">
        <v>45804</v>
      </c>
      <c r="B373">
        <v>1010100</v>
      </c>
      <c r="C373">
        <v>10</v>
      </c>
      <c r="E373" s="80">
        <v>45785</v>
      </c>
      <c r="F373">
        <v>1010900</v>
      </c>
      <c r="G373">
        <v>5000</v>
      </c>
    </row>
    <row r="374" spans="1:7" x14ac:dyDescent="0.3">
      <c r="A374" s="80">
        <v>45804</v>
      </c>
      <c r="B374">
        <v>1010100</v>
      </c>
      <c r="C374">
        <v>10</v>
      </c>
      <c r="E374" s="80">
        <v>45785</v>
      </c>
      <c r="F374">
        <v>1010900</v>
      </c>
      <c r="G374">
        <v>5000</v>
      </c>
    </row>
    <row r="375" spans="1:7" x14ac:dyDescent="0.3">
      <c r="A375" s="80">
        <v>45804</v>
      </c>
      <c r="B375">
        <v>1010100</v>
      </c>
      <c r="C375">
        <v>10</v>
      </c>
      <c r="E375" s="80">
        <v>45785</v>
      </c>
      <c r="F375">
        <v>1010900</v>
      </c>
      <c r="G375">
        <v>10000</v>
      </c>
    </row>
    <row r="376" spans="1:7" x14ac:dyDescent="0.3">
      <c r="A376" s="80">
        <v>45804</v>
      </c>
      <c r="B376">
        <v>1010100</v>
      </c>
      <c r="C376">
        <v>10</v>
      </c>
      <c r="E376" s="80">
        <v>45785</v>
      </c>
      <c r="F376">
        <v>1010900</v>
      </c>
      <c r="G376">
        <v>4500</v>
      </c>
    </row>
    <row r="377" spans="1:7" x14ac:dyDescent="0.3">
      <c r="A377" s="80">
        <v>45804</v>
      </c>
      <c r="B377">
        <v>1010100</v>
      </c>
      <c r="C377">
        <v>10</v>
      </c>
      <c r="E377" s="80">
        <v>45784</v>
      </c>
      <c r="F377">
        <v>1010900</v>
      </c>
      <c r="G377">
        <v>5000</v>
      </c>
    </row>
    <row r="378" spans="1:7" x14ac:dyDescent="0.3">
      <c r="A378" s="80">
        <v>45804</v>
      </c>
      <c r="B378">
        <v>1010100</v>
      </c>
      <c r="C378">
        <v>10</v>
      </c>
      <c r="E378" s="80">
        <v>45784</v>
      </c>
      <c r="F378">
        <v>1010900</v>
      </c>
      <c r="G378">
        <v>5000</v>
      </c>
    </row>
    <row r="379" spans="1:7" x14ac:dyDescent="0.3">
      <c r="A379" s="80">
        <v>45804</v>
      </c>
      <c r="B379">
        <v>1010100</v>
      </c>
      <c r="C379">
        <v>24990</v>
      </c>
      <c r="E379" s="80">
        <v>45784</v>
      </c>
      <c r="F379">
        <v>1010900</v>
      </c>
      <c r="G379">
        <v>5000</v>
      </c>
    </row>
    <row r="380" spans="1:7" x14ac:dyDescent="0.3">
      <c r="A380" s="80">
        <v>45803</v>
      </c>
      <c r="B380">
        <v>1010100</v>
      </c>
      <c r="C380">
        <v>10</v>
      </c>
      <c r="E380" s="80">
        <v>45783</v>
      </c>
      <c r="F380">
        <v>1010900</v>
      </c>
      <c r="G380">
        <v>5000</v>
      </c>
    </row>
    <row r="381" spans="1:7" x14ac:dyDescent="0.3">
      <c r="A381" s="80">
        <v>45803</v>
      </c>
      <c r="B381">
        <v>1010100</v>
      </c>
      <c r="C381">
        <v>50</v>
      </c>
      <c r="E381" s="80">
        <v>45783</v>
      </c>
      <c r="F381">
        <v>1010900</v>
      </c>
      <c r="G381">
        <v>4500</v>
      </c>
    </row>
    <row r="382" spans="1:7" x14ac:dyDescent="0.3">
      <c r="A382" s="80">
        <v>45803</v>
      </c>
      <c r="B382">
        <v>1010100</v>
      </c>
      <c r="C382">
        <v>30</v>
      </c>
      <c r="E382" s="80">
        <v>45783</v>
      </c>
      <c r="F382">
        <v>1010900</v>
      </c>
      <c r="G382">
        <v>5000</v>
      </c>
    </row>
    <row r="383" spans="1:7" x14ac:dyDescent="0.3">
      <c r="A383" s="80">
        <v>45803</v>
      </c>
      <c r="B383">
        <v>1010100</v>
      </c>
      <c r="C383">
        <v>24990</v>
      </c>
      <c r="E383" s="80">
        <v>45783</v>
      </c>
      <c r="F383">
        <v>1010900</v>
      </c>
      <c r="G383">
        <v>5000</v>
      </c>
    </row>
    <row r="384" spans="1:7" x14ac:dyDescent="0.3">
      <c r="A384" s="80">
        <v>45803</v>
      </c>
      <c r="B384">
        <v>1010100</v>
      </c>
      <c r="C384">
        <v>24990</v>
      </c>
      <c r="E384" s="80">
        <v>45783</v>
      </c>
      <c r="F384">
        <v>1010900</v>
      </c>
      <c r="G384">
        <v>8769</v>
      </c>
    </row>
    <row r="385" spans="1:7" x14ac:dyDescent="0.3">
      <c r="A385" s="80">
        <v>45803</v>
      </c>
      <c r="B385">
        <v>1010100</v>
      </c>
      <c r="C385">
        <v>29990</v>
      </c>
      <c r="E385" s="80">
        <v>45782</v>
      </c>
      <c r="F385">
        <v>1010900</v>
      </c>
      <c r="G385">
        <v>5000</v>
      </c>
    </row>
    <row r="386" spans="1:7" x14ac:dyDescent="0.3">
      <c r="A386" s="80">
        <v>45803</v>
      </c>
      <c r="B386">
        <v>1010100</v>
      </c>
      <c r="C386">
        <v>24990</v>
      </c>
      <c r="E386" s="80">
        <v>45782</v>
      </c>
      <c r="F386">
        <v>1010900</v>
      </c>
      <c r="G386">
        <v>5000</v>
      </c>
    </row>
    <row r="387" spans="1:7" x14ac:dyDescent="0.3">
      <c r="A387" s="80">
        <v>45802</v>
      </c>
      <c r="B387">
        <v>1010100</v>
      </c>
      <c r="C387">
        <v>29990</v>
      </c>
      <c r="E387" s="80">
        <v>45782</v>
      </c>
      <c r="F387">
        <v>1010900</v>
      </c>
      <c r="G387">
        <v>5000</v>
      </c>
    </row>
    <row r="388" spans="1:7" x14ac:dyDescent="0.3">
      <c r="A388" s="80">
        <v>45802</v>
      </c>
      <c r="B388">
        <v>1010100</v>
      </c>
      <c r="C388">
        <v>24990</v>
      </c>
      <c r="E388" s="80">
        <v>45782</v>
      </c>
      <c r="F388">
        <v>1010900</v>
      </c>
      <c r="G388">
        <v>12630</v>
      </c>
    </row>
    <row r="389" spans="1:7" x14ac:dyDescent="0.3">
      <c r="A389" s="80">
        <v>45801</v>
      </c>
      <c r="B389">
        <v>1010100</v>
      </c>
      <c r="C389">
        <v>24990</v>
      </c>
      <c r="E389" s="80">
        <v>45782</v>
      </c>
      <c r="F389">
        <v>1010900</v>
      </c>
      <c r="G389">
        <v>5000</v>
      </c>
    </row>
    <row r="390" spans="1:7" x14ac:dyDescent="0.3">
      <c r="A390" s="80">
        <v>45801</v>
      </c>
      <c r="B390">
        <v>1010100</v>
      </c>
      <c r="C390">
        <v>24990</v>
      </c>
      <c r="E390" s="80">
        <v>45782</v>
      </c>
      <c r="F390">
        <v>1010900</v>
      </c>
      <c r="G390">
        <v>4500</v>
      </c>
    </row>
    <row r="391" spans="1:7" x14ac:dyDescent="0.3">
      <c r="A391" s="80">
        <v>45801</v>
      </c>
      <c r="B391">
        <v>1010100</v>
      </c>
      <c r="C391">
        <v>29990</v>
      </c>
      <c r="E391" s="80">
        <v>45782</v>
      </c>
      <c r="F391">
        <v>1010900</v>
      </c>
      <c r="G391">
        <v>500</v>
      </c>
    </row>
    <row r="392" spans="1:7" x14ac:dyDescent="0.3">
      <c r="A392" s="80">
        <v>45801</v>
      </c>
      <c r="B392">
        <v>1010100</v>
      </c>
      <c r="C392">
        <v>29990</v>
      </c>
      <c r="E392" s="80">
        <v>45782</v>
      </c>
      <c r="F392">
        <v>1010900</v>
      </c>
      <c r="G392">
        <v>3000</v>
      </c>
    </row>
    <row r="393" spans="1:7" x14ac:dyDescent="0.3">
      <c r="A393" s="80">
        <v>45801</v>
      </c>
      <c r="B393">
        <v>1010100</v>
      </c>
      <c r="C393">
        <v>48990</v>
      </c>
      <c r="E393" s="80">
        <v>45782</v>
      </c>
      <c r="F393">
        <v>1010900</v>
      </c>
      <c r="G393">
        <v>10000</v>
      </c>
    </row>
    <row r="394" spans="1:7" x14ac:dyDescent="0.3">
      <c r="A394" s="80">
        <v>45801</v>
      </c>
      <c r="B394">
        <v>1010100</v>
      </c>
      <c r="C394">
        <v>29990</v>
      </c>
      <c r="E394" s="80">
        <v>45782</v>
      </c>
      <c r="F394">
        <v>1010900</v>
      </c>
      <c r="G394">
        <v>5000</v>
      </c>
    </row>
    <row r="395" spans="1:7" x14ac:dyDescent="0.3">
      <c r="A395" s="80">
        <v>45801</v>
      </c>
      <c r="B395">
        <v>1010100</v>
      </c>
      <c r="C395">
        <v>24990</v>
      </c>
      <c r="E395" s="80">
        <v>45782</v>
      </c>
      <c r="F395">
        <v>1010900</v>
      </c>
      <c r="G395">
        <v>5000</v>
      </c>
    </row>
    <row r="396" spans="1:7" x14ac:dyDescent="0.3">
      <c r="A396" s="80">
        <v>45801</v>
      </c>
      <c r="B396">
        <v>1010100</v>
      </c>
      <c r="C396">
        <v>49980</v>
      </c>
      <c r="E396" s="80">
        <v>45782</v>
      </c>
      <c r="F396">
        <v>1010900</v>
      </c>
      <c r="G396">
        <v>5000</v>
      </c>
    </row>
    <row r="397" spans="1:7" x14ac:dyDescent="0.3">
      <c r="A397" s="80">
        <v>45801</v>
      </c>
      <c r="B397">
        <v>1010100</v>
      </c>
      <c r="C397">
        <v>24990</v>
      </c>
      <c r="E397" s="80">
        <v>45782</v>
      </c>
      <c r="F397">
        <v>1010900</v>
      </c>
      <c r="G397">
        <v>5000</v>
      </c>
    </row>
    <row r="398" spans="1:7" x14ac:dyDescent="0.3">
      <c r="A398" s="80">
        <v>45801</v>
      </c>
      <c r="B398">
        <v>1010100</v>
      </c>
      <c r="C398">
        <v>9990</v>
      </c>
      <c r="E398" s="80">
        <v>45781</v>
      </c>
      <c r="F398">
        <v>1010900</v>
      </c>
      <c r="G398">
        <v>5000</v>
      </c>
    </row>
    <row r="399" spans="1:7" x14ac:dyDescent="0.3">
      <c r="A399" s="80">
        <v>45800</v>
      </c>
      <c r="B399">
        <v>1010100</v>
      </c>
      <c r="C399">
        <v>9990</v>
      </c>
      <c r="E399" s="80">
        <v>45781</v>
      </c>
      <c r="F399">
        <v>1010900</v>
      </c>
      <c r="G399">
        <v>5000</v>
      </c>
    </row>
    <row r="400" spans="1:7" x14ac:dyDescent="0.3">
      <c r="A400" s="80">
        <v>45800</v>
      </c>
      <c r="B400">
        <v>1010100</v>
      </c>
      <c r="C400">
        <v>24990</v>
      </c>
      <c r="E400" s="80">
        <v>45781</v>
      </c>
      <c r="F400">
        <v>1010900</v>
      </c>
      <c r="G400">
        <v>4500</v>
      </c>
    </row>
    <row r="401" spans="1:7" x14ac:dyDescent="0.3">
      <c r="A401" s="80">
        <v>45800</v>
      </c>
      <c r="B401">
        <v>1010100</v>
      </c>
      <c r="C401">
        <v>29990</v>
      </c>
      <c r="E401" s="80">
        <v>45781</v>
      </c>
      <c r="F401">
        <v>1010900</v>
      </c>
      <c r="G401">
        <v>5000</v>
      </c>
    </row>
    <row r="402" spans="1:7" x14ac:dyDescent="0.3">
      <c r="A402" s="80">
        <v>45800</v>
      </c>
      <c r="B402">
        <v>1010100</v>
      </c>
      <c r="C402">
        <v>24990</v>
      </c>
      <c r="E402" s="80">
        <v>45781</v>
      </c>
      <c r="F402">
        <v>1010900</v>
      </c>
      <c r="G402">
        <v>4500</v>
      </c>
    </row>
    <row r="403" spans="1:7" x14ac:dyDescent="0.3">
      <c r="A403" s="80">
        <v>45800</v>
      </c>
      <c r="B403">
        <v>1010100</v>
      </c>
      <c r="C403">
        <v>29990</v>
      </c>
      <c r="E403" s="80">
        <v>45780</v>
      </c>
      <c r="F403">
        <v>1010900</v>
      </c>
      <c r="G403">
        <v>5000</v>
      </c>
    </row>
    <row r="404" spans="1:7" x14ac:dyDescent="0.3">
      <c r="A404" s="80">
        <v>45800</v>
      </c>
      <c r="B404">
        <v>1010100</v>
      </c>
      <c r="C404">
        <v>24990</v>
      </c>
      <c r="E404" s="80">
        <v>45780</v>
      </c>
      <c r="F404">
        <v>1010900</v>
      </c>
      <c r="G404">
        <v>5000</v>
      </c>
    </row>
    <row r="405" spans="1:7" x14ac:dyDescent="0.3">
      <c r="A405" s="80">
        <v>45800</v>
      </c>
      <c r="B405">
        <v>1010100</v>
      </c>
      <c r="C405">
        <v>48990</v>
      </c>
      <c r="E405" s="80">
        <v>45780</v>
      </c>
      <c r="F405">
        <v>1010900</v>
      </c>
      <c r="G405">
        <v>5000</v>
      </c>
    </row>
    <row r="406" spans="1:7" x14ac:dyDescent="0.3">
      <c r="A406" s="80">
        <v>45799</v>
      </c>
      <c r="B406">
        <v>1010100</v>
      </c>
      <c r="C406">
        <v>24990</v>
      </c>
      <c r="E406" s="80">
        <v>45780</v>
      </c>
      <c r="F406">
        <v>1010900</v>
      </c>
      <c r="G406">
        <v>5000</v>
      </c>
    </row>
    <row r="407" spans="1:7" x14ac:dyDescent="0.3">
      <c r="A407" s="80">
        <v>45799</v>
      </c>
      <c r="B407">
        <v>1010100</v>
      </c>
      <c r="C407">
        <v>24990</v>
      </c>
      <c r="E407" s="80">
        <v>45779</v>
      </c>
      <c r="F407">
        <v>1010900</v>
      </c>
      <c r="G407">
        <v>5000</v>
      </c>
    </row>
    <row r="408" spans="1:7" x14ac:dyDescent="0.3">
      <c r="A408" s="80">
        <v>45799</v>
      </c>
      <c r="B408">
        <v>1010100</v>
      </c>
      <c r="C408">
        <v>24990</v>
      </c>
      <c r="E408" s="80">
        <v>45779</v>
      </c>
      <c r="F408">
        <v>1010900</v>
      </c>
      <c r="G408">
        <v>5000</v>
      </c>
    </row>
    <row r="409" spans="1:7" x14ac:dyDescent="0.3">
      <c r="A409" s="80">
        <v>45799</v>
      </c>
      <c r="B409">
        <v>1010100</v>
      </c>
      <c r="C409">
        <v>24990</v>
      </c>
      <c r="E409" s="80">
        <v>45779</v>
      </c>
      <c r="F409">
        <v>1010900</v>
      </c>
      <c r="G409">
        <v>4500</v>
      </c>
    </row>
    <row r="410" spans="1:7" x14ac:dyDescent="0.3">
      <c r="A410" s="80">
        <v>45798</v>
      </c>
      <c r="B410">
        <v>1010100</v>
      </c>
      <c r="C410">
        <v>4995</v>
      </c>
      <c r="E410" s="80">
        <v>45779</v>
      </c>
      <c r="F410">
        <v>1010900</v>
      </c>
      <c r="G410">
        <v>5000</v>
      </c>
    </row>
    <row r="411" spans="1:7" x14ac:dyDescent="0.3">
      <c r="A411" s="80">
        <v>45798</v>
      </c>
      <c r="B411">
        <v>1010100</v>
      </c>
      <c r="C411">
        <v>49980</v>
      </c>
      <c r="E411" s="80">
        <v>45778</v>
      </c>
      <c r="F411">
        <v>1010900</v>
      </c>
      <c r="G411">
        <v>5000</v>
      </c>
    </row>
    <row r="412" spans="1:7" x14ac:dyDescent="0.3">
      <c r="A412" s="80">
        <v>45798</v>
      </c>
      <c r="B412">
        <v>1010100</v>
      </c>
      <c r="C412">
        <v>24990</v>
      </c>
      <c r="E412" s="80">
        <v>45778</v>
      </c>
      <c r="F412">
        <v>1010900</v>
      </c>
      <c r="G412">
        <v>5000</v>
      </c>
    </row>
    <row r="413" spans="1:7" x14ac:dyDescent="0.3">
      <c r="A413" s="80">
        <v>45798</v>
      </c>
      <c r="B413">
        <v>1010100</v>
      </c>
      <c r="C413">
        <v>48990</v>
      </c>
      <c r="E413" s="80">
        <v>45777</v>
      </c>
      <c r="F413">
        <v>1010900</v>
      </c>
      <c r="G413">
        <v>4500</v>
      </c>
    </row>
    <row r="414" spans="1:7" x14ac:dyDescent="0.3">
      <c r="A414" s="80">
        <v>45798</v>
      </c>
      <c r="B414">
        <v>1010100</v>
      </c>
      <c r="C414">
        <v>48990</v>
      </c>
      <c r="E414" s="80">
        <v>45777</v>
      </c>
      <c r="F414">
        <v>1010900</v>
      </c>
      <c r="G414">
        <v>4500</v>
      </c>
    </row>
    <row r="415" spans="1:7" x14ac:dyDescent="0.3">
      <c r="A415" s="80">
        <v>45798</v>
      </c>
      <c r="B415">
        <v>1010100</v>
      </c>
      <c r="C415">
        <v>24990</v>
      </c>
      <c r="E415" s="80">
        <v>45777</v>
      </c>
      <c r="F415">
        <v>1010900</v>
      </c>
      <c r="G415">
        <v>5000</v>
      </c>
    </row>
    <row r="416" spans="1:7" x14ac:dyDescent="0.3">
      <c r="A416" s="80">
        <v>45798</v>
      </c>
      <c r="B416">
        <v>1010100</v>
      </c>
      <c r="C416">
        <v>24990</v>
      </c>
      <c r="E416" s="80">
        <v>45777</v>
      </c>
      <c r="F416">
        <v>1010900</v>
      </c>
      <c r="G416">
        <v>5000</v>
      </c>
    </row>
    <row r="417" spans="1:7" x14ac:dyDescent="0.3">
      <c r="A417" s="80">
        <v>45797</v>
      </c>
      <c r="B417">
        <v>1010100</v>
      </c>
      <c r="C417">
        <v>24990</v>
      </c>
      <c r="E417" s="80">
        <v>45777</v>
      </c>
      <c r="F417">
        <v>1010900</v>
      </c>
      <c r="G417">
        <v>5000</v>
      </c>
    </row>
    <row r="418" spans="1:7" x14ac:dyDescent="0.3">
      <c r="A418" s="80">
        <v>45797</v>
      </c>
      <c r="B418">
        <v>1010100</v>
      </c>
      <c r="C418">
        <v>29990</v>
      </c>
      <c r="E418" s="80">
        <v>45776</v>
      </c>
      <c r="F418">
        <v>1010900</v>
      </c>
      <c r="G418">
        <v>5000</v>
      </c>
    </row>
    <row r="419" spans="1:7" x14ac:dyDescent="0.3">
      <c r="A419" s="80">
        <v>45797</v>
      </c>
      <c r="B419">
        <v>1010100</v>
      </c>
      <c r="C419">
        <v>24990</v>
      </c>
      <c r="E419" s="80">
        <v>45776</v>
      </c>
      <c r="F419">
        <v>1010900</v>
      </c>
      <c r="G419">
        <v>4500</v>
      </c>
    </row>
    <row r="420" spans="1:7" x14ac:dyDescent="0.3">
      <c r="A420" s="80">
        <v>45797</v>
      </c>
      <c r="B420">
        <v>1010100</v>
      </c>
      <c r="C420">
        <v>24990</v>
      </c>
      <c r="E420" s="80">
        <v>45776</v>
      </c>
      <c r="F420">
        <v>1010900</v>
      </c>
      <c r="G420">
        <v>5000</v>
      </c>
    </row>
    <row r="421" spans="1:7" x14ac:dyDescent="0.3">
      <c r="A421" s="80">
        <v>45797</v>
      </c>
      <c r="B421">
        <v>1010100</v>
      </c>
      <c r="C421">
        <v>24990</v>
      </c>
      <c r="E421" s="80">
        <v>45776</v>
      </c>
      <c r="F421">
        <v>1010900</v>
      </c>
      <c r="G421">
        <v>4500</v>
      </c>
    </row>
    <row r="422" spans="1:7" x14ac:dyDescent="0.3">
      <c r="A422" s="80">
        <v>45797</v>
      </c>
      <c r="B422">
        <v>1010100</v>
      </c>
      <c r="C422">
        <v>24990</v>
      </c>
      <c r="E422" s="80">
        <v>45776</v>
      </c>
      <c r="F422">
        <v>1010900</v>
      </c>
      <c r="G422">
        <v>5000</v>
      </c>
    </row>
    <row r="423" spans="1:7" x14ac:dyDescent="0.3">
      <c r="A423" s="80">
        <v>45796</v>
      </c>
      <c r="B423">
        <v>1010100</v>
      </c>
      <c r="C423">
        <v>29990</v>
      </c>
      <c r="E423" s="80">
        <v>45776</v>
      </c>
      <c r="F423">
        <v>1010900</v>
      </c>
      <c r="G423">
        <v>5000</v>
      </c>
    </row>
    <row r="424" spans="1:7" x14ac:dyDescent="0.3">
      <c r="A424" s="80">
        <v>45796</v>
      </c>
      <c r="B424">
        <v>1010100</v>
      </c>
      <c r="C424">
        <v>29990</v>
      </c>
      <c r="E424" s="80">
        <v>45776</v>
      </c>
      <c r="F424">
        <v>1010900</v>
      </c>
      <c r="G424">
        <v>5000</v>
      </c>
    </row>
    <row r="425" spans="1:7" x14ac:dyDescent="0.3">
      <c r="A425" s="80">
        <v>45796</v>
      </c>
      <c r="B425">
        <v>1010100</v>
      </c>
      <c r="C425">
        <v>24990</v>
      </c>
      <c r="E425" s="80">
        <v>45775</v>
      </c>
      <c r="F425">
        <v>1010900</v>
      </c>
      <c r="G425">
        <v>5000</v>
      </c>
    </row>
    <row r="426" spans="1:7" x14ac:dyDescent="0.3">
      <c r="A426" s="80">
        <v>45795</v>
      </c>
      <c r="B426">
        <v>1010100</v>
      </c>
      <c r="C426">
        <v>24990</v>
      </c>
      <c r="E426" s="80">
        <v>45775</v>
      </c>
      <c r="F426">
        <v>1010900</v>
      </c>
      <c r="G426">
        <v>500</v>
      </c>
    </row>
    <row r="427" spans="1:7" x14ac:dyDescent="0.3">
      <c r="A427" s="80">
        <v>45795</v>
      </c>
      <c r="B427">
        <v>1010100</v>
      </c>
      <c r="C427">
        <v>24990</v>
      </c>
      <c r="E427" s="80">
        <v>45775</v>
      </c>
      <c r="F427">
        <v>1010900</v>
      </c>
      <c r="G427">
        <v>4500</v>
      </c>
    </row>
    <row r="428" spans="1:7" x14ac:dyDescent="0.3">
      <c r="A428" s="80">
        <v>45795</v>
      </c>
      <c r="B428">
        <v>1010100</v>
      </c>
      <c r="C428">
        <v>48990</v>
      </c>
      <c r="E428" s="80">
        <v>45774</v>
      </c>
      <c r="F428">
        <v>1010900</v>
      </c>
      <c r="G428">
        <v>4500</v>
      </c>
    </row>
    <row r="429" spans="1:7" x14ac:dyDescent="0.3">
      <c r="A429" s="80">
        <v>45795</v>
      </c>
      <c r="B429">
        <v>1010100</v>
      </c>
      <c r="C429">
        <v>24990</v>
      </c>
      <c r="E429" s="80">
        <v>45774</v>
      </c>
      <c r="F429">
        <v>1010900</v>
      </c>
      <c r="G429">
        <v>4500</v>
      </c>
    </row>
    <row r="430" spans="1:7" x14ac:dyDescent="0.3">
      <c r="A430" s="80">
        <v>45794</v>
      </c>
      <c r="B430">
        <v>1010100</v>
      </c>
      <c r="C430">
        <v>24990</v>
      </c>
      <c r="E430" s="80">
        <v>45774</v>
      </c>
      <c r="F430">
        <v>1010900</v>
      </c>
      <c r="G430">
        <v>5000</v>
      </c>
    </row>
    <row r="431" spans="1:7" x14ac:dyDescent="0.3">
      <c r="A431" s="80">
        <v>45794</v>
      </c>
      <c r="B431">
        <v>1010100</v>
      </c>
      <c r="C431">
        <v>24990</v>
      </c>
      <c r="E431" s="80">
        <v>45774</v>
      </c>
      <c r="F431">
        <v>1010900</v>
      </c>
      <c r="G431">
        <v>4500</v>
      </c>
    </row>
    <row r="432" spans="1:7" x14ac:dyDescent="0.3">
      <c r="A432" s="80">
        <v>45794</v>
      </c>
      <c r="B432">
        <v>1010100</v>
      </c>
      <c r="C432">
        <v>24990</v>
      </c>
      <c r="E432" s="80">
        <v>45774</v>
      </c>
      <c r="F432">
        <v>1010900</v>
      </c>
      <c r="G432">
        <v>5000</v>
      </c>
    </row>
    <row r="433" spans="1:7" x14ac:dyDescent="0.3">
      <c r="A433" s="80">
        <v>45793</v>
      </c>
      <c r="B433">
        <v>1010100</v>
      </c>
      <c r="C433">
        <v>24990</v>
      </c>
      <c r="E433" s="80">
        <v>45774</v>
      </c>
      <c r="F433">
        <v>1010900</v>
      </c>
      <c r="G433">
        <v>5000</v>
      </c>
    </row>
    <row r="434" spans="1:7" x14ac:dyDescent="0.3">
      <c r="A434" s="80">
        <v>45792</v>
      </c>
      <c r="B434">
        <v>1010100</v>
      </c>
      <c r="C434">
        <v>29990</v>
      </c>
      <c r="E434" s="80">
        <v>45774</v>
      </c>
      <c r="F434">
        <v>1010900</v>
      </c>
      <c r="G434">
        <v>4500</v>
      </c>
    </row>
    <row r="435" spans="1:7" x14ac:dyDescent="0.3">
      <c r="A435" s="80">
        <v>45792</v>
      </c>
      <c r="B435">
        <v>1010100</v>
      </c>
      <c r="C435">
        <v>24990</v>
      </c>
      <c r="E435" s="80">
        <v>45773</v>
      </c>
      <c r="F435">
        <v>1010900</v>
      </c>
      <c r="G435">
        <v>4500</v>
      </c>
    </row>
    <row r="436" spans="1:7" x14ac:dyDescent="0.3">
      <c r="A436" s="80">
        <v>45792</v>
      </c>
      <c r="B436">
        <v>1010100</v>
      </c>
      <c r="C436">
        <v>9990</v>
      </c>
      <c r="E436" s="80">
        <v>45773</v>
      </c>
      <c r="F436">
        <v>1010900</v>
      </c>
      <c r="G436">
        <v>5000</v>
      </c>
    </row>
    <row r="437" spans="1:7" x14ac:dyDescent="0.3">
      <c r="A437" s="80">
        <v>45792</v>
      </c>
      <c r="B437">
        <v>1010100</v>
      </c>
      <c r="C437">
        <v>24990</v>
      </c>
      <c r="E437" s="80">
        <v>45773</v>
      </c>
      <c r="F437">
        <v>1010900</v>
      </c>
      <c r="G437">
        <v>4500</v>
      </c>
    </row>
    <row r="438" spans="1:7" x14ac:dyDescent="0.3">
      <c r="A438" s="80">
        <v>45791</v>
      </c>
      <c r="B438">
        <v>1010100</v>
      </c>
      <c r="C438">
        <v>24990</v>
      </c>
      <c r="E438" s="80">
        <v>45773</v>
      </c>
      <c r="F438">
        <v>1010900</v>
      </c>
      <c r="G438">
        <v>5000</v>
      </c>
    </row>
    <row r="439" spans="1:7" x14ac:dyDescent="0.3">
      <c r="A439" s="80">
        <v>45791</v>
      </c>
      <c r="B439">
        <v>1010100</v>
      </c>
      <c r="C439">
        <v>29990</v>
      </c>
      <c r="E439" s="80">
        <v>45773</v>
      </c>
      <c r="F439">
        <v>1010900</v>
      </c>
      <c r="G439">
        <v>5000</v>
      </c>
    </row>
    <row r="440" spans="1:7" x14ac:dyDescent="0.3">
      <c r="A440" s="80">
        <v>45791</v>
      </c>
      <c r="B440">
        <v>1010100</v>
      </c>
      <c r="C440">
        <v>24990</v>
      </c>
      <c r="E440" s="80">
        <v>45773</v>
      </c>
      <c r="F440">
        <v>1010900</v>
      </c>
      <c r="G440">
        <v>5000</v>
      </c>
    </row>
    <row r="441" spans="1:7" x14ac:dyDescent="0.3">
      <c r="A441" s="80">
        <v>45791</v>
      </c>
      <c r="B441">
        <v>1010100</v>
      </c>
      <c r="C441">
        <v>29990</v>
      </c>
      <c r="E441" s="80">
        <v>45773</v>
      </c>
      <c r="F441">
        <v>1010900</v>
      </c>
      <c r="G441">
        <v>5000</v>
      </c>
    </row>
    <row r="442" spans="1:7" x14ac:dyDescent="0.3">
      <c r="A442" s="80">
        <v>45790</v>
      </c>
      <c r="B442">
        <v>1010100</v>
      </c>
      <c r="C442">
        <v>24990</v>
      </c>
      <c r="E442" s="80">
        <v>45773</v>
      </c>
      <c r="F442">
        <v>1010900</v>
      </c>
      <c r="G442">
        <v>4500</v>
      </c>
    </row>
    <row r="443" spans="1:7" x14ac:dyDescent="0.3">
      <c r="A443" s="80">
        <v>45789</v>
      </c>
      <c r="B443">
        <v>1010100</v>
      </c>
      <c r="C443">
        <v>24990</v>
      </c>
      <c r="E443" s="80">
        <v>45773</v>
      </c>
      <c r="F443">
        <v>1010900</v>
      </c>
      <c r="G443">
        <v>5000</v>
      </c>
    </row>
    <row r="444" spans="1:7" x14ac:dyDescent="0.3">
      <c r="A444" s="80">
        <v>45789</v>
      </c>
      <c r="B444">
        <v>1010100</v>
      </c>
      <c r="C444">
        <v>24990</v>
      </c>
      <c r="E444" s="80">
        <v>45773</v>
      </c>
      <c r="F444">
        <v>1010900</v>
      </c>
      <c r="G444">
        <v>5000</v>
      </c>
    </row>
    <row r="445" spans="1:7" x14ac:dyDescent="0.3">
      <c r="A445" s="80">
        <v>45789</v>
      </c>
      <c r="B445">
        <v>1010100</v>
      </c>
      <c r="C445">
        <v>24990</v>
      </c>
      <c r="E445" s="80">
        <v>45773</v>
      </c>
      <c r="F445">
        <v>1010900</v>
      </c>
      <c r="G445">
        <v>5000</v>
      </c>
    </row>
    <row r="446" spans="1:7" x14ac:dyDescent="0.3">
      <c r="A446" s="80">
        <v>45788</v>
      </c>
      <c r="B446">
        <v>1010100</v>
      </c>
      <c r="C446">
        <v>24990</v>
      </c>
      <c r="E446" s="80">
        <v>45772</v>
      </c>
      <c r="F446">
        <v>1010900</v>
      </c>
      <c r="G446">
        <v>4500</v>
      </c>
    </row>
    <row r="447" spans="1:7" x14ac:dyDescent="0.3">
      <c r="A447" s="80">
        <v>45788</v>
      </c>
      <c r="B447">
        <v>1010100</v>
      </c>
      <c r="C447">
        <v>24990</v>
      </c>
      <c r="E447" s="80">
        <v>45772</v>
      </c>
      <c r="F447">
        <v>1010900</v>
      </c>
      <c r="G447">
        <v>5000</v>
      </c>
    </row>
    <row r="448" spans="1:7" x14ac:dyDescent="0.3">
      <c r="A448" s="80">
        <v>45788</v>
      </c>
      <c r="B448">
        <v>1010100</v>
      </c>
      <c r="C448">
        <v>24990</v>
      </c>
      <c r="E448" s="80">
        <v>45772</v>
      </c>
      <c r="F448">
        <v>1010900</v>
      </c>
      <c r="G448">
        <v>5000</v>
      </c>
    </row>
    <row r="449" spans="1:7" x14ac:dyDescent="0.3">
      <c r="A449" s="80">
        <v>45788</v>
      </c>
      <c r="B449">
        <v>1010100</v>
      </c>
      <c r="C449">
        <v>49980</v>
      </c>
      <c r="E449" s="80">
        <v>45772</v>
      </c>
      <c r="F449">
        <v>1010900</v>
      </c>
      <c r="G449">
        <v>5000</v>
      </c>
    </row>
    <row r="450" spans="1:7" x14ac:dyDescent="0.3">
      <c r="A450" s="80">
        <v>45788</v>
      </c>
      <c r="B450">
        <v>1010100</v>
      </c>
      <c r="C450">
        <v>24990</v>
      </c>
      <c r="E450" s="80">
        <v>45772</v>
      </c>
      <c r="F450">
        <v>1010900</v>
      </c>
      <c r="G450">
        <v>500</v>
      </c>
    </row>
    <row r="451" spans="1:7" x14ac:dyDescent="0.3">
      <c r="A451" s="80">
        <v>45788</v>
      </c>
      <c r="B451">
        <v>1010100</v>
      </c>
      <c r="C451">
        <v>24990</v>
      </c>
      <c r="E451" s="80">
        <v>45772</v>
      </c>
      <c r="F451">
        <v>1010900</v>
      </c>
      <c r="G451">
        <v>4500</v>
      </c>
    </row>
    <row r="452" spans="1:7" x14ac:dyDescent="0.3">
      <c r="A452" s="80">
        <v>45787</v>
      </c>
      <c r="B452">
        <v>1010100</v>
      </c>
      <c r="C452">
        <v>48990</v>
      </c>
      <c r="E452" s="80">
        <v>45772</v>
      </c>
      <c r="F452">
        <v>1010900</v>
      </c>
      <c r="G452">
        <v>500</v>
      </c>
    </row>
    <row r="453" spans="1:7" x14ac:dyDescent="0.3">
      <c r="A453" s="80">
        <v>45787</v>
      </c>
      <c r="B453">
        <v>1010100</v>
      </c>
      <c r="C453">
        <v>24990</v>
      </c>
      <c r="E453" s="80">
        <v>45772</v>
      </c>
      <c r="F453">
        <v>1010900</v>
      </c>
      <c r="G453">
        <v>4500</v>
      </c>
    </row>
    <row r="454" spans="1:7" x14ac:dyDescent="0.3">
      <c r="A454" s="80">
        <v>45787</v>
      </c>
      <c r="B454">
        <v>1010100</v>
      </c>
      <c r="C454">
        <v>24990</v>
      </c>
      <c r="E454" s="80">
        <v>45772</v>
      </c>
      <c r="F454">
        <v>1010900</v>
      </c>
      <c r="G454">
        <v>4500</v>
      </c>
    </row>
    <row r="455" spans="1:7" x14ac:dyDescent="0.3">
      <c r="A455" s="80">
        <v>45787</v>
      </c>
      <c r="B455">
        <v>1010100</v>
      </c>
      <c r="C455">
        <v>24990</v>
      </c>
      <c r="E455" s="80">
        <v>45772</v>
      </c>
      <c r="F455">
        <v>1010900</v>
      </c>
      <c r="G455">
        <v>5000</v>
      </c>
    </row>
    <row r="456" spans="1:7" x14ac:dyDescent="0.3">
      <c r="A456" s="80">
        <v>45786</v>
      </c>
      <c r="B456">
        <v>1010100</v>
      </c>
      <c r="C456">
        <v>29990</v>
      </c>
      <c r="E456" s="80">
        <v>45772</v>
      </c>
      <c r="F456">
        <v>1010900</v>
      </c>
      <c r="G456">
        <v>500</v>
      </c>
    </row>
    <row r="457" spans="1:7" x14ac:dyDescent="0.3">
      <c r="A457" s="80">
        <v>45786</v>
      </c>
      <c r="B457">
        <v>1010100</v>
      </c>
      <c r="C457">
        <v>24990</v>
      </c>
      <c r="E457" s="80">
        <v>45772</v>
      </c>
      <c r="F457">
        <v>1010900</v>
      </c>
      <c r="G457">
        <v>9000</v>
      </c>
    </row>
    <row r="458" spans="1:7" x14ac:dyDescent="0.3">
      <c r="A458" s="80">
        <v>45786</v>
      </c>
      <c r="B458">
        <v>1010100</v>
      </c>
      <c r="C458">
        <v>4995</v>
      </c>
      <c r="E458" s="80">
        <v>45772</v>
      </c>
      <c r="F458">
        <v>1010900</v>
      </c>
      <c r="G458">
        <v>5000</v>
      </c>
    </row>
    <row r="459" spans="1:7" x14ac:dyDescent="0.3">
      <c r="A459" s="80">
        <v>45786</v>
      </c>
      <c r="B459">
        <v>1010100</v>
      </c>
      <c r="C459">
        <v>24990</v>
      </c>
      <c r="E459" s="80">
        <v>45772</v>
      </c>
      <c r="F459">
        <v>1010900</v>
      </c>
      <c r="G459">
        <v>5000</v>
      </c>
    </row>
    <row r="460" spans="1:7" x14ac:dyDescent="0.3">
      <c r="A460" s="80">
        <v>45786</v>
      </c>
      <c r="B460">
        <v>1010100</v>
      </c>
      <c r="C460">
        <v>24990</v>
      </c>
      <c r="E460" s="80">
        <v>45771</v>
      </c>
      <c r="F460">
        <v>1010900</v>
      </c>
      <c r="G460">
        <v>5000</v>
      </c>
    </row>
    <row r="461" spans="1:7" x14ac:dyDescent="0.3">
      <c r="A461" s="80">
        <v>45786</v>
      </c>
      <c r="B461">
        <v>1010100</v>
      </c>
      <c r="C461">
        <v>24990</v>
      </c>
      <c r="E461" s="80">
        <v>45771</v>
      </c>
      <c r="F461">
        <v>1010900</v>
      </c>
      <c r="G461">
        <v>2630</v>
      </c>
    </row>
    <row r="462" spans="1:7" x14ac:dyDescent="0.3">
      <c r="A462" s="80">
        <v>45786</v>
      </c>
      <c r="B462">
        <v>1010100</v>
      </c>
      <c r="C462">
        <v>24990</v>
      </c>
      <c r="E462" s="80">
        <v>45771</v>
      </c>
      <c r="F462">
        <v>1010900</v>
      </c>
      <c r="G462">
        <v>5000</v>
      </c>
    </row>
    <row r="463" spans="1:7" x14ac:dyDescent="0.3">
      <c r="A463" s="80">
        <v>45785</v>
      </c>
      <c r="B463">
        <v>1010100</v>
      </c>
      <c r="C463">
        <v>24990</v>
      </c>
      <c r="E463" s="80">
        <v>45771</v>
      </c>
      <c r="F463">
        <v>1010900</v>
      </c>
      <c r="G463">
        <v>4500</v>
      </c>
    </row>
    <row r="464" spans="1:7" x14ac:dyDescent="0.3">
      <c r="A464" s="80">
        <v>45785</v>
      </c>
      <c r="B464">
        <v>1010100</v>
      </c>
      <c r="C464">
        <v>24990</v>
      </c>
      <c r="E464" s="80">
        <v>45771</v>
      </c>
      <c r="F464">
        <v>1010900</v>
      </c>
      <c r="G464">
        <v>4500</v>
      </c>
    </row>
    <row r="465" spans="1:7" x14ac:dyDescent="0.3">
      <c r="A465" s="80">
        <v>45785</v>
      </c>
      <c r="B465">
        <v>1010100</v>
      </c>
      <c r="C465">
        <v>29990</v>
      </c>
      <c r="E465" s="80">
        <v>45771</v>
      </c>
      <c r="F465">
        <v>1010900</v>
      </c>
      <c r="G465">
        <v>5000</v>
      </c>
    </row>
    <row r="466" spans="1:7" x14ac:dyDescent="0.3">
      <c r="A466" s="80">
        <v>45785</v>
      </c>
      <c r="B466">
        <v>1010100</v>
      </c>
      <c r="C466">
        <v>24990</v>
      </c>
      <c r="E466" s="80">
        <v>45771</v>
      </c>
      <c r="F466">
        <v>1010900</v>
      </c>
      <c r="G466">
        <v>5000</v>
      </c>
    </row>
    <row r="467" spans="1:7" x14ac:dyDescent="0.3">
      <c r="A467" s="80">
        <v>45785</v>
      </c>
      <c r="B467">
        <v>1010100</v>
      </c>
      <c r="C467">
        <v>49980</v>
      </c>
      <c r="E467" s="80">
        <v>45771</v>
      </c>
      <c r="F467">
        <v>1010900</v>
      </c>
      <c r="G467">
        <v>5000</v>
      </c>
    </row>
    <row r="468" spans="1:7" x14ac:dyDescent="0.3">
      <c r="A468" s="80">
        <v>45785</v>
      </c>
      <c r="B468">
        <v>1010100</v>
      </c>
      <c r="C468">
        <v>24990</v>
      </c>
      <c r="E468" s="80">
        <v>45770</v>
      </c>
      <c r="F468">
        <v>1010900</v>
      </c>
      <c r="G468">
        <v>5000</v>
      </c>
    </row>
    <row r="469" spans="1:7" x14ac:dyDescent="0.3">
      <c r="A469" s="80">
        <v>45784</v>
      </c>
      <c r="B469">
        <v>1010100</v>
      </c>
      <c r="C469">
        <v>24990</v>
      </c>
      <c r="E469" s="80">
        <v>45770</v>
      </c>
      <c r="F469">
        <v>1010900</v>
      </c>
      <c r="G469">
        <v>5000</v>
      </c>
    </row>
    <row r="470" spans="1:7" x14ac:dyDescent="0.3">
      <c r="A470" s="80">
        <v>45784</v>
      </c>
      <c r="B470">
        <v>1010100</v>
      </c>
      <c r="C470">
        <v>29990</v>
      </c>
      <c r="E470" s="80">
        <v>45770</v>
      </c>
      <c r="F470">
        <v>1010900</v>
      </c>
      <c r="G470">
        <v>5000</v>
      </c>
    </row>
    <row r="471" spans="1:7" x14ac:dyDescent="0.3">
      <c r="A471" s="80">
        <v>45784</v>
      </c>
      <c r="B471">
        <v>1010100</v>
      </c>
      <c r="C471">
        <v>24990</v>
      </c>
      <c r="E471" s="80">
        <v>45770</v>
      </c>
      <c r="F471">
        <v>1010900</v>
      </c>
      <c r="G471">
        <v>4500</v>
      </c>
    </row>
    <row r="472" spans="1:7" x14ac:dyDescent="0.3">
      <c r="A472" s="80">
        <v>45783</v>
      </c>
      <c r="B472">
        <v>1010100</v>
      </c>
      <c r="C472">
        <v>29990</v>
      </c>
      <c r="E472" s="80">
        <v>45770</v>
      </c>
      <c r="F472">
        <v>1010900</v>
      </c>
      <c r="G472">
        <v>500</v>
      </c>
    </row>
    <row r="473" spans="1:7" x14ac:dyDescent="0.3">
      <c r="A473" s="80">
        <v>45783</v>
      </c>
      <c r="B473">
        <v>1010100</v>
      </c>
      <c r="C473">
        <v>24990</v>
      </c>
      <c r="E473" s="80">
        <v>45769</v>
      </c>
      <c r="F473">
        <v>1010900</v>
      </c>
      <c r="G473">
        <v>5000</v>
      </c>
    </row>
    <row r="474" spans="1:7" x14ac:dyDescent="0.3">
      <c r="A474" s="80">
        <v>45783</v>
      </c>
      <c r="B474">
        <v>1010100</v>
      </c>
      <c r="C474">
        <v>24990</v>
      </c>
      <c r="E474" s="80">
        <v>45769</v>
      </c>
      <c r="F474">
        <v>1010900</v>
      </c>
      <c r="G474">
        <v>5000</v>
      </c>
    </row>
    <row r="475" spans="1:7" x14ac:dyDescent="0.3">
      <c r="A475" s="80">
        <v>45783</v>
      </c>
      <c r="B475">
        <v>1010100</v>
      </c>
      <c r="C475">
        <v>24990</v>
      </c>
      <c r="E475" s="80">
        <v>45768</v>
      </c>
      <c r="F475">
        <v>1010900</v>
      </c>
      <c r="G475">
        <v>5000</v>
      </c>
    </row>
    <row r="476" spans="1:7" x14ac:dyDescent="0.3">
      <c r="A476" s="80">
        <v>45783</v>
      </c>
      <c r="B476">
        <v>1010100</v>
      </c>
      <c r="C476">
        <v>28990</v>
      </c>
      <c r="E476" s="80">
        <v>45768</v>
      </c>
      <c r="F476">
        <v>1010900</v>
      </c>
      <c r="G476">
        <v>5000</v>
      </c>
    </row>
    <row r="477" spans="1:7" x14ac:dyDescent="0.3">
      <c r="A477" s="80">
        <v>45782</v>
      </c>
      <c r="B477">
        <v>1010100</v>
      </c>
      <c r="C477">
        <v>29990</v>
      </c>
      <c r="E477" s="80">
        <v>45768</v>
      </c>
      <c r="F477">
        <v>1010900</v>
      </c>
      <c r="G477">
        <v>12630</v>
      </c>
    </row>
    <row r="478" spans="1:7" x14ac:dyDescent="0.3">
      <c r="A478" s="80">
        <v>45782</v>
      </c>
      <c r="B478">
        <v>1010100</v>
      </c>
      <c r="C478">
        <v>24990</v>
      </c>
      <c r="E478" s="80">
        <v>45768</v>
      </c>
      <c r="F478">
        <v>1010900</v>
      </c>
      <c r="G478">
        <v>5000</v>
      </c>
    </row>
    <row r="479" spans="1:7" x14ac:dyDescent="0.3">
      <c r="A479" s="80">
        <v>45782</v>
      </c>
      <c r="B479">
        <v>1010100</v>
      </c>
      <c r="C479">
        <v>24990</v>
      </c>
      <c r="E479" s="80">
        <v>45768</v>
      </c>
      <c r="F479">
        <v>1010900</v>
      </c>
      <c r="G479">
        <v>5000</v>
      </c>
    </row>
    <row r="480" spans="1:7" x14ac:dyDescent="0.3">
      <c r="A480" s="80">
        <v>45782</v>
      </c>
      <c r="B480">
        <v>1010100</v>
      </c>
      <c r="C480">
        <v>48990</v>
      </c>
      <c r="E480" s="80">
        <v>45768</v>
      </c>
      <c r="F480">
        <v>1010900</v>
      </c>
      <c r="G480">
        <v>5000</v>
      </c>
    </row>
    <row r="481" spans="1:7" x14ac:dyDescent="0.3">
      <c r="A481" s="80">
        <v>45782</v>
      </c>
      <c r="B481">
        <v>1010100</v>
      </c>
      <c r="C481">
        <v>24990</v>
      </c>
      <c r="E481" s="80">
        <v>45768</v>
      </c>
      <c r="F481">
        <v>1010900</v>
      </c>
      <c r="G481">
        <v>5000</v>
      </c>
    </row>
    <row r="482" spans="1:7" x14ac:dyDescent="0.3">
      <c r="A482" s="80">
        <v>45782</v>
      </c>
      <c r="B482">
        <v>1010100</v>
      </c>
      <c r="C482">
        <v>24990</v>
      </c>
      <c r="E482" s="80">
        <v>45766</v>
      </c>
      <c r="F482">
        <v>1010900</v>
      </c>
      <c r="G482">
        <v>5000</v>
      </c>
    </row>
    <row r="483" spans="1:7" x14ac:dyDescent="0.3">
      <c r="A483" s="80">
        <v>45782</v>
      </c>
      <c r="B483">
        <v>1010100</v>
      </c>
      <c r="C483">
        <v>9990</v>
      </c>
      <c r="E483" s="80">
        <v>45766</v>
      </c>
      <c r="F483">
        <v>1010900</v>
      </c>
      <c r="G483">
        <v>5000</v>
      </c>
    </row>
    <row r="484" spans="1:7" x14ac:dyDescent="0.3">
      <c r="A484" s="80">
        <v>45782</v>
      </c>
      <c r="B484">
        <v>1010100</v>
      </c>
      <c r="C484">
        <v>9990</v>
      </c>
      <c r="E484" s="80">
        <v>45766</v>
      </c>
      <c r="F484">
        <v>1010900</v>
      </c>
      <c r="G484">
        <v>5000</v>
      </c>
    </row>
    <row r="485" spans="1:7" x14ac:dyDescent="0.3">
      <c r="A485" s="80">
        <v>45782</v>
      </c>
      <c r="B485">
        <v>1010100</v>
      </c>
      <c r="C485">
        <v>49980</v>
      </c>
      <c r="E485" s="80">
        <v>45765</v>
      </c>
      <c r="F485">
        <v>1010900</v>
      </c>
      <c r="G485">
        <v>5000</v>
      </c>
    </row>
    <row r="486" spans="1:7" x14ac:dyDescent="0.3">
      <c r="A486" s="80">
        <v>45782</v>
      </c>
      <c r="B486">
        <v>1010100</v>
      </c>
      <c r="C486">
        <v>24990</v>
      </c>
      <c r="E486" s="80">
        <v>45765</v>
      </c>
      <c r="F486">
        <v>1010900</v>
      </c>
      <c r="G486">
        <v>5000</v>
      </c>
    </row>
    <row r="487" spans="1:7" x14ac:dyDescent="0.3">
      <c r="A487" s="80">
        <v>45782</v>
      </c>
      <c r="B487">
        <v>1010100</v>
      </c>
      <c r="C487">
        <v>24990</v>
      </c>
      <c r="E487" s="80">
        <v>45765</v>
      </c>
      <c r="F487">
        <v>1010900</v>
      </c>
      <c r="G487">
        <v>5000</v>
      </c>
    </row>
    <row r="488" spans="1:7" x14ac:dyDescent="0.3">
      <c r="A488" s="80">
        <v>45782</v>
      </c>
      <c r="B488">
        <v>1010100</v>
      </c>
      <c r="C488">
        <v>29990</v>
      </c>
      <c r="E488" s="80">
        <v>45765</v>
      </c>
      <c r="F488">
        <v>1010900</v>
      </c>
      <c r="G488">
        <v>5000</v>
      </c>
    </row>
    <row r="489" spans="1:7" x14ac:dyDescent="0.3">
      <c r="A489" s="80">
        <v>45782</v>
      </c>
      <c r="B489">
        <v>1010100</v>
      </c>
      <c r="C489">
        <v>24990</v>
      </c>
      <c r="E489" s="80">
        <v>45765</v>
      </c>
      <c r="F489">
        <v>1010900</v>
      </c>
      <c r="G489">
        <v>5000</v>
      </c>
    </row>
    <row r="490" spans="1:7" x14ac:dyDescent="0.3">
      <c r="A490" s="80">
        <v>45781</v>
      </c>
      <c r="B490">
        <v>1010100</v>
      </c>
      <c r="C490">
        <v>24990</v>
      </c>
      <c r="E490" s="80">
        <v>45765</v>
      </c>
      <c r="F490">
        <v>1010900</v>
      </c>
      <c r="G490">
        <v>5000</v>
      </c>
    </row>
    <row r="491" spans="1:7" x14ac:dyDescent="0.3">
      <c r="A491" s="80">
        <v>45781</v>
      </c>
      <c r="B491">
        <v>1010100</v>
      </c>
      <c r="C491">
        <v>24990</v>
      </c>
      <c r="E491" s="80">
        <v>45765</v>
      </c>
      <c r="F491">
        <v>1010900</v>
      </c>
      <c r="G491">
        <v>5000</v>
      </c>
    </row>
    <row r="492" spans="1:7" x14ac:dyDescent="0.3">
      <c r="A492" s="80">
        <v>45781</v>
      </c>
      <c r="B492">
        <v>1010100</v>
      </c>
      <c r="C492">
        <v>24990</v>
      </c>
      <c r="E492" s="80">
        <v>45765</v>
      </c>
      <c r="F492">
        <v>1010900</v>
      </c>
      <c r="G492">
        <v>5000</v>
      </c>
    </row>
    <row r="493" spans="1:7" x14ac:dyDescent="0.3">
      <c r="A493" s="80">
        <v>45781</v>
      </c>
      <c r="B493">
        <v>1010100</v>
      </c>
      <c r="C493">
        <v>24990</v>
      </c>
      <c r="E493" s="80">
        <v>45765</v>
      </c>
      <c r="F493">
        <v>1010900</v>
      </c>
      <c r="G493">
        <v>5000</v>
      </c>
    </row>
    <row r="494" spans="1:7" x14ac:dyDescent="0.3">
      <c r="A494" s="80">
        <v>45781</v>
      </c>
      <c r="B494">
        <v>1010100</v>
      </c>
      <c r="C494">
        <v>24990</v>
      </c>
      <c r="E494" s="80">
        <v>45764</v>
      </c>
      <c r="F494">
        <v>1010900</v>
      </c>
      <c r="G494">
        <v>5000</v>
      </c>
    </row>
    <row r="495" spans="1:7" x14ac:dyDescent="0.3">
      <c r="A495" s="80">
        <v>45780</v>
      </c>
      <c r="B495">
        <v>1010100</v>
      </c>
      <c r="C495">
        <v>24990</v>
      </c>
      <c r="E495" s="80">
        <v>45763</v>
      </c>
      <c r="F495">
        <v>1010900</v>
      </c>
      <c r="G495">
        <v>5000</v>
      </c>
    </row>
    <row r="496" spans="1:7" x14ac:dyDescent="0.3">
      <c r="A496" s="80">
        <v>45780</v>
      </c>
      <c r="B496">
        <v>1010100</v>
      </c>
      <c r="C496">
        <v>29990</v>
      </c>
      <c r="E496" s="80">
        <v>45763</v>
      </c>
      <c r="F496">
        <v>1010900</v>
      </c>
      <c r="G496">
        <v>5000</v>
      </c>
    </row>
    <row r="497" spans="1:7" x14ac:dyDescent="0.3">
      <c r="A497" s="80">
        <v>45780</v>
      </c>
      <c r="B497">
        <v>1010100</v>
      </c>
      <c r="C497">
        <v>24990</v>
      </c>
      <c r="E497" s="80">
        <v>45763</v>
      </c>
      <c r="F497">
        <v>1010900</v>
      </c>
      <c r="G497">
        <v>5000</v>
      </c>
    </row>
    <row r="498" spans="1:7" x14ac:dyDescent="0.3">
      <c r="A498" s="80">
        <v>45780</v>
      </c>
      <c r="B498">
        <v>1010100</v>
      </c>
      <c r="C498">
        <v>24990</v>
      </c>
      <c r="E498" s="80">
        <v>45763</v>
      </c>
      <c r="F498">
        <v>1010900</v>
      </c>
      <c r="G498">
        <v>5000</v>
      </c>
    </row>
    <row r="499" spans="1:7" x14ac:dyDescent="0.3">
      <c r="A499" s="80">
        <v>45779</v>
      </c>
      <c r="B499">
        <v>1010100</v>
      </c>
      <c r="C499">
        <v>24990</v>
      </c>
      <c r="E499" s="80">
        <v>45760</v>
      </c>
      <c r="F499">
        <v>1010900</v>
      </c>
      <c r="G499">
        <v>5000</v>
      </c>
    </row>
    <row r="500" spans="1:7" x14ac:dyDescent="0.3">
      <c r="A500" s="80">
        <v>45779</v>
      </c>
      <c r="B500">
        <v>1010100</v>
      </c>
      <c r="C500">
        <v>29990</v>
      </c>
      <c r="E500" s="80">
        <v>45758</v>
      </c>
      <c r="F500">
        <v>1010900</v>
      </c>
      <c r="G500">
        <v>12630</v>
      </c>
    </row>
    <row r="501" spans="1:7" x14ac:dyDescent="0.3">
      <c r="A501" s="80">
        <v>45779</v>
      </c>
      <c r="B501">
        <v>1010100</v>
      </c>
      <c r="C501">
        <v>24990</v>
      </c>
      <c r="E501" s="80">
        <v>45757</v>
      </c>
      <c r="F501">
        <v>1010900</v>
      </c>
      <c r="G501">
        <v>5000</v>
      </c>
    </row>
    <row r="502" spans="1:7" x14ac:dyDescent="0.3">
      <c r="A502" s="80">
        <v>45779</v>
      </c>
      <c r="B502">
        <v>1010100</v>
      </c>
      <c r="C502">
        <v>24990</v>
      </c>
      <c r="E502" s="80">
        <v>45757</v>
      </c>
      <c r="F502">
        <v>1010900</v>
      </c>
      <c r="G502">
        <v>5000</v>
      </c>
    </row>
    <row r="503" spans="1:7" x14ac:dyDescent="0.3">
      <c r="A503" s="80">
        <v>45778</v>
      </c>
      <c r="B503">
        <v>1010100</v>
      </c>
      <c r="C503">
        <v>24990</v>
      </c>
      <c r="E503" s="80">
        <v>45757</v>
      </c>
      <c r="F503">
        <v>1010900</v>
      </c>
      <c r="G503">
        <v>5000</v>
      </c>
    </row>
    <row r="504" spans="1:7" x14ac:dyDescent="0.3">
      <c r="A504" s="80">
        <v>45778</v>
      </c>
      <c r="B504">
        <v>1010100</v>
      </c>
      <c r="C504">
        <v>24990</v>
      </c>
      <c r="E504" s="80">
        <v>45756</v>
      </c>
      <c r="F504">
        <v>1010900</v>
      </c>
      <c r="G504">
        <v>5000</v>
      </c>
    </row>
    <row r="505" spans="1:7" x14ac:dyDescent="0.3">
      <c r="A505" s="80">
        <v>45777</v>
      </c>
      <c r="B505">
        <v>1010100</v>
      </c>
      <c r="C505">
        <v>24990</v>
      </c>
      <c r="E505" s="80">
        <v>45756</v>
      </c>
      <c r="F505">
        <v>1010900</v>
      </c>
      <c r="G505">
        <v>5000</v>
      </c>
    </row>
    <row r="506" spans="1:7" x14ac:dyDescent="0.3">
      <c r="A506" s="80">
        <v>45777</v>
      </c>
      <c r="B506">
        <v>1010100</v>
      </c>
      <c r="C506">
        <v>24990</v>
      </c>
      <c r="E506" s="80">
        <v>45755</v>
      </c>
      <c r="F506">
        <v>1010900</v>
      </c>
      <c r="G506">
        <v>12630</v>
      </c>
    </row>
    <row r="507" spans="1:7" x14ac:dyDescent="0.3">
      <c r="A507" s="80">
        <v>45777</v>
      </c>
      <c r="B507">
        <v>1010100</v>
      </c>
      <c r="C507">
        <v>29990</v>
      </c>
      <c r="E507" s="80">
        <v>45755</v>
      </c>
      <c r="F507">
        <v>1010900</v>
      </c>
      <c r="G507">
        <v>5000</v>
      </c>
    </row>
    <row r="508" spans="1:7" x14ac:dyDescent="0.3">
      <c r="A508" s="80">
        <v>45777</v>
      </c>
      <c r="B508">
        <v>1010100</v>
      </c>
      <c r="C508">
        <v>24990</v>
      </c>
      <c r="E508" s="80">
        <v>45754</v>
      </c>
      <c r="F508">
        <v>1010900</v>
      </c>
      <c r="G508">
        <v>5000</v>
      </c>
    </row>
    <row r="509" spans="1:7" x14ac:dyDescent="0.3">
      <c r="A509" s="80">
        <v>45777</v>
      </c>
      <c r="B509">
        <v>1010100</v>
      </c>
      <c r="C509">
        <v>29990</v>
      </c>
      <c r="E509" s="80">
        <v>45754</v>
      </c>
      <c r="F509">
        <v>1010900</v>
      </c>
      <c r="G509">
        <v>5000</v>
      </c>
    </row>
    <row r="510" spans="1:7" x14ac:dyDescent="0.3">
      <c r="A510" s="80">
        <v>45776</v>
      </c>
      <c r="B510">
        <v>1010100</v>
      </c>
      <c r="C510">
        <v>24990</v>
      </c>
      <c r="E510" s="80">
        <v>45754</v>
      </c>
      <c r="F510">
        <v>1010900</v>
      </c>
      <c r="G510">
        <v>5000</v>
      </c>
    </row>
    <row r="511" spans="1:7" x14ac:dyDescent="0.3">
      <c r="A511" s="80">
        <v>45776</v>
      </c>
      <c r="B511">
        <v>1010100</v>
      </c>
      <c r="C511">
        <v>24990</v>
      </c>
      <c r="E511" s="80">
        <v>45753</v>
      </c>
      <c r="F511">
        <v>1010900</v>
      </c>
      <c r="G511">
        <v>5000</v>
      </c>
    </row>
    <row r="512" spans="1:7" x14ac:dyDescent="0.3">
      <c r="A512" s="80">
        <v>45776</v>
      </c>
      <c r="B512">
        <v>1010100</v>
      </c>
      <c r="C512">
        <v>24990</v>
      </c>
      <c r="E512" s="80">
        <v>45753</v>
      </c>
      <c r="F512">
        <v>1010900</v>
      </c>
      <c r="G512">
        <v>5000</v>
      </c>
    </row>
    <row r="513" spans="1:7" x14ac:dyDescent="0.3">
      <c r="A513" s="80">
        <v>45776</v>
      </c>
      <c r="B513">
        <v>1010100</v>
      </c>
      <c r="C513">
        <v>24990</v>
      </c>
      <c r="E513" s="80">
        <v>45753</v>
      </c>
      <c r="F513">
        <v>1010900</v>
      </c>
      <c r="G513">
        <v>5000</v>
      </c>
    </row>
    <row r="514" spans="1:7" x14ac:dyDescent="0.3">
      <c r="A514" s="80">
        <v>45776</v>
      </c>
      <c r="B514">
        <v>1010100</v>
      </c>
      <c r="C514">
        <v>24990</v>
      </c>
      <c r="E514" s="80">
        <v>45753</v>
      </c>
      <c r="F514">
        <v>1010900</v>
      </c>
      <c r="G514">
        <v>12630</v>
      </c>
    </row>
    <row r="515" spans="1:7" x14ac:dyDescent="0.3">
      <c r="A515" s="80">
        <v>45776</v>
      </c>
      <c r="B515">
        <v>1010100</v>
      </c>
      <c r="C515">
        <v>24990</v>
      </c>
      <c r="E515" s="80">
        <v>45753</v>
      </c>
      <c r="F515">
        <v>1010900</v>
      </c>
      <c r="G515">
        <v>5000</v>
      </c>
    </row>
    <row r="516" spans="1:7" x14ac:dyDescent="0.3">
      <c r="A516" s="80">
        <v>45776</v>
      </c>
      <c r="B516">
        <v>1010100</v>
      </c>
      <c r="C516">
        <v>24990</v>
      </c>
      <c r="E516" s="80">
        <v>45752</v>
      </c>
      <c r="F516">
        <v>1010900</v>
      </c>
      <c r="G516">
        <v>12630</v>
      </c>
    </row>
    <row r="517" spans="1:7" x14ac:dyDescent="0.3">
      <c r="A517" s="80">
        <v>45775</v>
      </c>
      <c r="B517">
        <v>1010100</v>
      </c>
      <c r="C517">
        <v>26392</v>
      </c>
      <c r="E517" s="80">
        <v>45752</v>
      </c>
      <c r="F517">
        <v>1010900</v>
      </c>
      <c r="G517">
        <v>8769</v>
      </c>
    </row>
    <row r="518" spans="1:7" x14ac:dyDescent="0.3">
      <c r="A518" s="80">
        <v>45775</v>
      </c>
      <c r="B518">
        <v>1010100</v>
      </c>
      <c r="C518">
        <v>4995</v>
      </c>
      <c r="E518" s="80">
        <v>45752</v>
      </c>
      <c r="F518">
        <v>1010900</v>
      </c>
      <c r="G518">
        <v>5000</v>
      </c>
    </row>
    <row r="519" spans="1:7" x14ac:dyDescent="0.3">
      <c r="A519" s="80">
        <v>45775</v>
      </c>
      <c r="B519">
        <v>1010100</v>
      </c>
      <c r="C519">
        <v>24990</v>
      </c>
      <c r="E519" s="80">
        <v>45752</v>
      </c>
      <c r="F519">
        <v>1010900</v>
      </c>
      <c r="G519">
        <v>5000</v>
      </c>
    </row>
    <row r="520" spans="1:7" x14ac:dyDescent="0.3">
      <c r="A520" s="80">
        <v>45774</v>
      </c>
      <c r="B520">
        <v>1010100</v>
      </c>
      <c r="C520">
        <v>24990</v>
      </c>
      <c r="E520" s="80">
        <v>45752</v>
      </c>
      <c r="F520">
        <v>1010900</v>
      </c>
      <c r="G520">
        <v>12630</v>
      </c>
    </row>
    <row r="521" spans="1:7" x14ac:dyDescent="0.3">
      <c r="A521" s="80">
        <v>45774</v>
      </c>
      <c r="B521">
        <v>1010100</v>
      </c>
      <c r="C521">
        <v>24990</v>
      </c>
      <c r="E521" s="80">
        <v>45752</v>
      </c>
      <c r="F521">
        <v>1010900</v>
      </c>
      <c r="G521">
        <v>5000</v>
      </c>
    </row>
    <row r="522" spans="1:7" x14ac:dyDescent="0.3">
      <c r="A522" s="80">
        <v>45774</v>
      </c>
      <c r="B522">
        <v>1010100</v>
      </c>
      <c r="C522">
        <v>26392</v>
      </c>
      <c r="E522" s="80">
        <v>45751</v>
      </c>
      <c r="F522">
        <v>1010900</v>
      </c>
      <c r="G522">
        <v>2630</v>
      </c>
    </row>
    <row r="523" spans="1:7" x14ac:dyDescent="0.3">
      <c r="A523" s="80">
        <v>45774</v>
      </c>
      <c r="B523">
        <v>1010100</v>
      </c>
      <c r="C523">
        <v>24990</v>
      </c>
      <c r="E523" s="80">
        <v>45751</v>
      </c>
      <c r="F523">
        <v>1010900</v>
      </c>
      <c r="G523">
        <v>2630</v>
      </c>
    </row>
    <row r="524" spans="1:7" x14ac:dyDescent="0.3">
      <c r="A524" s="80">
        <v>45774</v>
      </c>
      <c r="B524">
        <v>1010100</v>
      </c>
      <c r="C524">
        <v>29990</v>
      </c>
      <c r="E524" s="80">
        <v>45751</v>
      </c>
      <c r="F524">
        <v>1010900</v>
      </c>
      <c r="G524">
        <v>5000</v>
      </c>
    </row>
    <row r="525" spans="1:7" x14ac:dyDescent="0.3">
      <c r="A525" s="80">
        <v>45774</v>
      </c>
      <c r="B525">
        <v>1010100</v>
      </c>
      <c r="C525">
        <v>26392</v>
      </c>
      <c r="E525" s="80">
        <v>45751</v>
      </c>
      <c r="F525">
        <v>1010900</v>
      </c>
      <c r="G525">
        <v>5000</v>
      </c>
    </row>
    <row r="526" spans="1:7" x14ac:dyDescent="0.3">
      <c r="A526" s="80">
        <v>45774</v>
      </c>
      <c r="B526">
        <v>1010100</v>
      </c>
      <c r="C526">
        <v>24990</v>
      </c>
      <c r="E526" s="80">
        <v>45751</v>
      </c>
      <c r="F526">
        <v>1010900</v>
      </c>
      <c r="G526">
        <v>5000</v>
      </c>
    </row>
    <row r="527" spans="1:7" x14ac:dyDescent="0.3">
      <c r="A527" s="80">
        <v>45773</v>
      </c>
      <c r="B527">
        <v>1010100</v>
      </c>
      <c r="C527">
        <v>24990</v>
      </c>
      <c r="E527" s="80">
        <v>45751</v>
      </c>
      <c r="F527">
        <v>1010900</v>
      </c>
      <c r="G527">
        <v>5000</v>
      </c>
    </row>
    <row r="528" spans="1:7" x14ac:dyDescent="0.3">
      <c r="A528" s="80">
        <v>45773</v>
      </c>
      <c r="B528">
        <v>1010100</v>
      </c>
      <c r="C528">
        <v>29990</v>
      </c>
      <c r="E528" s="80">
        <v>45751</v>
      </c>
      <c r="F528">
        <v>1010900</v>
      </c>
      <c r="G528">
        <v>5000</v>
      </c>
    </row>
    <row r="529" spans="1:7" x14ac:dyDescent="0.3">
      <c r="A529" s="80">
        <v>45773</v>
      </c>
      <c r="B529">
        <v>1010100</v>
      </c>
      <c r="C529">
        <v>24990</v>
      </c>
      <c r="E529" s="80">
        <v>45751</v>
      </c>
      <c r="F529">
        <v>1010900</v>
      </c>
      <c r="G529">
        <v>5000</v>
      </c>
    </row>
    <row r="530" spans="1:7" x14ac:dyDescent="0.3">
      <c r="A530" s="80">
        <v>45773</v>
      </c>
      <c r="B530">
        <v>1010100</v>
      </c>
      <c r="C530">
        <v>29990</v>
      </c>
      <c r="E530" s="80">
        <v>45751</v>
      </c>
      <c r="F530">
        <v>1010900</v>
      </c>
      <c r="G530">
        <v>5000</v>
      </c>
    </row>
    <row r="531" spans="1:7" x14ac:dyDescent="0.3">
      <c r="A531" s="80">
        <v>45773</v>
      </c>
      <c r="B531">
        <v>1010100</v>
      </c>
      <c r="C531">
        <v>29990</v>
      </c>
      <c r="E531" s="80">
        <v>45750</v>
      </c>
      <c r="F531">
        <v>1010900</v>
      </c>
      <c r="G531">
        <v>5000</v>
      </c>
    </row>
    <row r="532" spans="1:7" x14ac:dyDescent="0.3">
      <c r="A532" s="80">
        <v>45773</v>
      </c>
      <c r="B532">
        <v>1010100</v>
      </c>
      <c r="C532">
        <v>29990</v>
      </c>
      <c r="E532" s="80">
        <v>45750</v>
      </c>
      <c r="F532">
        <v>1010900</v>
      </c>
      <c r="G532">
        <v>12630</v>
      </c>
    </row>
    <row r="533" spans="1:7" x14ac:dyDescent="0.3">
      <c r="A533" s="80">
        <v>45773</v>
      </c>
      <c r="B533">
        <v>1010100</v>
      </c>
      <c r="C533">
        <v>29990</v>
      </c>
      <c r="E533" s="80">
        <v>45750</v>
      </c>
      <c r="F533">
        <v>1010900</v>
      </c>
      <c r="G533">
        <v>5000</v>
      </c>
    </row>
    <row r="534" spans="1:7" x14ac:dyDescent="0.3">
      <c r="A534" s="80">
        <v>45773</v>
      </c>
      <c r="B534">
        <v>1010100</v>
      </c>
      <c r="C534">
        <v>24990</v>
      </c>
      <c r="E534" s="80">
        <v>45750</v>
      </c>
      <c r="F534">
        <v>1010900</v>
      </c>
      <c r="G534">
        <v>5000</v>
      </c>
    </row>
    <row r="535" spans="1:7" x14ac:dyDescent="0.3">
      <c r="A535" s="80">
        <v>45773</v>
      </c>
      <c r="B535">
        <v>1010100</v>
      </c>
      <c r="C535">
        <v>26392</v>
      </c>
      <c r="E535" s="80">
        <v>45750</v>
      </c>
      <c r="F535">
        <v>1010900</v>
      </c>
      <c r="G535">
        <v>5000</v>
      </c>
    </row>
    <row r="536" spans="1:7" x14ac:dyDescent="0.3">
      <c r="A536" s="80">
        <v>45773</v>
      </c>
      <c r="B536">
        <v>1010100</v>
      </c>
      <c r="C536">
        <v>26392</v>
      </c>
      <c r="E536" s="80">
        <v>45750</v>
      </c>
      <c r="F536">
        <v>1010900</v>
      </c>
      <c r="G536">
        <v>5000</v>
      </c>
    </row>
    <row r="537" spans="1:7" x14ac:dyDescent="0.3">
      <c r="A537" s="80">
        <v>45773</v>
      </c>
      <c r="B537">
        <v>1010100</v>
      </c>
      <c r="C537">
        <v>26392</v>
      </c>
      <c r="E537" s="80">
        <v>45749</v>
      </c>
      <c r="F537">
        <v>1010900</v>
      </c>
      <c r="G537">
        <v>5000</v>
      </c>
    </row>
    <row r="538" spans="1:7" x14ac:dyDescent="0.3">
      <c r="A538" s="80">
        <v>45772</v>
      </c>
      <c r="B538">
        <v>1010100</v>
      </c>
      <c r="C538">
        <v>24990</v>
      </c>
      <c r="E538" s="80">
        <v>45749</v>
      </c>
      <c r="F538">
        <v>1010900</v>
      </c>
      <c r="G538">
        <v>5000</v>
      </c>
    </row>
    <row r="539" spans="1:7" x14ac:dyDescent="0.3">
      <c r="A539" s="80">
        <v>45772</v>
      </c>
      <c r="B539">
        <v>1010100</v>
      </c>
      <c r="C539">
        <v>29990</v>
      </c>
      <c r="E539" s="80">
        <v>45749</v>
      </c>
      <c r="F539">
        <v>1010900</v>
      </c>
      <c r="G539">
        <v>5000</v>
      </c>
    </row>
    <row r="540" spans="1:7" x14ac:dyDescent="0.3">
      <c r="A540" s="80">
        <v>45772</v>
      </c>
      <c r="B540">
        <v>1010100</v>
      </c>
      <c r="C540">
        <v>29990</v>
      </c>
      <c r="E540" s="80">
        <v>45749</v>
      </c>
      <c r="F540">
        <v>1010900</v>
      </c>
      <c r="G540">
        <v>5000</v>
      </c>
    </row>
    <row r="541" spans="1:7" x14ac:dyDescent="0.3">
      <c r="A541" s="80">
        <v>45772</v>
      </c>
      <c r="B541">
        <v>1010100</v>
      </c>
      <c r="C541">
        <v>26392</v>
      </c>
      <c r="E541" s="80">
        <v>45749</v>
      </c>
      <c r="F541">
        <v>1010900</v>
      </c>
      <c r="G541">
        <v>5000</v>
      </c>
    </row>
    <row r="542" spans="1:7" x14ac:dyDescent="0.3">
      <c r="A542" s="80">
        <v>45772</v>
      </c>
      <c r="B542">
        <v>1010100</v>
      </c>
      <c r="C542">
        <v>4995</v>
      </c>
      <c r="E542" s="80">
        <v>45749</v>
      </c>
      <c r="F542">
        <v>1010900</v>
      </c>
      <c r="G542">
        <v>5000</v>
      </c>
    </row>
    <row r="543" spans="1:7" x14ac:dyDescent="0.3">
      <c r="A543" s="80">
        <v>45772</v>
      </c>
      <c r="B543">
        <v>1010100</v>
      </c>
      <c r="C543">
        <v>24990</v>
      </c>
      <c r="E543" s="80">
        <v>45749</v>
      </c>
      <c r="F543">
        <v>1010900</v>
      </c>
      <c r="G543">
        <v>12630</v>
      </c>
    </row>
    <row r="544" spans="1:7" x14ac:dyDescent="0.3">
      <c r="A544" s="80">
        <v>45772</v>
      </c>
      <c r="B544">
        <v>1010100</v>
      </c>
      <c r="C544">
        <v>4995</v>
      </c>
      <c r="E544" s="80">
        <v>45748</v>
      </c>
      <c r="F544">
        <v>1010900</v>
      </c>
      <c r="G544">
        <v>5000</v>
      </c>
    </row>
    <row r="545" spans="1:7" x14ac:dyDescent="0.3">
      <c r="A545" s="80">
        <v>45772</v>
      </c>
      <c r="B545">
        <v>1010100</v>
      </c>
      <c r="C545">
        <v>24990</v>
      </c>
      <c r="E545" s="80">
        <v>45748</v>
      </c>
      <c r="F545">
        <v>1010900</v>
      </c>
      <c r="G545">
        <v>5000</v>
      </c>
    </row>
    <row r="546" spans="1:7" x14ac:dyDescent="0.3">
      <c r="A546" s="80">
        <v>45772</v>
      </c>
      <c r="B546">
        <v>1010100</v>
      </c>
      <c r="C546">
        <v>24990</v>
      </c>
      <c r="E546" s="80">
        <v>45748</v>
      </c>
      <c r="F546">
        <v>1010900</v>
      </c>
      <c r="G546">
        <v>8769</v>
      </c>
    </row>
    <row r="547" spans="1:7" x14ac:dyDescent="0.3">
      <c r="A547" s="80">
        <v>45772</v>
      </c>
      <c r="B547">
        <v>1010100</v>
      </c>
      <c r="C547">
        <v>26392</v>
      </c>
      <c r="E547" s="80">
        <v>45747</v>
      </c>
      <c r="F547">
        <v>1010900</v>
      </c>
      <c r="G547">
        <v>5000</v>
      </c>
    </row>
    <row r="548" spans="1:7" x14ac:dyDescent="0.3">
      <c r="A548" s="80">
        <v>45772</v>
      </c>
      <c r="B548">
        <v>1010100</v>
      </c>
      <c r="C548">
        <v>4995</v>
      </c>
      <c r="E548" s="80">
        <v>45747</v>
      </c>
      <c r="F548">
        <v>1010900</v>
      </c>
      <c r="G548">
        <v>5000</v>
      </c>
    </row>
    <row r="549" spans="1:7" x14ac:dyDescent="0.3">
      <c r="A549" s="80">
        <v>45772</v>
      </c>
      <c r="B549">
        <v>1010100</v>
      </c>
      <c r="C549">
        <v>49980</v>
      </c>
      <c r="E549" s="80">
        <v>45747</v>
      </c>
      <c r="F549">
        <v>1010900</v>
      </c>
      <c r="G549">
        <v>5000</v>
      </c>
    </row>
    <row r="550" spans="1:7" x14ac:dyDescent="0.3">
      <c r="A550" s="80">
        <v>45772</v>
      </c>
      <c r="B550">
        <v>1010100</v>
      </c>
      <c r="C550">
        <v>29990</v>
      </c>
      <c r="E550" s="80">
        <v>45747</v>
      </c>
      <c r="F550">
        <v>1010900</v>
      </c>
      <c r="G550">
        <v>5000</v>
      </c>
    </row>
    <row r="551" spans="1:7" x14ac:dyDescent="0.3">
      <c r="A551" s="80">
        <v>45772</v>
      </c>
      <c r="B551">
        <v>1010100</v>
      </c>
      <c r="C551">
        <v>26392</v>
      </c>
      <c r="E551" s="80">
        <v>45747</v>
      </c>
      <c r="F551">
        <v>1010900</v>
      </c>
      <c r="G551">
        <v>5000</v>
      </c>
    </row>
    <row r="552" spans="1:7" x14ac:dyDescent="0.3">
      <c r="A552" s="80">
        <v>45771</v>
      </c>
      <c r="B552">
        <v>1010100</v>
      </c>
      <c r="C552">
        <v>26392</v>
      </c>
      <c r="E552" s="80">
        <v>45747</v>
      </c>
      <c r="F552">
        <v>1010900</v>
      </c>
      <c r="G552">
        <v>5000</v>
      </c>
    </row>
    <row r="553" spans="1:7" x14ac:dyDescent="0.3">
      <c r="A553" s="80">
        <v>45771</v>
      </c>
      <c r="B553">
        <v>1010100</v>
      </c>
      <c r="C553">
        <v>9990</v>
      </c>
      <c r="E553" s="80">
        <v>45747</v>
      </c>
      <c r="F553">
        <v>1010900</v>
      </c>
      <c r="G553">
        <v>5000</v>
      </c>
    </row>
    <row r="554" spans="1:7" x14ac:dyDescent="0.3">
      <c r="A554" s="80">
        <v>45771</v>
      </c>
      <c r="B554">
        <v>1010100</v>
      </c>
      <c r="C554">
        <v>26392</v>
      </c>
      <c r="E554" s="80">
        <v>45747</v>
      </c>
      <c r="F554">
        <v>1010900</v>
      </c>
      <c r="G554">
        <v>5000</v>
      </c>
    </row>
    <row r="555" spans="1:7" x14ac:dyDescent="0.3">
      <c r="A555" s="80">
        <v>45771</v>
      </c>
      <c r="B555">
        <v>1010100</v>
      </c>
      <c r="C555">
        <v>24990</v>
      </c>
      <c r="E555" s="80">
        <v>45746</v>
      </c>
      <c r="F555">
        <v>1010900</v>
      </c>
      <c r="G555">
        <v>12630</v>
      </c>
    </row>
    <row r="556" spans="1:7" x14ac:dyDescent="0.3">
      <c r="A556" s="80">
        <v>45771</v>
      </c>
      <c r="B556">
        <v>1010100</v>
      </c>
      <c r="C556">
        <v>24990</v>
      </c>
      <c r="E556" s="80">
        <v>45746</v>
      </c>
      <c r="F556">
        <v>1010900</v>
      </c>
      <c r="G556">
        <v>5000</v>
      </c>
    </row>
    <row r="557" spans="1:7" x14ac:dyDescent="0.3">
      <c r="A557" s="80">
        <v>45771</v>
      </c>
      <c r="B557">
        <v>1010100</v>
      </c>
      <c r="C557">
        <v>26392</v>
      </c>
      <c r="E557" s="80">
        <v>45746</v>
      </c>
      <c r="F557">
        <v>1010900</v>
      </c>
      <c r="G557">
        <v>5000</v>
      </c>
    </row>
    <row r="558" spans="1:7" x14ac:dyDescent="0.3">
      <c r="A558" s="80">
        <v>45771</v>
      </c>
      <c r="B558">
        <v>1010100</v>
      </c>
      <c r="C558">
        <v>29990</v>
      </c>
      <c r="E558" s="80">
        <v>45746</v>
      </c>
      <c r="F558">
        <v>1010900</v>
      </c>
      <c r="G558">
        <v>5000</v>
      </c>
    </row>
    <row r="559" spans="1:7" x14ac:dyDescent="0.3">
      <c r="A559" s="80">
        <v>45771</v>
      </c>
      <c r="B559">
        <v>1010100</v>
      </c>
      <c r="C559">
        <v>29990</v>
      </c>
      <c r="E559" s="80">
        <v>45746</v>
      </c>
      <c r="F559">
        <v>1010900</v>
      </c>
      <c r="G559">
        <v>12630</v>
      </c>
    </row>
    <row r="560" spans="1:7" x14ac:dyDescent="0.3">
      <c r="A560" s="80">
        <v>45770</v>
      </c>
      <c r="B560">
        <v>1010100</v>
      </c>
      <c r="C560">
        <v>26392</v>
      </c>
      <c r="E560" s="80">
        <v>45745</v>
      </c>
      <c r="F560">
        <v>1010900</v>
      </c>
      <c r="G560">
        <v>5000</v>
      </c>
    </row>
    <row r="561" spans="1:7" x14ac:dyDescent="0.3">
      <c r="A561" s="80">
        <v>45770</v>
      </c>
      <c r="B561">
        <v>1010100</v>
      </c>
      <c r="C561">
        <v>26392</v>
      </c>
      <c r="E561" s="80">
        <v>45745</v>
      </c>
      <c r="F561">
        <v>1010900</v>
      </c>
      <c r="G561">
        <v>5000</v>
      </c>
    </row>
    <row r="562" spans="1:7" x14ac:dyDescent="0.3">
      <c r="A562" s="80">
        <v>45770</v>
      </c>
      <c r="B562">
        <v>1010100</v>
      </c>
      <c r="C562">
        <v>29990</v>
      </c>
      <c r="E562" s="80">
        <v>45744</v>
      </c>
      <c r="F562">
        <v>1010900</v>
      </c>
      <c r="G562">
        <v>5000</v>
      </c>
    </row>
    <row r="563" spans="1:7" x14ac:dyDescent="0.3">
      <c r="A563" s="80">
        <v>45770</v>
      </c>
      <c r="B563">
        <v>1010100</v>
      </c>
      <c r="C563">
        <v>24990</v>
      </c>
      <c r="E563" s="80">
        <v>45744</v>
      </c>
      <c r="F563">
        <v>1010900</v>
      </c>
      <c r="G563">
        <v>5000</v>
      </c>
    </row>
    <row r="564" spans="1:7" x14ac:dyDescent="0.3">
      <c r="A564" s="80">
        <v>45770</v>
      </c>
      <c r="B564">
        <v>1010100</v>
      </c>
      <c r="C564">
        <v>4995</v>
      </c>
      <c r="E564" s="80">
        <v>45744</v>
      </c>
      <c r="F564">
        <v>1010900</v>
      </c>
      <c r="G564">
        <v>5000</v>
      </c>
    </row>
    <row r="565" spans="1:7" x14ac:dyDescent="0.3">
      <c r="A565" s="80">
        <v>45769</v>
      </c>
      <c r="B565">
        <v>1010100</v>
      </c>
      <c r="C565">
        <v>29990</v>
      </c>
      <c r="E565" s="80">
        <v>45743</v>
      </c>
      <c r="F565">
        <v>1010900</v>
      </c>
      <c r="G565">
        <v>5000</v>
      </c>
    </row>
    <row r="566" spans="1:7" x14ac:dyDescent="0.3">
      <c r="A566" s="80">
        <v>45769</v>
      </c>
      <c r="B566">
        <v>1010100</v>
      </c>
      <c r="C566">
        <v>29990</v>
      </c>
      <c r="E566" s="80">
        <v>45743</v>
      </c>
      <c r="F566">
        <v>1010900</v>
      </c>
      <c r="G566">
        <v>5000</v>
      </c>
    </row>
    <row r="567" spans="1:7" x14ac:dyDescent="0.3">
      <c r="A567" s="80">
        <v>45768</v>
      </c>
      <c r="B567">
        <v>1010100</v>
      </c>
      <c r="C567">
        <v>26392</v>
      </c>
      <c r="E567" s="80">
        <v>45743</v>
      </c>
      <c r="F567">
        <v>1010900</v>
      </c>
      <c r="G567">
        <v>500</v>
      </c>
    </row>
    <row r="568" spans="1:7" x14ac:dyDescent="0.3">
      <c r="A568" s="80">
        <v>45768</v>
      </c>
      <c r="B568">
        <v>1010100</v>
      </c>
      <c r="C568">
        <v>26932</v>
      </c>
      <c r="E568" s="80">
        <v>45743</v>
      </c>
      <c r="F568">
        <v>1010900</v>
      </c>
      <c r="G568">
        <v>8769</v>
      </c>
    </row>
    <row r="569" spans="1:7" x14ac:dyDescent="0.3">
      <c r="A569" s="80">
        <v>45768</v>
      </c>
      <c r="B569">
        <v>1010100</v>
      </c>
      <c r="C569">
        <v>48990</v>
      </c>
      <c r="E569" s="80">
        <v>45743</v>
      </c>
      <c r="F569">
        <v>1010900</v>
      </c>
      <c r="G569">
        <v>5000</v>
      </c>
    </row>
    <row r="570" spans="1:7" x14ac:dyDescent="0.3">
      <c r="A570" s="80">
        <v>45768</v>
      </c>
      <c r="B570">
        <v>1010100</v>
      </c>
      <c r="C570">
        <v>26392</v>
      </c>
      <c r="E570" s="80">
        <v>45743</v>
      </c>
      <c r="F570">
        <v>1010900</v>
      </c>
      <c r="G570">
        <v>5000</v>
      </c>
    </row>
    <row r="571" spans="1:7" x14ac:dyDescent="0.3">
      <c r="A571" s="80">
        <v>45768</v>
      </c>
      <c r="B571">
        <v>1010100</v>
      </c>
      <c r="C571">
        <v>26932</v>
      </c>
      <c r="E571" s="80">
        <v>45743</v>
      </c>
      <c r="F571">
        <v>1010900</v>
      </c>
      <c r="G571">
        <v>5000</v>
      </c>
    </row>
    <row r="572" spans="1:7" x14ac:dyDescent="0.3">
      <c r="A572" s="80">
        <v>45768</v>
      </c>
      <c r="B572">
        <v>1010100</v>
      </c>
      <c r="C572">
        <v>26392</v>
      </c>
      <c r="E572" s="80">
        <v>45740</v>
      </c>
      <c r="F572">
        <v>1010900</v>
      </c>
      <c r="G572">
        <v>12630</v>
      </c>
    </row>
    <row r="573" spans="1:7" x14ac:dyDescent="0.3">
      <c r="A573" s="80">
        <v>45768</v>
      </c>
      <c r="B573">
        <v>1010100</v>
      </c>
      <c r="C573">
        <v>26932</v>
      </c>
      <c r="E573" s="80">
        <v>45740</v>
      </c>
      <c r="F573">
        <v>1010900</v>
      </c>
      <c r="G573">
        <v>5000</v>
      </c>
    </row>
    <row r="574" spans="1:7" x14ac:dyDescent="0.3">
      <c r="A574" s="80">
        <v>45766</v>
      </c>
      <c r="B574">
        <v>1010100</v>
      </c>
      <c r="C574">
        <v>26392</v>
      </c>
      <c r="E574" s="80">
        <v>45739</v>
      </c>
      <c r="F574">
        <v>1010900</v>
      </c>
      <c r="G574">
        <v>5000</v>
      </c>
    </row>
    <row r="575" spans="1:7" x14ac:dyDescent="0.3">
      <c r="A575" s="80">
        <v>45766</v>
      </c>
      <c r="B575">
        <v>1010100</v>
      </c>
      <c r="C575">
        <v>26932</v>
      </c>
      <c r="E575" s="80">
        <v>45739</v>
      </c>
      <c r="F575">
        <v>1010900</v>
      </c>
      <c r="G575">
        <v>3000</v>
      </c>
    </row>
    <row r="576" spans="1:7" x14ac:dyDescent="0.3">
      <c r="A576" s="80">
        <v>45766</v>
      </c>
      <c r="B576">
        <v>1010100</v>
      </c>
      <c r="C576">
        <v>29990</v>
      </c>
      <c r="E576" s="80">
        <v>45739</v>
      </c>
      <c r="F576">
        <v>1010900</v>
      </c>
      <c r="G576">
        <v>5000</v>
      </c>
    </row>
    <row r="577" spans="1:7" x14ac:dyDescent="0.3">
      <c r="A577" s="80">
        <v>45765</v>
      </c>
      <c r="B577">
        <v>1010100</v>
      </c>
      <c r="C577">
        <v>26392</v>
      </c>
      <c r="E577" s="80">
        <v>45738</v>
      </c>
      <c r="F577">
        <v>1010900</v>
      </c>
      <c r="G577">
        <v>5000</v>
      </c>
    </row>
    <row r="578" spans="1:7" x14ac:dyDescent="0.3">
      <c r="A578" s="80">
        <v>45765</v>
      </c>
      <c r="B578">
        <v>1010100</v>
      </c>
      <c r="C578">
        <v>26392</v>
      </c>
      <c r="E578" s="80">
        <v>45738</v>
      </c>
      <c r="F578">
        <v>1010900</v>
      </c>
      <c r="G578">
        <v>5000</v>
      </c>
    </row>
    <row r="579" spans="1:7" x14ac:dyDescent="0.3">
      <c r="A579" s="80">
        <v>45765</v>
      </c>
      <c r="B579">
        <v>1010100</v>
      </c>
      <c r="C579">
        <v>26392</v>
      </c>
      <c r="E579" s="80">
        <v>45737</v>
      </c>
      <c r="F579">
        <v>1010900</v>
      </c>
      <c r="G579">
        <v>5000</v>
      </c>
    </row>
    <row r="580" spans="1:7" x14ac:dyDescent="0.3">
      <c r="A580" s="80">
        <v>45765</v>
      </c>
      <c r="B580">
        <v>1010100</v>
      </c>
      <c r="C580">
        <v>26392</v>
      </c>
      <c r="E580" s="80">
        <v>45737</v>
      </c>
      <c r="F580">
        <v>1010900</v>
      </c>
      <c r="G580">
        <v>12630</v>
      </c>
    </row>
    <row r="581" spans="1:7" x14ac:dyDescent="0.3">
      <c r="A581" s="80">
        <v>45765</v>
      </c>
      <c r="B581">
        <v>1010100</v>
      </c>
      <c r="C581">
        <v>26932</v>
      </c>
      <c r="E581" s="80">
        <v>45736</v>
      </c>
      <c r="F581">
        <v>1010900</v>
      </c>
      <c r="G581">
        <v>5000</v>
      </c>
    </row>
    <row r="582" spans="1:7" x14ac:dyDescent="0.3">
      <c r="A582" s="80">
        <v>45765</v>
      </c>
      <c r="B582">
        <v>1010100</v>
      </c>
      <c r="C582">
        <v>26392</v>
      </c>
      <c r="E582" s="80">
        <v>45736</v>
      </c>
      <c r="F582">
        <v>1010900</v>
      </c>
      <c r="G582">
        <v>5000</v>
      </c>
    </row>
    <row r="583" spans="1:7" x14ac:dyDescent="0.3">
      <c r="A583" s="80">
        <v>45765</v>
      </c>
      <c r="B583">
        <v>1010100</v>
      </c>
      <c r="C583">
        <v>26392</v>
      </c>
      <c r="E583" s="80">
        <v>45736</v>
      </c>
      <c r="F583">
        <v>1010900</v>
      </c>
      <c r="G583">
        <v>5000</v>
      </c>
    </row>
    <row r="584" spans="1:7" x14ac:dyDescent="0.3">
      <c r="A584" s="80">
        <v>45765</v>
      </c>
      <c r="B584">
        <v>1010100</v>
      </c>
      <c r="C584">
        <v>26392</v>
      </c>
      <c r="E584" s="80">
        <v>45736</v>
      </c>
      <c r="F584">
        <v>1010900</v>
      </c>
      <c r="G584">
        <v>5000</v>
      </c>
    </row>
    <row r="585" spans="1:7" x14ac:dyDescent="0.3">
      <c r="A585" s="80">
        <v>45765</v>
      </c>
      <c r="B585">
        <v>1010100</v>
      </c>
      <c r="C585">
        <v>26932</v>
      </c>
      <c r="E585" s="80">
        <v>45736</v>
      </c>
      <c r="F585">
        <v>1010900</v>
      </c>
      <c r="G585">
        <v>5000</v>
      </c>
    </row>
    <row r="586" spans="1:7" x14ac:dyDescent="0.3">
      <c r="A586" s="80">
        <v>45764</v>
      </c>
      <c r="B586">
        <v>1010100</v>
      </c>
      <c r="C586">
        <v>26392</v>
      </c>
      <c r="E586" s="80">
        <v>45735</v>
      </c>
      <c r="F586">
        <v>1010900</v>
      </c>
      <c r="G586">
        <v>5000</v>
      </c>
    </row>
    <row r="587" spans="1:7" x14ac:dyDescent="0.3">
      <c r="A587" s="80">
        <v>45763</v>
      </c>
      <c r="B587">
        <v>1010100</v>
      </c>
      <c r="C587">
        <v>26392</v>
      </c>
      <c r="E587" s="80">
        <v>45735</v>
      </c>
      <c r="F587">
        <v>1010900</v>
      </c>
      <c r="G587">
        <v>5000</v>
      </c>
    </row>
    <row r="588" spans="1:7" x14ac:dyDescent="0.3">
      <c r="A588" s="80">
        <v>45763</v>
      </c>
      <c r="B588">
        <v>1010100</v>
      </c>
      <c r="C588">
        <v>26932</v>
      </c>
      <c r="E588" s="80">
        <v>45735</v>
      </c>
      <c r="F588">
        <v>1010900</v>
      </c>
      <c r="G588">
        <v>5000</v>
      </c>
    </row>
    <row r="589" spans="1:7" x14ac:dyDescent="0.3">
      <c r="A589" s="80">
        <v>45763</v>
      </c>
      <c r="B589">
        <v>1010100</v>
      </c>
      <c r="C589">
        <v>26932</v>
      </c>
      <c r="E589" s="80">
        <v>45734</v>
      </c>
      <c r="F589">
        <v>1010900</v>
      </c>
      <c r="G589">
        <v>8769</v>
      </c>
    </row>
    <row r="590" spans="1:7" x14ac:dyDescent="0.3">
      <c r="A590" s="80">
        <v>45763</v>
      </c>
      <c r="B590">
        <v>1010100</v>
      </c>
      <c r="C590">
        <v>26392</v>
      </c>
      <c r="E590" s="80">
        <v>45734</v>
      </c>
      <c r="F590">
        <v>1010900</v>
      </c>
      <c r="G590">
        <v>5000</v>
      </c>
    </row>
    <row r="591" spans="1:7" x14ac:dyDescent="0.3">
      <c r="A591" s="80">
        <v>45760</v>
      </c>
      <c r="B591">
        <v>1010100</v>
      </c>
      <c r="C591">
        <v>29990</v>
      </c>
      <c r="E591" s="80">
        <v>45734</v>
      </c>
      <c r="F591">
        <v>1010900</v>
      </c>
      <c r="G591">
        <v>5000</v>
      </c>
    </row>
    <row r="592" spans="1:7" x14ac:dyDescent="0.3">
      <c r="A592" s="80">
        <v>45758</v>
      </c>
      <c r="B592">
        <v>1010100</v>
      </c>
      <c r="C592">
        <v>48990</v>
      </c>
      <c r="E592" s="80">
        <v>45734</v>
      </c>
      <c r="F592">
        <v>1010900</v>
      </c>
      <c r="G592">
        <v>5000</v>
      </c>
    </row>
    <row r="593" spans="1:7" x14ac:dyDescent="0.3">
      <c r="A593" s="80">
        <v>45757</v>
      </c>
      <c r="B593">
        <v>1010100</v>
      </c>
      <c r="C593">
        <v>26932</v>
      </c>
      <c r="E593" s="80">
        <v>45734</v>
      </c>
      <c r="F593">
        <v>1010900</v>
      </c>
      <c r="G593">
        <v>5000</v>
      </c>
    </row>
    <row r="594" spans="1:7" x14ac:dyDescent="0.3">
      <c r="A594" s="80">
        <v>45757</v>
      </c>
      <c r="B594">
        <v>1010100</v>
      </c>
      <c r="C594">
        <v>26932</v>
      </c>
      <c r="E594" s="80">
        <v>45733</v>
      </c>
      <c r="F594">
        <v>1010900</v>
      </c>
      <c r="G594">
        <v>5000</v>
      </c>
    </row>
    <row r="595" spans="1:7" x14ac:dyDescent="0.3">
      <c r="A595" s="80">
        <v>45757</v>
      </c>
      <c r="B595">
        <v>1010100</v>
      </c>
      <c r="C595">
        <v>26932</v>
      </c>
      <c r="E595" s="80">
        <v>45733</v>
      </c>
      <c r="F595">
        <v>1010900</v>
      </c>
      <c r="G595">
        <v>5000</v>
      </c>
    </row>
    <row r="596" spans="1:7" x14ac:dyDescent="0.3">
      <c r="A596" s="80">
        <v>45756</v>
      </c>
      <c r="B596">
        <v>1010100</v>
      </c>
      <c r="C596">
        <v>29990</v>
      </c>
      <c r="E596" s="80">
        <v>45733</v>
      </c>
      <c r="F596">
        <v>1010900</v>
      </c>
      <c r="G596">
        <v>5000</v>
      </c>
    </row>
    <row r="597" spans="1:7" x14ac:dyDescent="0.3">
      <c r="A597" s="80">
        <v>45756</v>
      </c>
      <c r="B597">
        <v>1010100</v>
      </c>
      <c r="C597">
        <v>29990</v>
      </c>
      <c r="E597" s="80">
        <v>45733</v>
      </c>
      <c r="F597">
        <v>1010900</v>
      </c>
      <c r="G597">
        <v>5000</v>
      </c>
    </row>
    <row r="598" spans="1:7" x14ac:dyDescent="0.3">
      <c r="A598" s="80">
        <v>45755</v>
      </c>
      <c r="B598">
        <v>1010100</v>
      </c>
      <c r="C598">
        <v>48990</v>
      </c>
      <c r="E598" s="80">
        <v>45733</v>
      </c>
      <c r="F598">
        <v>1010900</v>
      </c>
      <c r="G598">
        <v>5000</v>
      </c>
    </row>
    <row r="599" spans="1:7" x14ac:dyDescent="0.3">
      <c r="A599" s="80">
        <v>45755</v>
      </c>
      <c r="B599">
        <v>1010100</v>
      </c>
      <c r="C599">
        <v>29990</v>
      </c>
      <c r="E599" s="80">
        <v>45733</v>
      </c>
      <c r="F599">
        <v>1010900</v>
      </c>
      <c r="G599">
        <v>5000</v>
      </c>
    </row>
    <row r="600" spans="1:7" x14ac:dyDescent="0.3">
      <c r="A600" s="80">
        <v>45754</v>
      </c>
      <c r="B600">
        <v>1010100</v>
      </c>
      <c r="C600">
        <v>32990</v>
      </c>
      <c r="E600" s="80">
        <v>45733</v>
      </c>
      <c r="F600">
        <v>1010900</v>
      </c>
      <c r="G600">
        <v>5000</v>
      </c>
    </row>
    <row r="601" spans="1:7" x14ac:dyDescent="0.3">
      <c r="A601" s="80">
        <v>45754</v>
      </c>
      <c r="B601">
        <v>1010100</v>
      </c>
      <c r="C601">
        <v>32990</v>
      </c>
      <c r="E601" s="80">
        <v>45733</v>
      </c>
      <c r="F601">
        <v>1010900</v>
      </c>
      <c r="G601">
        <v>5000</v>
      </c>
    </row>
    <row r="602" spans="1:7" x14ac:dyDescent="0.3">
      <c r="A602" s="80">
        <v>45754</v>
      </c>
      <c r="B602">
        <v>1010100</v>
      </c>
      <c r="C602">
        <v>29990</v>
      </c>
      <c r="E602" s="80">
        <v>45732</v>
      </c>
      <c r="F602">
        <v>1010900</v>
      </c>
      <c r="G602">
        <v>5000</v>
      </c>
    </row>
    <row r="603" spans="1:7" x14ac:dyDescent="0.3">
      <c r="A603" s="80">
        <v>45753</v>
      </c>
      <c r="B603">
        <v>1010100</v>
      </c>
      <c r="C603">
        <v>23093</v>
      </c>
      <c r="E603" s="80">
        <v>45732</v>
      </c>
      <c r="F603">
        <v>1010900</v>
      </c>
      <c r="G603">
        <v>5000</v>
      </c>
    </row>
    <row r="604" spans="1:7" x14ac:dyDescent="0.3">
      <c r="A604" s="80">
        <v>45753</v>
      </c>
      <c r="B604">
        <v>1010100</v>
      </c>
      <c r="C604">
        <v>23093</v>
      </c>
      <c r="E604" s="80">
        <v>45731</v>
      </c>
      <c r="F604">
        <v>1010900</v>
      </c>
      <c r="G604">
        <v>5000</v>
      </c>
    </row>
    <row r="605" spans="1:7" x14ac:dyDescent="0.3">
      <c r="A605" s="80">
        <v>45753</v>
      </c>
      <c r="B605">
        <v>1010100</v>
      </c>
      <c r="C605">
        <v>23093</v>
      </c>
      <c r="E605" s="80">
        <v>45731</v>
      </c>
      <c r="F605">
        <v>1010900</v>
      </c>
      <c r="G605">
        <v>2630</v>
      </c>
    </row>
    <row r="606" spans="1:7" x14ac:dyDescent="0.3">
      <c r="A606" s="80">
        <v>45753</v>
      </c>
      <c r="B606">
        <v>1010100</v>
      </c>
      <c r="C606">
        <v>48990</v>
      </c>
      <c r="E606" s="80">
        <v>45731</v>
      </c>
      <c r="F606">
        <v>1010900</v>
      </c>
      <c r="G606">
        <v>5000</v>
      </c>
    </row>
    <row r="607" spans="1:7" x14ac:dyDescent="0.3">
      <c r="A607" s="80">
        <v>45753</v>
      </c>
      <c r="B607">
        <v>1010100</v>
      </c>
      <c r="C607">
        <v>29990</v>
      </c>
      <c r="E607" s="80">
        <v>45730</v>
      </c>
      <c r="F607">
        <v>1010900</v>
      </c>
      <c r="G607">
        <v>5000</v>
      </c>
    </row>
    <row r="608" spans="1:7" x14ac:dyDescent="0.3">
      <c r="A608" s="80">
        <v>45752</v>
      </c>
      <c r="B608">
        <v>1010100</v>
      </c>
      <c r="C608">
        <v>48990</v>
      </c>
      <c r="E608" s="80">
        <v>45730</v>
      </c>
      <c r="F608">
        <v>1010900</v>
      </c>
      <c r="G608">
        <v>5000</v>
      </c>
    </row>
    <row r="609" spans="1:7" x14ac:dyDescent="0.3">
      <c r="A609" s="80">
        <v>45752</v>
      </c>
      <c r="B609">
        <v>1010100</v>
      </c>
      <c r="C609">
        <v>20293</v>
      </c>
      <c r="E609" s="80">
        <v>45730</v>
      </c>
      <c r="F609">
        <v>1010900</v>
      </c>
      <c r="G609">
        <v>5000</v>
      </c>
    </row>
    <row r="610" spans="1:7" x14ac:dyDescent="0.3">
      <c r="A610" s="80">
        <v>45752</v>
      </c>
      <c r="B610">
        <v>1010100</v>
      </c>
      <c r="C610">
        <v>26392</v>
      </c>
      <c r="E610" s="80">
        <v>45729</v>
      </c>
      <c r="F610">
        <v>1010900</v>
      </c>
      <c r="G610">
        <v>5000</v>
      </c>
    </row>
    <row r="611" spans="1:7" x14ac:dyDescent="0.3">
      <c r="A611" s="80">
        <v>45752</v>
      </c>
      <c r="B611">
        <v>1010100</v>
      </c>
      <c r="C611">
        <v>23093</v>
      </c>
      <c r="E611" s="80">
        <v>45728</v>
      </c>
      <c r="F611">
        <v>1010900</v>
      </c>
      <c r="G611">
        <v>5000</v>
      </c>
    </row>
    <row r="612" spans="1:7" x14ac:dyDescent="0.3">
      <c r="A612" s="80">
        <v>45752</v>
      </c>
      <c r="B612">
        <v>1010100</v>
      </c>
      <c r="C612">
        <v>48990</v>
      </c>
      <c r="E612" s="80">
        <v>45728</v>
      </c>
      <c r="F612">
        <v>1010900</v>
      </c>
      <c r="G612">
        <v>5000</v>
      </c>
    </row>
    <row r="613" spans="1:7" x14ac:dyDescent="0.3">
      <c r="A613" s="80">
        <v>45752</v>
      </c>
      <c r="B613">
        <v>1010100</v>
      </c>
      <c r="C613">
        <v>23093</v>
      </c>
      <c r="E613" s="80">
        <v>45727</v>
      </c>
      <c r="F613">
        <v>1010900</v>
      </c>
      <c r="G613">
        <v>5000</v>
      </c>
    </row>
    <row r="614" spans="1:7" x14ac:dyDescent="0.3">
      <c r="A614" s="80">
        <v>45751</v>
      </c>
      <c r="B614">
        <v>1010100</v>
      </c>
      <c r="C614">
        <v>7992</v>
      </c>
      <c r="E614" s="80">
        <v>45727</v>
      </c>
      <c r="F614">
        <v>1010900</v>
      </c>
      <c r="G614">
        <v>5000</v>
      </c>
    </row>
    <row r="615" spans="1:7" x14ac:dyDescent="0.3">
      <c r="A615" s="80">
        <v>45751</v>
      </c>
      <c r="B615">
        <v>1010100</v>
      </c>
      <c r="C615">
        <v>7992</v>
      </c>
      <c r="E615" s="80">
        <v>45727</v>
      </c>
      <c r="F615">
        <v>1010900</v>
      </c>
      <c r="G615">
        <v>17538</v>
      </c>
    </row>
    <row r="616" spans="1:7" x14ac:dyDescent="0.3">
      <c r="A616" s="80">
        <v>45751</v>
      </c>
      <c r="B616">
        <v>1010100</v>
      </c>
      <c r="C616">
        <v>23093</v>
      </c>
      <c r="E616" s="80">
        <v>45727</v>
      </c>
      <c r="F616">
        <v>1010900</v>
      </c>
      <c r="G616">
        <v>5000</v>
      </c>
    </row>
    <row r="617" spans="1:7" x14ac:dyDescent="0.3">
      <c r="A617" s="80">
        <v>45751</v>
      </c>
      <c r="B617">
        <v>1010100</v>
      </c>
      <c r="C617">
        <v>23093</v>
      </c>
      <c r="E617" s="80">
        <v>45727</v>
      </c>
      <c r="F617">
        <v>1010900</v>
      </c>
      <c r="G617">
        <v>10000</v>
      </c>
    </row>
    <row r="618" spans="1:7" x14ac:dyDescent="0.3">
      <c r="A618" s="80">
        <v>45751</v>
      </c>
      <c r="B618">
        <v>1010100</v>
      </c>
      <c r="C618">
        <v>23093</v>
      </c>
      <c r="E618" s="80">
        <v>45726</v>
      </c>
      <c r="F618">
        <v>1010900</v>
      </c>
      <c r="G618">
        <v>8769</v>
      </c>
    </row>
    <row r="619" spans="1:7" x14ac:dyDescent="0.3">
      <c r="A619" s="80">
        <v>45751</v>
      </c>
      <c r="B619">
        <v>1010100</v>
      </c>
      <c r="C619">
        <v>23093</v>
      </c>
      <c r="E619" s="80">
        <v>45726</v>
      </c>
      <c r="F619">
        <v>1010900</v>
      </c>
      <c r="G619">
        <v>5000</v>
      </c>
    </row>
    <row r="620" spans="1:7" x14ac:dyDescent="0.3">
      <c r="A620" s="80">
        <v>45751</v>
      </c>
      <c r="B620">
        <v>1010100</v>
      </c>
      <c r="C620">
        <v>23093</v>
      </c>
      <c r="E620" s="80">
        <v>45726</v>
      </c>
      <c r="F620">
        <v>1010900</v>
      </c>
      <c r="G620">
        <v>5000</v>
      </c>
    </row>
    <row r="621" spans="1:7" x14ac:dyDescent="0.3">
      <c r="A621" s="80">
        <v>45751</v>
      </c>
      <c r="B621">
        <v>1010100</v>
      </c>
      <c r="C621">
        <v>23093</v>
      </c>
      <c r="E621" s="80">
        <v>45726</v>
      </c>
      <c r="F621">
        <v>1010900</v>
      </c>
      <c r="G621">
        <v>5000</v>
      </c>
    </row>
    <row r="622" spans="1:7" x14ac:dyDescent="0.3">
      <c r="A622" s="80">
        <v>45751</v>
      </c>
      <c r="B622">
        <v>1010100</v>
      </c>
      <c r="C622">
        <v>23093</v>
      </c>
      <c r="E622" s="80">
        <v>45726</v>
      </c>
      <c r="F622">
        <v>1010900</v>
      </c>
      <c r="G622">
        <v>5000</v>
      </c>
    </row>
    <row r="623" spans="1:7" x14ac:dyDescent="0.3">
      <c r="A623" s="80">
        <v>45750</v>
      </c>
      <c r="B623">
        <v>1010100</v>
      </c>
      <c r="C623">
        <v>23093</v>
      </c>
      <c r="E623" s="80">
        <v>45725</v>
      </c>
      <c r="F623">
        <v>1010900</v>
      </c>
      <c r="G623">
        <v>5000</v>
      </c>
    </row>
    <row r="624" spans="1:7" x14ac:dyDescent="0.3">
      <c r="A624" s="80">
        <v>45750</v>
      </c>
      <c r="B624">
        <v>1010100</v>
      </c>
      <c r="C624">
        <v>48990</v>
      </c>
      <c r="E624" s="80">
        <v>45725</v>
      </c>
      <c r="F624">
        <v>1010900</v>
      </c>
      <c r="G624">
        <v>5000</v>
      </c>
    </row>
    <row r="625" spans="1:7" x14ac:dyDescent="0.3">
      <c r="A625" s="80">
        <v>45750</v>
      </c>
      <c r="B625">
        <v>1010100</v>
      </c>
      <c r="C625">
        <v>29990</v>
      </c>
      <c r="E625" s="80">
        <v>45725</v>
      </c>
      <c r="F625">
        <v>1010900</v>
      </c>
      <c r="G625">
        <v>5000</v>
      </c>
    </row>
    <row r="626" spans="1:7" x14ac:dyDescent="0.3">
      <c r="A626" s="80">
        <v>45750</v>
      </c>
      <c r="B626">
        <v>1010100</v>
      </c>
      <c r="C626">
        <v>29990</v>
      </c>
      <c r="E626" s="80">
        <v>45725</v>
      </c>
      <c r="F626">
        <v>1010900</v>
      </c>
      <c r="G626">
        <v>2630</v>
      </c>
    </row>
    <row r="627" spans="1:7" x14ac:dyDescent="0.3">
      <c r="A627" s="80">
        <v>45750</v>
      </c>
      <c r="B627">
        <v>1010100</v>
      </c>
      <c r="C627">
        <v>23093</v>
      </c>
      <c r="E627" s="80">
        <v>45725</v>
      </c>
      <c r="F627">
        <v>1010900</v>
      </c>
      <c r="G627">
        <v>5000</v>
      </c>
    </row>
    <row r="628" spans="1:7" x14ac:dyDescent="0.3">
      <c r="A628" s="80">
        <v>45750</v>
      </c>
      <c r="B628">
        <v>1010100</v>
      </c>
      <c r="C628">
        <v>23093</v>
      </c>
      <c r="E628" s="80">
        <v>45725</v>
      </c>
      <c r="F628">
        <v>1010900</v>
      </c>
      <c r="G628">
        <v>5000</v>
      </c>
    </row>
    <row r="629" spans="1:7" x14ac:dyDescent="0.3">
      <c r="A629" s="80">
        <v>45749</v>
      </c>
      <c r="B629">
        <v>1010100</v>
      </c>
      <c r="C629">
        <v>23093</v>
      </c>
      <c r="E629" s="80">
        <v>45725</v>
      </c>
      <c r="F629">
        <v>1010900</v>
      </c>
      <c r="G629">
        <v>5000</v>
      </c>
    </row>
    <row r="630" spans="1:7" x14ac:dyDescent="0.3">
      <c r="A630" s="80">
        <v>45749</v>
      </c>
      <c r="B630">
        <v>1010100</v>
      </c>
      <c r="C630">
        <v>23093</v>
      </c>
      <c r="E630" s="80">
        <v>45725</v>
      </c>
      <c r="F630">
        <v>1010900</v>
      </c>
      <c r="G630">
        <v>5000</v>
      </c>
    </row>
    <row r="631" spans="1:7" x14ac:dyDescent="0.3">
      <c r="A631" s="80">
        <v>45749</v>
      </c>
      <c r="B631">
        <v>1010100</v>
      </c>
      <c r="C631">
        <v>23093</v>
      </c>
      <c r="E631" s="80">
        <v>45725</v>
      </c>
      <c r="F631">
        <v>1010900</v>
      </c>
      <c r="G631">
        <v>5000</v>
      </c>
    </row>
    <row r="632" spans="1:7" x14ac:dyDescent="0.3">
      <c r="A632" s="80">
        <v>45749</v>
      </c>
      <c r="B632">
        <v>1010100</v>
      </c>
      <c r="C632">
        <v>23093</v>
      </c>
      <c r="E632" s="80">
        <v>45725</v>
      </c>
      <c r="F632">
        <v>1010900</v>
      </c>
      <c r="G632">
        <v>5000</v>
      </c>
    </row>
    <row r="633" spans="1:7" x14ac:dyDescent="0.3">
      <c r="A633" s="80">
        <v>45749</v>
      </c>
      <c r="B633">
        <v>1010100</v>
      </c>
      <c r="C633">
        <v>23093</v>
      </c>
      <c r="E633" s="80">
        <v>45724</v>
      </c>
      <c r="F633">
        <v>1010900</v>
      </c>
      <c r="G633">
        <v>5000</v>
      </c>
    </row>
    <row r="634" spans="1:7" x14ac:dyDescent="0.3">
      <c r="A634" s="80">
        <v>45749</v>
      </c>
      <c r="B634">
        <v>1010100</v>
      </c>
      <c r="C634">
        <v>23093</v>
      </c>
      <c r="E634" s="80">
        <v>45724</v>
      </c>
      <c r="F634">
        <v>1010900</v>
      </c>
      <c r="G634">
        <v>5000</v>
      </c>
    </row>
    <row r="635" spans="1:7" x14ac:dyDescent="0.3">
      <c r="A635" s="80">
        <v>45749</v>
      </c>
      <c r="B635">
        <v>1010100</v>
      </c>
      <c r="C635">
        <v>48990</v>
      </c>
      <c r="E635" s="80">
        <v>45723</v>
      </c>
      <c r="F635">
        <v>1010900</v>
      </c>
      <c r="G635">
        <v>5000</v>
      </c>
    </row>
    <row r="636" spans="1:7" x14ac:dyDescent="0.3">
      <c r="A636" s="80">
        <v>45748</v>
      </c>
      <c r="B636">
        <v>1010100</v>
      </c>
      <c r="C636">
        <v>25491</v>
      </c>
      <c r="E636" s="80">
        <v>45723</v>
      </c>
      <c r="F636">
        <v>1010900</v>
      </c>
      <c r="G636">
        <v>5000</v>
      </c>
    </row>
    <row r="637" spans="1:7" x14ac:dyDescent="0.3">
      <c r="A637" s="80">
        <v>45748</v>
      </c>
      <c r="B637">
        <v>1010100</v>
      </c>
      <c r="C637">
        <v>26392</v>
      </c>
      <c r="E637" s="80">
        <v>45723</v>
      </c>
      <c r="F637">
        <v>1010900</v>
      </c>
      <c r="G637">
        <v>5000</v>
      </c>
    </row>
    <row r="638" spans="1:7" x14ac:dyDescent="0.3">
      <c r="A638" s="80">
        <v>45748</v>
      </c>
      <c r="B638">
        <v>1010100</v>
      </c>
      <c r="C638">
        <v>20293</v>
      </c>
      <c r="E638" s="80">
        <v>45723</v>
      </c>
      <c r="F638">
        <v>1010900</v>
      </c>
      <c r="G638">
        <v>5000</v>
      </c>
    </row>
    <row r="639" spans="1:7" x14ac:dyDescent="0.3">
      <c r="A639" s="80">
        <v>45747</v>
      </c>
      <c r="B639">
        <v>1010100</v>
      </c>
      <c r="C639">
        <v>29990</v>
      </c>
      <c r="E639" s="80">
        <v>45722</v>
      </c>
      <c r="F639">
        <v>1010900</v>
      </c>
      <c r="G639">
        <v>5000</v>
      </c>
    </row>
    <row r="640" spans="1:7" x14ac:dyDescent="0.3">
      <c r="A640" s="80">
        <v>45747</v>
      </c>
      <c r="B640">
        <v>1010100</v>
      </c>
      <c r="C640">
        <v>23093</v>
      </c>
      <c r="E640" s="80">
        <v>45722</v>
      </c>
      <c r="F640">
        <v>1010900</v>
      </c>
      <c r="G640">
        <v>5000</v>
      </c>
    </row>
    <row r="641" spans="1:7" x14ac:dyDescent="0.3">
      <c r="A641" s="80">
        <v>45747</v>
      </c>
      <c r="B641">
        <v>1010100</v>
      </c>
      <c r="C641">
        <v>29990</v>
      </c>
      <c r="E641" s="80">
        <v>45722</v>
      </c>
      <c r="F641">
        <v>1010900</v>
      </c>
      <c r="G641">
        <v>5000</v>
      </c>
    </row>
    <row r="642" spans="1:7" x14ac:dyDescent="0.3">
      <c r="A642" s="80">
        <v>45747</v>
      </c>
      <c r="B642">
        <v>1010100</v>
      </c>
      <c r="C642">
        <v>29990</v>
      </c>
      <c r="E642" s="80">
        <v>45722</v>
      </c>
      <c r="F642">
        <v>1010900</v>
      </c>
      <c r="G642">
        <v>5000</v>
      </c>
    </row>
    <row r="643" spans="1:7" x14ac:dyDescent="0.3">
      <c r="A643" s="80">
        <v>45747</v>
      </c>
      <c r="B643">
        <v>1010100</v>
      </c>
      <c r="C643">
        <v>23093</v>
      </c>
      <c r="E643" s="80">
        <v>45721</v>
      </c>
      <c r="F643">
        <v>1010900</v>
      </c>
      <c r="G643">
        <v>5000</v>
      </c>
    </row>
    <row r="644" spans="1:7" x14ac:dyDescent="0.3">
      <c r="A644" s="80">
        <v>45747</v>
      </c>
      <c r="B644">
        <v>1010100</v>
      </c>
      <c r="C644">
        <v>29990</v>
      </c>
      <c r="E644" s="80">
        <v>45721</v>
      </c>
      <c r="F644">
        <v>1010900</v>
      </c>
      <c r="G644">
        <v>5000</v>
      </c>
    </row>
    <row r="645" spans="1:7" x14ac:dyDescent="0.3">
      <c r="A645" s="80">
        <v>45747</v>
      </c>
      <c r="B645">
        <v>1010100</v>
      </c>
      <c r="C645">
        <v>26392</v>
      </c>
      <c r="E645" s="80">
        <v>45721</v>
      </c>
      <c r="F645">
        <v>1010900</v>
      </c>
      <c r="G645">
        <v>5000</v>
      </c>
    </row>
    <row r="646" spans="1:7" x14ac:dyDescent="0.3">
      <c r="A646" s="80">
        <v>45747</v>
      </c>
      <c r="B646">
        <v>1010100</v>
      </c>
      <c r="C646">
        <v>26392</v>
      </c>
      <c r="E646" s="80">
        <v>45720</v>
      </c>
      <c r="F646">
        <v>1010900</v>
      </c>
      <c r="G646">
        <v>5000</v>
      </c>
    </row>
    <row r="647" spans="1:7" x14ac:dyDescent="0.3">
      <c r="A647" s="80">
        <v>45746</v>
      </c>
      <c r="B647">
        <v>1010100</v>
      </c>
      <c r="C647">
        <v>48990</v>
      </c>
      <c r="E647" s="80">
        <v>45720</v>
      </c>
      <c r="F647">
        <v>1010900</v>
      </c>
      <c r="G647">
        <v>5000</v>
      </c>
    </row>
    <row r="648" spans="1:7" x14ac:dyDescent="0.3">
      <c r="A648" s="80">
        <v>45746</v>
      </c>
      <c r="B648">
        <v>1010100</v>
      </c>
      <c r="C648">
        <v>26392</v>
      </c>
      <c r="E648" s="80">
        <v>45720</v>
      </c>
      <c r="F648">
        <v>1010900</v>
      </c>
      <c r="G648">
        <v>8769</v>
      </c>
    </row>
    <row r="649" spans="1:7" x14ac:dyDescent="0.3">
      <c r="A649" s="80">
        <v>45746</v>
      </c>
      <c r="B649">
        <v>1010100</v>
      </c>
      <c r="C649">
        <v>26392</v>
      </c>
      <c r="E649" s="80">
        <v>45720</v>
      </c>
      <c r="F649">
        <v>1010900</v>
      </c>
      <c r="G649">
        <v>5000</v>
      </c>
    </row>
    <row r="650" spans="1:7" x14ac:dyDescent="0.3">
      <c r="A650" s="80">
        <v>45746</v>
      </c>
      <c r="B650">
        <v>1010100</v>
      </c>
      <c r="C650">
        <v>26392</v>
      </c>
      <c r="E650" s="80">
        <v>45719</v>
      </c>
      <c r="F650">
        <v>1010900</v>
      </c>
      <c r="G650">
        <v>5000</v>
      </c>
    </row>
    <row r="651" spans="1:7" x14ac:dyDescent="0.3">
      <c r="A651" s="80">
        <v>45746</v>
      </c>
      <c r="B651">
        <v>1010100</v>
      </c>
      <c r="C651">
        <v>48990</v>
      </c>
      <c r="E651" s="80">
        <v>45719</v>
      </c>
      <c r="F651">
        <v>1010900</v>
      </c>
      <c r="G651">
        <v>10000</v>
      </c>
    </row>
    <row r="652" spans="1:7" x14ac:dyDescent="0.3">
      <c r="A652" s="80">
        <v>45745</v>
      </c>
      <c r="B652">
        <v>1010100</v>
      </c>
      <c r="C652">
        <v>29990</v>
      </c>
      <c r="E652" s="80">
        <v>45719</v>
      </c>
      <c r="F652">
        <v>1010900</v>
      </c>
      <c r="G652">
        <v>5000</v>
      </c>
    </row>
    <row r="653" spans="1:7" x14ac:dyDescent="0.3">
      <c r="A653" s="80">
        <v>45745</v>
      </c>
      <c r="B653">
        <v>1010100</v>
      </c>
      <c r="C653">
        <v>29990</v>
      </c>
      <c r="E653" s="80">
        <v>45719</v>
      </c>
      <c r="F653">
        <v>1010900</v>
      </c>
      <c r="G653">
        <v>5000</v>
      </c>
    </row>
    <row r="654" spans="1:7" x14ac:dyDescent="0.3">
      <c r="A654" s="80">
        <v>45744</v>
      </c>
      <c r="B654">
        <v>1010100</v>
      </c>
      <c r="C654">
        <v>29990</v>
      </c>
      <c r="E654" s="80">
        <v>45718</v>
      </c>
      <c r="F654">
        <v>1010900</v>
      </c>
      <c r="G654">
        <v>5000</v>
      </c>
    </row>
    <row r="655" spans="1:7" x14ac:dyDescent="0.3">
      <c r="A655" s="80">
        <v>45744</v>
      </c>
      <c r="B655">
        <v>1010100</v>
      </c>
      <c r="C655">
        <v>29990</v>
      </c>
      <c r="E655" s="80">
        <v>45718</v>
      </c>
      <c r="F655">
        <v>1010900</v>
      </c>
      <c r="G655">
        <v>5000</v>
      </c>
    </row>
    <row r="656" spans="1:7" x14ac:dyDescent="0.3">
      <c r="A656" s="80">
        <v>45744</v>
      </c>
      <c r="B656">
        <v>1010100</v>
      </c>
      <c r="C656">
        <v>29990</v>
      </c>
      <c r="E656" s="80">
        <v>45718</v>
      </c>
      <c r="F656">
        <v>1010900</v>
      </c>
      <c r="G656">
        <v>5000</v>
      </c>
    </row>
    <row r="657" spans="1:7" x14ac:dyDescent="0.3">
      <c r="A657" s="80">
        <v>45743</v>
      </c>
      <c r="B657">
        <v>1010100</v>
      </c>
      <c r="C657">
        <v>29990</v>
      </c>
      <c r="E657" s="80">
        <v>45718</v>
      </c>
      <c r="F657">
        <v>1010900</v>
      </c>
      <c r="G657">
        <v>8769</v>
      </c>
    </row>
    <row r="658" spans="1:7" x14ac:dyDescent="0.3">
      <c r="A658" s="80">
        <v>45743</v>
      </c>
      <c r="B658">
        <v>1010100</v>
      </c>
      <c r="C658">
        <v>29990</v>
      </c>
      <c r="E658" s="80">
        <v>45718</v>
      </c>
      <c r="F658">
        <v>1010900</v>
      </c>
      <c r="G658">
        <v>5000</v>
      </c>
    </row>
    <row r="659" spans="1:7" x14ac:dyDescent="0.3">
      <c r="A659" s="80">
        <v>45743</v>
      </c>
      <c r="B659">
        <v>1010100</v>
      </c>
      <c r="C659">
        <v>9990</v>
      </c>
      <c r="E659" s="80">
        <v>45718</v>
      </c>
      <c r="F659">
        <v>1010900</v>
      </c>
      <c r="G659">
        <v>5000</v>
      </c>
    </row>
    <row r="660" spans="1:7" x14ac:dyDescent="0.3">
      <c r="A660" s="80">
        <v>45743</v>
      </c>
      <c r="B660">
        <v>1010100</v>
      </c>
      <c r="C660">
        <v>24990</v>
      </c>
      <c r="E660" s="80">
        <v>45718</v>
      </c>
      <c r="F660">
        <v>1010900</v>
      </c>
      <c r="G660">
        <v>8769</v>
      </c>
    </row>
    <row r="661" spans="1:7" x14ac:dyDescent="0.3">
      <c r="A661" s="80">
        <v>45743</v>
      </c>
      <c r="B661">
        <v>1010100</v>
      </c>
      <c r="C661">
        <v>29990</v>
      </c>
      <c r="E661" s="80">
        <v>45718</v>
      </c>
      <c r="F661">
        <v>1010900</v>
      </c>
      <c r="G661">
        <v>5000</v>
      </c>
    </row>
    <row r="662" spans="1:7" x14ac:dyDescent="0.3">
      <c r="A662" s="80">
        <v>45743</v>
      </c>
      <c r="B662">
        <v>1010100</v>
      </c>
      <c r="C662">
        <v>29990</v>
      </c>
      <c r="E662" s="80">
        <v>45718</v>
      </c>
      <c r="F662">
        <v>1010900</v>
      </c>
      <c r="G662">
        <v>2630</v>
      </c>
    </row>
    <row r="663" spans="1:7" x14ac:dyDescent="0.3">
      <c r="A663" s="80">
        <v>45743</v>
      </c>
      <c r="B663">
        <v>1010100</v>
      </c>
      <c r="C663">
        <v>29990</v>
      </c>
      <c r="E663" s="80">
        <v>45718</v>
      </c>
      <c r="F663">
        <v>1010900</v>
      </c>
      <c r="G663">
        <v>5000</v>
      </c>
    </row>
    <row r="664" spans="1:7" x14ac:dyDescent="0.3">
      <c r="A664" s="80">
        <v>45740</v>
      </c>
      <c r="B664">
        <v>1010100</v>
      </c>
      <c r="C664">
        <v>59980</v>
      </c>
      <c r="E664" s="80">
        <v>45717</v>
      </c>
      <c r="F664">
        <v>1010900</v>
      </c>
      <c r="G664">
        <v>5000</v>
      </c>
    </row>
    <row r="665" spans="1:7" x14ac:dyDescent="0.3">
      <c r="A665" s="80">
        <v>45740</v>
      </c>
      <c r="B665">
        <v>1010100</v>
      </c>
      <c r="C665">
        <v>29990</v>
      </c>
      <c r="E665" s="80">
        <v>45717</v>
      </c>
      <c r="F665">
        <v>1010900</v>
      </c>
      <c r="G665">
        <v>5000</v>
      </c>
    </row>
    <row r="666" spans="1:7" x14ac:dyDescent="0.3">
      <c r="A666" s="80">
        <v>45739</v>
      </c>
      <c r="B666">
        <v>1010100</v>
      </c>
      <c r="C666">
        <v>29990</v>
      </c>
      <c r="E666" s="80">
        <v>45717</v>
      </c>
      <c r="F666">
        <v>1010900</v>
      </c>
      <c r="G666">
        <v>5000</v>
      </c>
    </row>
    <row r="667" spans="1:7" x14ac:dyDescent="0.3">
      <c r="A667" s="80">
        <v>45739</v>
      </c>
      <c r="B667">
        <v>1010100</v>
      </c>
      <c r="C667">
        <v>9990</v>
      </c>
      <c r="E667" s="80">
        <v>45717</v>
      </c>
      <c r="F667">
        <v>1010900</v>
      </c>
      <c r="G667">
        <v>5000</v>
      </c>
    </row>
    <row r="668" spans="1:7" x14ac:dyDescent="0.3">
      <c r="A668" s="80">
        <v>45739</v>
      </c>
      <c r="B668">
        <v>1010100</v>
      </c>
      <c r="C668">
        <v>29990</v>
      </c>
      <c r="E668" s="80">
        <v>45717</v>
      </c>
      <c r="F668">
        <v>1010900</v>
      </c>
      <c r="G668">
        <v>5000</v>
      </c>
    </row>
    <row r="669" spans="1:7" x14ac:dyDescent="0.3">
      <c r="A669" s="80">
        <v>45738</v>
      </c>
      <c r="B669">
        <v>1010100</v>
      </c>
      <c r="C669">
        <v>29990</v>
      </c>
      <c r="E669" s="80">
        <v>45717</v>
      </c>
      <c r="F669">
        <v>1010900</v>
      </c>
      <c r="G669">
        <v>5000</v>
      </c>
    </row>
    <row r="670" spans="1:7" x14ac:dyDescent="0.3">
      <c r="A670" s="80">
        <v>45738</v>
      </c>
      <c r="B670">
        <v>1010100</v>
      </c>
      <c r="C670">
        <v>29990</v>
      </c>
      <c r="E670" s="80">
        <v>45717</v>
      </c>
      <c r="F670">
        <v>1010900</v>
      </c>
      <c r="G670">
        <v>5000</v>
      </c>
    </row>
    <row r="671" spans="1:7" x14ac:dyDescent="0.3">
      <c r="A671" s="80">
        <v>45737</v>
      </c>
      <c r="B671">
        <v>1010100</v>
      </c>
      <c r="C671">
        <v>29990</v>
      </c>
      <c r="E671" s="80">
        <v>45717</v>
      </c>
      <c r="F671">
        <v>1010900</v>
      </c>
      <c r="G671">
        <v>5000</v>
      </c>
    </row>
    <row r="672" spans="1:7" x14ac:dyDescent="0.3">
      <c r="A672" s="80">
        <v>45737</v>
      </c>
      <c r="B672">
        <v>1010100</v>
      </c>
      <c r="C672">
        <v>48990</v>
      </c>
      <c r="E672" s="80">
        <v>45716</v>
      </c>
      <c r="F672">
        <v>1010900</v>
      </c>
      <c r="G672">
        <v>5000</v>
      </c>
    </row>
    <row r="673" spans="1:7" x14ac:dyDescent="0.3">
      <c r="A673" s="80">
        <v>45736</v>
      </c>
      <c r="B673">
        <v>1010100</v>
      </c>
      <c r="C673">
        <v>29990</v>
      </c>
      <c r="E673" s="80">
        <v>45716</v>
      </c>
      <c r="F673">
        <v>1010900</v>
      </c>
      <c r="G673">
        <v>5000</v>
      </c>
    </row>
    <row r="674" spans="1:7" x14ac:dyDescent="0.3">
      <c r="A674" s="80">
        <v>45736</v>
      </c>
      <c r="B674">
        <v>1010100</v>
      </c>
      <c r="C674">
        <v>29990</v>
      </c>
      <c r="E674" s="80">
        <v>45716</v>
      </c>
      <c r="F674">
        <v>1010900</v>
      </c>
      <c r="G674">
        <v>8769</v>
      </c>
    </row>
    <row r="675" spans="1:7" x14ac:dyDescent="0.3">
      <c r="A675" s="80">
        <v>45736</v>
      </c>
      <c r="B675">
        <v>1010100</v>
      </c>
      <c r="C675">
        <v>29990</v>
      </c>
      <c r="E675" s="80">
        <v>45716</v>
      </c>
      <c r="F675">
        <v>1010900</v>
      </c>
      <c r="G675">
        <v>5000</v>
      </c>
    </row>
    <row r="676" spans="1:7" x14ac:dyDescent="0.3">
      <c r="A676" s="80">
        <v>45736</v>
      </c>
      <c r="B676">
        <v>1010100</v>
      </c>
      <c r="C676">
        <v>29990</v>
      </c>
      <c r="E676" s="80">
        <v>45716</v>
      </c>
      <c r="F676">
        <v>1010900</v>
      </c>
      <c r="G676">
        <v>5000</v>
      </c>
    </row>
    <row r="677" spans="1:7" x14ac:dyDescent="0.3">
      <c r="A677" s="80">
        <v>45736</v>
      </c>
      <c r="B677">
        <v>1010100</v>
      </c>
      <c r="C677">
        <v>29990</v>
      </c>
      <c r="E677" s="80">
        <v>45716</v>
      </c>
      <c r="F677">
        <v>1010900</v>
      </c>
      <c r="G677">
        <v>500</v>
      </c>
    </row>
    <row r="678" spans="1:7" x14ac:dyDescent="0.3">
      <c r="A678" s="80">
        <v>45735</v>
      </c>
      <c r="B678">
        <v>1010100</v>
      </c>
      <c r="C678">
        <v>29990</v>
      </c>
      <c r="E678" s="80">
        <v>45716</v>
      </c>
      <c r="F678">
        <v>1010900</v>
      </c>
      <c r="G678">
        <v>5000</v>
      </c>
    </row>
    <row r="679" spans="1:7" x14ac:dyDescent="0.3">
      <c r="A679" s="80">
        <v>45735</v>
      </c>
      <c r="B679">
        <v>1010100</v>
      </c>
      <c r="C679">
        <v>29990</v>
      </c>
      <c r="E679" s="80">
        <v>45716</v>
      </c>
      <c r="F679">
        <v>1010900</v>
      </c>
      <c r="G679">
        <v>5000</v>
      </c>
    </row>
    <row r="680" spans="1:7" x14ac:dyDescent="0.3">
      <c r="A680" s="80">
        <v>45735</v>
      </c>
      <c r="B680">
        <v>1010100</v>
      </c>
      <c r="C680">
        <v>29990</v>
      </c>
      <c r="E680" s="80">
        <v>45715</v>
      </c>
      <c r="F680">
        <v>1010900</v>
      </c>
      <c r="G680">
        <v>8769</v>
      </c>
    </row>
    <row r="681" spans="1:7" x14ac:dyDescent="0.3">
      <c r="A681" s="80">
        <v>45734</v>
      </c>
      <c r="B681">
        <v>1010100</v>
      </c>
      <c r="C681">
        <v>21740</v>
      </c>
      <c r="E681" s="80">
        <v>45715</v>
      </c>
      <c r="F681">
        <v>1010900</v>
      </c>
      <c r="G681">
        <v>5000</v>
      </c>
    </row>
    <row r="682" spans="1:7" x14ac:dyDescent="0.3">
      <c r="A682" s="80">
        <v>45734</v>
      </c>
      <c r="B682">
        <v>1010100</v>
      </c>
      <c r="C682">
        <v>26991</v>
      </c>
      <c r="E682" s="80">
        <v>45715</v>
      </c>
      <c r="F682">
        <v>1010900</v>
      </c>
      <c r="G682">
        <v>5000</v>
      </c>
    </row>
    <row r="683" spans="1:7" x14ac:dyDescent="0.3">
      <c r="A683" s="80">
        <v>45734</v>
      </c>
      <c r="B683">
        <v>1010100</v>
      </c>
      <c r="C683">
        <v>29990</v>
      </c>
      <c r="E683" s="80">
        <v>45715</v>
      </c>
      <c r="F683">
        <v>1010900</v>
      </c>
      <c r="G683">
        <v>5000</v>
      </c>
    </row>
    <row r="684" spans="1:7" x14ac:dyDescent="0.3">
      <c r="A684" s="80">
        <v>45734</v>
      </c>
      <c r="B684">
        <v>1010100</v>
      </c>
      <c r="C684">
        <v>29990</v>
      </c>
      <c r="E684" s="80">
        <v>45714</v>
      </c>
      <c r="F684">
        <v>1010900</v>
      </c>
      <c r="G684">
        <v>5000</v>
      </c>
    </row>
    <row r="685" spans="1:7" x14ac:dyDescent="0.3">
      <c r="A685" s="80">
        <v>45734</v>
      </c>
      <c r="B685">
        <v>1010100</v>
      </c>
      <c r="C685">
        <v>29990</v>
      </c>
      <c r="E685" s="80">
        <v>45714</v>
      </c>
      <c r="F685">
        <v>1010900</v>
      </c>
      <c r="G685">
        <v>500</v>
      </c>
    </row>
    <row r="686" spans="1:7" x14ac:dyDescent="0.3">
      <c r="A686" s="80">
        <v>45733</v>
      </c>
      <c r="B686">
        <v>1010100</v>
      </c>
      <c r="C686">
        <v>29990</v>
      </c>
      <c r="E686" s="80">
        <v>45714</v>
      </c>
      <c r="F686">
        <v>1010900</v>
      </c>
      <c r="G686">
        <v>5000</v>
      </c>
    </row>
    <row r="687" spans="1:7" x14ac:dyDescent="0.3">
      <c r="A687" s="80">
        <v>45733</v>
      </c>
      <c r="B687">
        <v>1010100</v>
      </c>
      <c r="C687">
        <v>29990</v>
      </c>
      <c r="E687" s="80">
        <v>45714</v>
      </c>
      <c r="F687">
        <v>1010900</v>
      </c>
      <c r="G687">
        <v>5000</v>
      </c>
    </row>
    <row r="688" spans="1:7" x14ac:dyDescent="0.3">
      <c r="A688" s="80">
        <v>45733</v>
      </c>
      <c r="B688">
        <v>1010100</v>
      </c>
      <c r="C688">
        <v>29990</v>
      </c>
      <c r="E688" s="80">
        <v>45713</v>
      </c>
      <c r="F688">
        <v>1010900</v>
      </c>
      <c r="G688">
        <v>5000</v>
      </c>
    </row>
    <row r="689" spans="1:7" x14ac:dyDescent="0.3">
      <c r="A689" s="80">
        <v>45733</v>
      </c>
      <c r="B689">
        <v>1010100</v>
      </c>
      <c r="C689">
        <v>29990</v>
      </c>
      <c r="E689" s="80">
        <v>45713</v>
      </c>
      <c r="F689">
        <v>1010900</v>
      </c>
      <c r="G689">
        <v>5000</v>
      </c>
    </row>
    <row r="690" spans="1:7" x14ac:dyDescent="0.3">
      <c r="A690" s="80">
        <v>45733</v>
      </c>
      <c r="B690">
        <v>1010100</v>
      </c>
      <c r="C690">
        <v>26991</v>
      </c>
      <c r="E690" s="80">
        <v>45713</v>
      </c>
      <c r="F690">
        <v>1010900</v>
      </c>
      <c r="G690">
        <v>5000</v>
      </c>
    </row>
    <row r="691" spans="1:7" x14ac:dyDescent="0.3">
      <c r="A691" s="80">
        <v>45733</v>
      </c>
      <c r="B691">
        <v>1010100</v>
      </c>
      <c r="C691">
        <v>29990</v>
      </c>
      <c r="E691" s="80">
        <v>45713</v>
      </c>
      <c r="F691">
        <v>1010900</v>
      </c>
      <c r="G691">
        <v>5000</v>
      </c>
    </row>
    <row r="692" spans="1:7" x14ac:dyDescent="0.3">
      <c r="A692" s="80">
        <v>45733</v>
      </c>
      <c r="B692">
        <v>1010100</v>
      </c>
      <c r="C692">
        <v>29990</v>
      </c>
      <c r="E692" s="80">
        <v>45712</v>
      </c>
      <c r="F692">
        <v>1010900</v>
      </c>
      <c r="G692">
        <v>5000</v>
      </c>
    </row>
    <row r="693" spans="1:7" x14ac:dyDescent="0.3">
      <c r="A693" s="80">
        <v>45733</v>
      </c>
      <c r="B693">
        <v>1010100</v>
      </c>
      <c r="C693">
        <v>29990</v>
      </c>
      <c r="E693" s="80">
        <v>45712</v>
      </c>
      <c r="F693">
        <v>1010900</v>
      </c>
      <c r="G693">
        <v>5000</v>
      </c>
    </row>
    <row r="694" spans="1:7" x14ac:dyDescent="0.3">
      <c r="A694" s="80">
        <v>45732</v>
      </c>
      <c r="B694">
        <v>1010100</v>
      </c>
      <c r="C694">
        <v>29990</v>
      </c>
      <c r="E694" s="80">
        <v>45712</v>
      </c>
      <c r="F694">
        <v>1010900</v>
      </c>
      <c r="G694">
        <v>5000</v>
      </c>
    </row>
    <row r="695" spans="1:7" x14ac:dyDescent="0.3">
      <c r="A695" s="80">
        <v>45732</v>
      </c>
      <c r="B695">
        <v>1010100</v>
      </c>
      <c r="C695">
        <v>29990</v>
      </c>
      <c r="E695" s="80">
        <v>45712</v>
      </c>
      <c r="F695">
        <v>1010900</v>
      </c>
      <c r="G695">
        <v>8769</v>
      </c>
    </row>
    <row r="696" spans="1:7" x14ac:dyDescent="0.3">
      <c r="A696" s="80">
        <v>45731</v>
      </c>
      <c r="B696">
        <v>1010100</v>
      </c>
      <c r="C696">
        <v>26991</v>
      </c>
      <c r="E696" s="80">
        <v>45712</v>
      </c>
      <c r="F696">
        <v>1010900</v>
      </c>
      <c r="G696">
        <v>5000</v>
      </c>
    </row>
    <row r="697" spans="1:7" x14ac:dyDescent="0.3">
      <c r="A697" s="80">
        <v>45731</v>
      </c>
      <c r="B697">
        <v>1010100</v>
      </c>
      <c r="C697">
        <v>8991</v>
      </c>
      <c r="E697" s="80">
        <v>45711</v>
      </c>
      <c r="F697">
        <v>1010900</v>
      </c>
      <c r="G697">
        <v>5000</v>
      </c>
    </row>
    <row r="698" spans="1:7" x14ac:dyDescent="0.3">
      <c r="A698" s="80">
        <v>45731</v>
      </c>
      <c r="B698">
        <v>1010100</v>
      </c>
      <c r="C698">
        <v>29990</v>
      </c>
      <c r="E698" s="80">
        <v>45711</v>
      </c>
      <c r="F698">
        <v>1010900</v>
      </c>
      <c r="G698">
        <v>5000</v>
      </c>
    </row>
    <row r="699" spans="1:7" x14ac:dyDescent="0.3">
      <c r="A699" s="80">
        <v>45730</v>
      </c>
      <c r="B699">
        <v>1010100</v>
      </c>
      <c r="C699">
        <v>29990</v>
      </c>
      <c r="E699" s="80">
        <v>45710</v>
      </c>
      <c r="F699">
        <v>1010900</v>
      </c>
      <c r="G699">
        <v>5000</v>
      </c>
    </row>
    <row r="700" spans="1:7" x14ac:dyDescent="0.3">
      <c r="A700" s="80">
        <v>45730</v>
      </c>
      <c r="B700">
        <v>1010100</v>
      </c>
      <c r="C700">
        <v>26991</v>
      </c>
      <c r="E700" s="80">
        <v>45710</v>
      </c>
      <c r="F700">
        <v>1010900</v>
      </c>
      <c r="G700">
        <v>5000</v>
      </c>
    </row>
    <row r="701" spans="1:7" x14ac:dyDescent="0.3">
      <c r="A701" s="80">
        <v>45730</v>
      </c>
      <c r="B701">
        <v>1010100</v>
      </c>
      <c r="C701">
        <v>29990</v>
      </c>
      <c r="E701" s="80">
        <v>45710</v>
      </c>
      <c r="F701">
        <v>1010900</v>
      </c>
      <c r="G701">
        <v>5000</v>
      </c>
    </row>
    <row r="702" spans="1:7" x14ac:dyDescent="0.3">
      <c r="A702" s="80">
        <v>45729</v>
      </c>
      <c r="B702">
        <v>1010100</v>
      </c>
      <c r="C702">
        <v>29990</v>
      </c>
      <c r="E702" s="80">
        <v>45710</v>
      </c>
      <c r="F702">
        <v>1010900</v>
      </c>
      <c r="G702">
        <v>5000</v>
      </c>
    </row>
    <row r="703" spans="1:7" x14ac:dyDescent="0.3">
      <c r="A703" s="80">
        <v>45728</v>
      </c>
      <c r="B703">
        <v>1010100</v>
      </c>
      <c r="C703">
        <v>29990</v>
      </c>
      <c r="E703" s="80">
        <v>45710</v>
      </c>
      <c r="F703">
        <v>1010900</v>
      </c>
      <c r="G703">
        <v>5000</v>
      </c>
    </row>
    <row r="704" spans="1:7" x14ac:dyDescent="0.3">
      <c r="A704" s="80">
        <v>45728</v>
      </c>
      <c r="B704">
        <v>1010100</v>
      </c>
      <c r="C704">
        <v>29990</v>
      </c>
      <c r="E704" s="80">
        <v>45710</v>
      </c>
      <c r="F704">
        <v>1010900</v>
      </c>
      <c r="G704">
        <v>5000</v>
      </c>
    </row>
    <row r="705" spans="1:7" x14ac:dyDescent="0.3">
      <c r="A705" s="80">
        <v>45727</v>
      </c>
      <c r="B705">
        <v>1010100</v>
      </c>
      <c r="C705">
        <v>26991</v>
      </c>
      <c r="E705" s="80">
        <v>45710</v>
      </c>
      <c r="F705">
        <v>1010900</v>
      </c>
      <c r="G705">
        <v>5000</v>
      </c>
    </row>
    <row r="706" spans="1:7" x14ac:dyDescent="0.3">
      <c r="A706" s="80">
        <v>45727</v>
      </c>
      <c r="B706">
        <v>1010100</v>
      </c>
      <c r="C706">
        <v>26991</v>
      </c>
      <c r="E706" s="80">
        <v>45710</v>
      </c>
      <c r="F706">
        <v>1010900</v>
      </c>
      <c r="G706">
        <v>4500</v>
      </c>
    </row>
    <row r="707" spans="1:7" x14ac:dyDescent="0.3">
      <c r="A707" s="80">
        <v>45727</v>
      </c>
      <c r="B707">
        <v>1010100</v>
      </c>
      <c r="C707">
        <v>43480</v>
      </c>
      <c r="E707" s="80">
        <v>45710</v>
      </c>
      <c r="F707">
        <v>1010900</v>
      </c>
      <c r="G707">
        <v>5000</v>
      </c>
    </row>
    <row r="708" spans="1:7" x14ac:dyDescent="0.3">
      <c r="A708" s="80">
        <v>45727</v>
      </c>
      <c r="B708">
        <v>1010100</v>
      </c>
      <c r="C708">
        <v>26991</v>
      </c>
      <c r="E708" s="80">
        <v>45710</v>
      </c>
      <c r="F708">
        <v>1010900</v>
      </c>
      <c r="G708">
        <v>5000</v>
      </c>
    </row>
    <row r="709" spans="1:7" x14ac:dyDescent="0.3">
      <c r="A709" s="80">
        <v>45727</v>
      </c>
      <c r="B709">
        <v>1010100</v>
      </c>
      <c r="C709">
        <v>59980</v>
      </c>
      <c r="E709" s="80">
        <v>45709</v>
      </c>
      <c r="F709">
        <v>1010900</v>
      </c>
      <c r="G709">
        <v>5000</v>
      </c>
    </row>
    <row r="710" spans="1:7" x14ac:dyDescent="0.3">
      <c r="A710" s="80">
        <v>45726</v>
      </c>
      <c r="B710">
        <v>1010100</v>
      </c>
      <c r="C710">
        <v>21740</v>
      </c>
      <c r="E710" s="80">
        <v>45709</v>
      </c>
      <c r="F710">
        <v>1010900</v>
      </c>
      <c r="G710">
        <v>5000</v>
      </c>
    </row>
    <row r="711" spans="1:7" x14ac:dyDescent="0.3">
      <c r="A711" s="80">
        <v>45726</v>
      </c>
      <c r="B711">
        <v>1010100</v>
      </c>
      <c r="C711">
        <v>29990</v>
      </c>
      <c r="E711" s="80">
        <v>45709</v>
      </c>
      <c r="F711">
        <v>1010900</v>
      </c>
      <c r="G711">
        <v>3000</v>
      </c>
    </row>
    <row r="712" spans="1:7" x14ac:dyDescent="0.3">
      <c r="A712" s="80">
        <v>45726</v>
      </c>
      <c r="B712">
        <v>1010100</v>
      </c>
      <c r="C712">
        <v>29990</v>
      </c>
      <c r="E712" s="80">
        <v>45709</v>
      </c>
      <c r="F712">
        <v>1010900</v>
      </c>
      <c r="G712">
        <v>5000</v>
      </c>
    </row>
    <row r="713" spans="1:7" x14ac:dyDescent="0.3">
      <c r="A713" s="80">
        <v>45726</v>
      </c>
      <c r="B713">
        <v>1010100</v>
      </c>
      <c r="C713">
        <v>29990</v>
      </c>
      <c r="E713" s="80">
        <v>45709</v>
      </c>
      <c r="F713">
        <v>1010900</v>
      </c>
      <c r="G713">
        <v>5000</v>
      </c>
    </row>
    <row r="714" spans="1:7" x14ac:dyDescent="0.3">
      <c r="A714" s="80">
        <v>45726</v>
      </c>
      <c r="B714">
        <v>1010100</v>
      </c>
      <c r="C714">
        <v>29990</v>
      </c>
      <c r="E714" s="80">
        <v>45709</v>
      </c>
      <c r="F714">
        <v>1010900</v>
      </c>
      <c r="G714">
        <v>5000</v>
      </c>
    </row>
    <row r="715" spans="1:7" x14ac:dyDescent="0.3">
      <c r="A715" s="80">
        <v>45725</v>
      </c>
      <c r="B715">
        <v>1010100</v>
      </c>
      <c r="C715">
        <v>29990</v>
      </c>
      <c r="E715" s="80">
        <v>45709</v>
      </c>
      <c r="F715">
        <v>1010900</v>
      </c>
      <c r="G715">
        <v>5000</v>
      </c>
    </row>
    <row r="716" spans="1:7" x14ac:dyDescent="0.3">
      <c r="A716" s="80">
        <v>45725</v>
      </c>
      <c r="B716">
        <v>1010100</v>
      </c>
      <c r="C716">
        <v>29990</v>
      </c>
      <c r="E716" s="80">
        <v>45709</v>
      </c>
      <c r="F716">
        <v>1010900</v>
      </c>
      <c r="G716">
        <v>5000</v>
      </c>
    </row>
    <row r="717" spans="1:7" x14ac:dyDescent="0.3">
      <c r="A717" s="80">
        <v>45725</v>
      </c>
      <c r="B717">
        <v>1010100</v>
      </c>
      <c r="C717">
        <v>29990</v>
      </c>
      <c r="E717" s="80">
        <v>45709</v>
      </c>
      <c r="F717">
        <v>1010900</v>
      </c>
      <c r="G717">
        <v>5000</v>
      </c>
    </row>
    <row r="718" spans="1:7" x14ac:dyDescent="0.3">
      <c r="A718" s="80">
        <v>45725</v>
      </c>
      <c r="B718">
        <v>1010100</v>
      </c>
      <c r="C718">
        <v>9990</v>
      </c>
      <c r="E718" s="80">
        <v>45709</v>
      </c>
      <c r="F718">
        <v>1010900</v>
      </c>
      <c r="G718">
        <v>5000</v>
      </c>
    </row>
    <row r="719" spans="1:7" x14ac:dyDescent="0.3">
      <c r="A719" s="80">
        <v>45725</v>
      </c>
      <c r="B719">
        <v>1010100</v>
      </c>
      <c r="C719">
        <v>29990</v>
      </c>
      <c r="E719" s="80">
        <v>45709</v>
      </c>
      <c r="F719">
        <v>1010900</v>
      </c>
      <c r="G719">
        <v>5000</v>
      </c>
    </row>
    <row r="720" spans="1:7" x14ac:dyDescent="0.3">
      <c r="A720" s="80">
        <v>45725</v>
      </c>
      <c r="B720">
        <v>1010100</v>
      </c>
      <c r="C720">
        <v>29990</v>
      </c>
      <c r="E720" s="80">
        <v>45709</v>
      </c>
      <c r="F720">
        <v>1010900</v>
      </c>
      <c r="G720">
        <v>5000</v>
      </c>
    </row>
    <row r="721" spans="1:7" x14ac:dyDescent="0.3">
      <c r="A721" s="80">
        <v>45725</v>
      </c>
      <c r="B721">
        <v>1010100</v>
      </c>
      <c r="C721">
        <v>29990</v>
      </c>
      <c r="E721" s="80">
        <v>45708</v>
      </c>
      <c r="F721">
        <v>1010900</v>
      </c>
      <c r="G721">
        <v>5000</v>
      </c>
    </row>
    <row r="722" spans="1:7" x14ac:dyDescent="0.3">
      <c r="A722" s="80">
        <v>45725</v>
      </c>
      <c r="B722">
        <v>1010100</v>
      </c>
      <c r="C722">
        <v>29990</v>
      </c>
      <c r="E722" s="80">
        <v>45708</v>
      </c>
      <c r="F722">
        <v>1010900</v>
      </c>
      <c r="G722">
        <v>5000</v>
      </c>
    </row>
    <row r="723" spans="1:7" x14ac:dyDescent="0.3">
      <c r="A723" s="80">
        <v>45725</v>
      </c>
      <c r="B723">
        <v>1010100</v>
      </c>
      <c r="C723">
        <v>29990</v>
      </c>
      <c r="E723" s="80">
        <v>45708</v>
      </c>
      <c r="F723">
        <v>1010900</v>
      </c>
      <c r="G723">
        <v>5000</v>
      </c>
    </row>
    <row r="724" spans="1:7" x14ac:dyDescent="0.3">
      <c r="A724" s="80">
        <v>45725</v>
      </c>
      <c r="B724">
        <v>1010100</v>
      </c>
      <c r="C724">
        <v>29990</v>
      </c>
      <c r="E724" s="80">
        <v>45708</v>
      </c>
      <c r="F724">
        <v>1010900</v>
      </c>
      <c r="G724">
        <v>8769</v>
      </c>
    </row>
    <row r="725" spans="1:7" x14ac:dyDescent="0.3">
      <c r="A725" s="80">
        <v>45724</v>
      </c>
      <c r="B725">
        <v>1010100</v>
      </c>
      <c r="C725">
        <v>29990</v>
      </c>
      <c r="E725" s="80">
        <v>45708</v>
      </c>
      <c r="F725">
        <v>1010900</v>
      </c>
      <c r="G725">
        <v>5000</v>
      </c>
    </row>
    <row r="726" spans="1:7" x14ac:dyDescent="0.3">
      <c r="A726" s="80">
        <v>45724</v>
      </c>
      <c r="B726">
        <v>1010100</v>
      </c>
      <c r="C726">
        <v>29990</v>
      </c>
      <c r="E726" s="80">
        <v>45708</v>
      </c>
      <c r="F726">
        <v>1010900</v>
      </c>
      <c r="G726">
        <v>8769</v>
      </c>
    </row>
    <row r="727" spans="1:7" x14ac:dyDescent="0.3">
      <c r="A727" s="80">
        <v>45723</v>
      </c>
      <c r="B727">
        <v>1010100</v>
      </c>
      <c r="C727">
        <v>29990</v>
      </c>
      <c r="E727" s="80">
        <v>45708</v>
      </c>
      <c r="F727">
        <v>1010900</v>
      </c>
      <c r="G727">
        <v>5000</v>
      </c>
    </row>
    <row r="728" spans="1:7" x14ac:dyDescent="0.3">
      <c r="A728" s="80">
        <v>45723</v>
      </c>
      <c r="B728">
        <v>1010100</v>
      </c>
      <c r="C728">
        <v>26991</v>
      </c>
      <c r="E728" s="80">
        <v>45707</v>
      </c>
      <c r="F728">
        <v>1010900</v>
      </c>
      <c r="G728">
        <v>8769</v>
      </c>
    </row>
    <row r="729" spans="1:7" x14ac:dyDescent="0.3">
      <c r="A729" s="80">
        <v>45723</v>
      </c>
      <c r="B729">
        <v>1010100</v>
      </c>
      <c r="C729">
        <v>29990</v>
      </c>
      <c r="E729" s="80">
        <v>45705</v>
      </c>
      <c r="F729">
        <v>1010900</v>
      </c>
      <c r="G729">
        <v>8769</v>
      </c>
    </row>
    <row r="730" spans="1:7" x14ac:dyDescent="0.3">
      <c r="A730" s="80">
        <v>45723</v>
      </c>
      <c r="B730">
        <v>1010100</v>
      </c>
      <c r="C730">
        <v>29990</v>
      </c>
      <c r="E730" s="80">
        <v>45705</v>
      </c>
      <c r="F730">
        <v>1010900</v>
      </c>
      <c r="G730">
        <v>5000</v>
      </c>
    </row>
    <row r="731" spans="1:7" x14ac:dyDescent="0.3">
      <c r="A731" s="80">
        <v>45722</v>
      </c>
      <c r="B731">
        <v>1010100</v>
      </c>
      <c r="C731">
        <v>29990</v>
      </c>
      <c r="E731" s="80">
        <v>45705</v>
      </c>
      <c r="F731">
        <v>1010900</v>
      </c>
      <c r="G731">
        <v>8769</v>
      </c>
    </row>
    <row r="732" spans="1:7" x14ac:dyDescent="0.3">
      <c r="A732" s="80">
        <v>45722</v>
      </c>
      <c r="B732">
        <v>1010100</v>
      </c>
      <c r="C732">
        <v>29990</v>
      </c>
      <c r="E732" s="80">
        <v>45704</v>
      </c>
      <c r="F732">
        <v>1010900</v>
      </c>
      <c r="G732">
        <v>8769</v>
      </c>
    </row>
    <row r="733" spans="1:7" x14ac:dyDescent="0.3">
      <c r="A733" s="80">
        <v>45722</v>
      </c>
      <c r="B733">
        <v>1010100</v>
      </c>
      <c r="C733">
        <v>29990</v>
      </c>
      <c r="E733" s="80">
        <v>45704</v>
      </c>
      <c r="F733">
        <v>1010900</v>
      </c>
      <c r="G733">
        <v>8769</v>
      </c>
    </row>
    <row r="734" spans="1:7" x14ac:dyDescent="0.3">
      <c r="A734" s="80">
        <v>45722</v>
      </c>
      <c r="B734">
        <v>1010100</v>
      </c>
      <c r="C734">
        <v>29990</v>
      </c>
      <c r="E734" s="80">
        <v>45704</v>
      </c>
      <c r="F734">
        <v>1010900</v>
      </c>
      <c r="G734">
        <v>5000</v>
      </c>
    </row>
    <row r="735" spans="1:7" x14ac:dyDescent="0.3">
      <c r="A735" s="80">
        <v>45721</v>
      </c>
      <c r="B735">
        <v>1010100</v>
      </c>
      <c r="C735">
        <v>29990</v>
      </c>
      <c r="E735" s="80">
        <v>45703</v>
      </c>
      <c r="F735">
        <v>1010900</v>
      </c>
      <c r="G735">
        <v>8769</v>
      </c>
    </row>
    <row r="736" spans="1:7" x14ac:dyDescent="0.3">
      <c r="A736" s="80">
        <v>45721</v>
      </c>
      <c r="B736">
        <v>1010100</v>
      </c>
      <c r="C736">
        <v>29990</v>
      </c>
      <c r="E736" s="80">
        <v>45703</v>
      </c>
      <c r="F736">
        <v>1010900</v>
      </c>
      <c r="G736">
        <v>5000</v>
      </c>
    </row>
    <row r="737" spans="1:7" x14ac:dyDescent="0.3">
      <c r="A737" s="80">
        <v>45721</v>
      </c>
      <c r="B737">
        <v>1010100</v>
      </c>
      <c r="C737">
        <v>29990</v>
      </c>
      <c r="E737" s="80">
        <v>45703</v>
      </c>
      <c r="F737">
        <v>1010900</v>
      </c>
      <c r="G737">
        <v>5000</v>
      </c>
    </row>
    <row r="738" spans="1:7" x14ac:dyDescent="0.3">
      <c r="A738" s="80">
        <v>45720</v>
      </c>
      <c r="B738">
        <v>1010100</v>
      </c>
      <c r="C738">
        <v>29990</v>
      </c>
      <c r="E738" s="80">
        <v>45703</v>
      </c>
      <c r="F738">
        <v>1010900</v>
      </c>
      <c r="G738">
        <v>5000</v>
      </c>
    </row>
    <row r="739" spans="1:7" x14ac:dyDescent="0.3">
      <c r="A739" s="80">
        <v>45720</v>
      </c>
      <c r="B739">
        <v>1010100</v>
      </c>
      <c r="C739">
        <v>29990</v>
      </c>
      <c r="E739" s="80">
        <v>45702</v>
      </c>
      <c r="F739">
        <v>1010900</v>
      </c>
      <c r="G739">
        <v>5000</v>
      </c>
    </row>
    <row r="740" spans="1:7" x14ac:dyDescent="0.3">
      <c r="A740" s="80">
        <v>45720</v>
      </c>
      <c r="B740">
        <v>1010100</v>
      </c>
      <c r="C740">
        <v>21740</v>
      </c>
      <c r="E740" s="80">
        <v>45702</v>
      </c>
      <c r="F740">
        <v>1010900</v>
      </c>
      <c r="G740">
        <v>8769</v>
      </c>
    </row>
    <row r="741" spans="1:7" x14ac:dyDescent="0.3">
      <c r="A741" s="80">
        <v>45720</v>
      </c>
      <c r="B741">
        <v>1010100</v>
      </c>
      <c r="C741">
        <v>29990</v>
      </c>
      <c r="E741" s="80">
        <v>45701</v>
      </c>
      <c r="F741">
        <v>1010900</v>
      </c>
      <c r="G741">
        <v>8769</v>
      </c>
    </row>
    <row r="742" spans="1:7" x14ac:dyDescent="0.3">
      <c r="A742" s="80">
        <v>45719</v>
      </c>
      <c r="B742">
        <v>1010100</v>
      </c>
      <c r="C742">
        <v>29990</v>
      </c>
      <c r="E742" s="80">
        <v>45701</v>
      </c>
      <c r="F742">
        <v>1010900</v>
      </c>
      <c r="G742">
        <v>8769</v>
      </c>
    </row>
    <row r="743" spans="1:7" x14ac:dyDescent="0.3">
      <c r="A743" s="80">
        <v>45719</v>
      </c>
      <c r="B743">
        <v>1010100</v>
      </c>
      <c r="C743">
        <v>59980</v>
      </c>
      <c r="E743" s="80">
        <v>45701</v>
      </c>
      <c r="F743">
        <v>1010900</v>
      </c>
      <c r="G743">
        <v>8769</v>
      </c>
    </row>
    <row r="744" spans="1:7" x14ac:dyDescent="0.3">
      <c r="A744" s="80">
        <v>45719</v>
      </c>
      <c r="B744">
        <v>1010100</v>
      </c>
      <c r="C744">
        <v>29990</v>
      </c>
      <c r="E744" s="80">
        <v>45699</v>
      </c>
      <c r="F744">
        <v>1010900</v>
      </c>
      <c r="G744">
        <v>5000</v>
      </c>
    </row>
    <row r="745" spans="1:7" x14ac:dyDescent="0.3">
      <c r="A745" s="80">
        <v>45719</v>
      </c>
      <c r="B745">
        <v>1010100</v>
      </c>
      <c r="C745">
        <v>29990</v>
      </c>
      <c r="E745" s="80">
        <v>45699</v>
      </c>
      <c r="F745">
        <v>1010900</v>
      </c>
      <c r="G745">
        <v>8769</v>
      </c>
    </row>
    <row r="746" spans="1:7" x14ac:dyDescent="0.3">
      <c r="A746" s="80">
        <v>45718</v>
      </c>
      <c r="B746">
        <v>1010100</v>
      </c>
      <c r="C746">
        <v>29990</v>
      </c>
      <c r="E746" s="80">
        <v>45699</v>
      </c>
      <c r="F746">
        <v>1010900</v>
      </c>
      <c r="G746">
        <v>8769</v>
      </c>
    </row>
    <row r="747" spans="1:7" x14ac:dyDescent="0.3">
      <c r="A747" s="80">
        <v>45718</v>
      </c>
      <c r="B747">
        <v>1010100</v>
      </c>
      <c r="C747">
        <v>29990</v>
      </c>
      <c r="E747" s="80">
        <v>45699</v>
      </c>
      <c r="F747">
        <v>1010900</v>
      </c>
      <c r="G747">
        <v>2630</v>
      </c>
    </row>
    <row r="748" spans="1:7" x14ac:dyDescent="0.3">
      <c r="A748" s="80">
        <v>45718</v>
      </c>
      <c r="B748">
        <v>1010100</v>
      </c>
      <c r="C748">
        <v>29990</v>
      </c>
      <c r="E748" s="80">
        <v>45698</v>
      </c>
      <c r="F748">
        <v>1010900</v>
      </c>
      <c r="G748">
        <v>8769</v>
      </c>
    </row>
    <row r="749" spans="1:7" x14ac:dyDescent="0.3">
      <c r="A749" s="80">
        <v>45718</v>
      </c>
      <c r="B749">
        <v>1010100</v>
      </c>
      <c r="C749">
        <v>21740</v>
      </c>
      <c r="E749" s="80">
        <v>45698</v>
      </c>
      <c r="F749">
        <v>1010900</v>
      </c>
      <c r="G749">
        <v>6400</v>
      </c>
    </row>
    <row r="750" spans="1:7" x14ac:dyDescent="0.3">
      <c r="A750" s="80">
        <v>45718</v>
      </c>
      <c r="B750">
        <v>1010100</v>
      </c>
      <c r="C750">
        <v>29990</v>
      </c>
      <c r="E750" s="80">
        <v>45698</v>
      </c>
      <c r="F750">
        <v>1010900</v>
      </c>
      <c r="G750">
        <v>8769</v>
      </c>
    </row>
    <row r="751" spans="1:7" x14ac:dyDescent="0.3">
      <c r="A751" s="80">
        <v>45718</v>
      </c>
      <c r="B751">
        <v>1010100</v>
      </c>
      <c r="C751">
        <v>29990</v>
      </c>
      <c r="E751" s="80">
        <v>45698</v>
      </c>
      <c r="F751">
        <v>1010900</v>
      </c>
      <c r="G751">
        <v>8769</v>
      </c>
    </row>
    <row r="752" spans="1:7" x14ac:dyDescent="0.3">
      <c r="A752" s="80">
        <v>45718</v>
      </c>
      <c r="B752">
        <v>1010100</v>
      </c>
      <c r="C752">
        <v>21740</v>
      </c>
      <c r="E752" s="80">
        <v>45698</v>
      </c>
      <c r="F752">
        <v>1010900</v>
      </c>
      <c r="G752">
        <v>8769</v>
      </c>
    </row>
    <row r="753" spans="1:7" x14ac:dyDescent="0.3">
      <c r="A753" s="80">
        <v>45718</v>
      </c>
      <c r="B753">
        <v>1010100</v>
      </c>
      <c r="C753">
        <v>29990</v>
      </c>
      <c r="E753" s="80">
        <v>45698</v>
      </c>
      <c r="F753">
        <v>1010900</v>
      </c>
      <c r="G753">
        <v>6400</v>
      </c>
    </row>
    <row r="754" spans="1:7" x14ac:dyDescent="0.3">
      <c r="A754" s="80">
        <v>45718</v>
      </c>
      <c r="B754">
        <v>1010100</v>
      </c>
      <c r="C754">
        <v>8991</v>
      </c>
      <c r="E754" s="80">
        <v>45697</v>
      </c>
      <c r="F754">
        <v>1010900</v>
      </c>
      <c r="G754">
        <v>8769</v>
      </c>
    </row>
    <row r="755" spans="1:7" x14ac:dyDescent="0.3">
      <c r="A755" s="80">
        <v>45718</v>
      </c>
      <c r="B755">
        <v>1010100</v>
      </c>
      <c r="C755">
        <v>26991</v>
      </c>
      <c r="E755" s="80">
        <v>45697</v>
      </c>
      <c r="F755">
        <v>1010900</v>
      </c>
      <c r="G755">
        <v>5000</v>
      </c>
    </row>
    <row r="756" spans="1:7" x14ac:dyDescent="0.3">
      <c r="A756" s="80">
        <v>45717</v>
      </c>
      <c r="B756">
        <v>1010100</v>
      </c>
      <c r="C756">
        <v>29990</v>
      </c>
      <c r="E756" s="80">
        <v>45696</v>
      </c>
      <c r="F756">
        <v>1010900</v>
      </c>
      <c r="G756">
        <v>6400</v>
      </c>
    </row>
    <row r="757" spans="1:7" x14ac:dyDescent="0.3">
      <c r="A757" s="80">
        <v>45717</v>
      </c>
      <c r="B757">
        <v>1010100</v>
      </c>
      <c r="C757">
        <v>29990</v>
      </c>
      <c r="E757" s="80">
        <v>45696</v>
      </c>
      <c r="F757">
        <v>1010900</v>
      </c>
      <c r="G757">
        <v>5000</v>
      </c>
    </row>
    <row r="758" spans="1:7" x14ac:dyDescent="0.3">
      <c r="A758" s="80">
        <v>45717</v>
      </c>
      <c r="B758">
        <v>1010100</v>
      </c>
      <c r="C758">
        <v>29990</v>
      </c>
      <c r="E758" s="80">
        <v>45696</v>
      </c>
      <c r="F758">
        <v>1010900</v>
      </c>
      <c r="G758">
        <v>5000</v>
      </c>
    </row>
    <row r="759" spans="1:7" x14ac:dyDescent="0.3">
      <c r="A759" s="80">
        <v>45717</v>
      </c>
      <c r="B759">
        <v>1010100</v>
      </c>
      <c r="C759">
        <v>29990</v>
      </c>
      <c r="E759" s="80">
        <v>45696</v>
      </c>
      <c r="F759">
        <v>1010900</v>
      </c>
      <c r="G759">
        <v>8769</v>
      </c>
    </row>
    <row r="760" spans="1:7" x14ac:dyDescent="0.3">
      <c r="A760" s="80">
        <v>45717</v>
      </c>
      <c r="B760">
        <v>1010100</v>
      </c>
      <c r="C760">
        <v>29990</v>
      </c>
      <c r="E760" s="80">
        <v>45696</v>
      </c>
      <c r="F760">
        <v>1010900</v>
      </c>
      <c r="G760">
        <v>5000</v>
      </c>
    </row>
    <row r="761" spans="1:7" x14ac:dyDescent="0.3">
      <c r="A761" s="80">
        <v>45717</v>
      </c>
      <c r="B761">
        <v>1010100</v>
      </c>
      <c r="C761">
        <v>29990</v>
      </c>
      <c r="E761" s="80">
        <v>45695</v>
      </c>
      <c r="F761">
        <v>1010900</v>
      </c>
      <c r="G761">
        <v>5000</v>
      </c>
    </row>
    <row r="762" spans="1:7" x14ac:dyDescent="0.3">
      <c r="A762" s="80">
        <v>45717</v>
      </c>
      <c r="B762">
        <v>1010100</v>
      </c>
      <c r="C762">
        <v>29990</v>
      </c>
      <c r="E762" s="80">
        <v>45695</v>
      </c>
      <c r="F762">
        <v>1010900</v>
      </c>
      <c r="G762">
        <v>5000</v>
      </c>
    </row>
    <row r="763" spans="1:7" x14ac:dyDescent="0.3">
      <c r="A763" s="80">
        <v>45717</v>
      </c>
      <c r="B763">
        <v>1010100</v>
      </c>
      <c r="C763">
        <v>29990</v>
      </c>
      <c r="E763" s="80">
        <v>45695</v>
      </c>
      <c r="F763">
        <v>1010900</v>
      </c>
      <c r="G763">
        <v>5000</v>
      </c>
    </row>
    <row r="764" spans="1:7" x14ac:dyDescent="0.3">
      <c r="A764" s="80">
        <v>45716</v>
      </c>
      <c r="B764">
        <v>1010100</v>
      </c>
      <c r="C764">
        <v>29990</v>
      </c>
      <c r="E764" s="80">
        <v>45695</v>
      </c>
      <c r="F764">
        <v>1010900</v>
      </c>
      <c r="G764">
        <v>5000</v>
      </c>
    </row>
    <row r="765" spans="1:7" x14ac:dyDescent="0.3">
      <c r="A765" s="80">
        <v>45716</v>
      </c>
      <c r="B765">
        <v>1010100</v>
      </c>
      <c r="C765">
        <v>29990</v>
      </c>
      <c r="E765" s="80">
        <v>45695</v>
      </c>
      <c r="F765">
        <v>1010900</v>
      </c>
      <c r="G765">
        <v>5000</v>
      </c>
    </row>
    <row r="766" spans="1:7" x14ac:dyDescent="0.3">
      <c r="A766" s="80">
        <v>45716</v>
      </c>
      <c r="B766">
        <v>1010100</v>
      </c>
      <c r="C766">
        <v>21740</v>
      </c>
      <c r="E766" s="80">
        <v>45695</v>
      </c>
      <c r="F766">
        <v>1010900</v>
      </c>
      <c r="G766">
        <v>5000</v>
      </c>
    </row>
    <row r="767" spans="1:7" x14ac:dyDescent="0.3">
      <c r="A767" s="80">
        <v>45716</v>
      </c>
      <c r="B767">
        <v>1010100</v>
      </c>
      <c r="C767">
        <v>29990</v>
      </c>
      <c r="E767" s="80">
        <v>45694</v>
      </c>
      <c r="F767">
        <v>1010900</v>
      </c>
      <c r="G767">
        <v>5000</v>
      </c>
    </row>
    <row r="768" spans="1:7" x14ac:dyDescent="0.3">
      <c r="A768" s="80">
        <v>45716</v>
      </c>
      <c r="B768">
        <v>1010100</v>
      </c>
      <c r="C768">
        <v>29990</v>
      </c>
      <c r="E768" s="80">
        <v>45694</v>
      </c>
      <c r="F768">
        <v>1010900</v>
      </c>
      <c r="G768">
        <v>5000</v>
      </c>
    </row>
    <row r="769" spans="1:7" x14ac:dyDescent="0.3">
      <c r="A769" s="80">
        <v>45716</v>
      </c>
      <c r="B769">
        <v>1010100</v>
      </c>
      <c r="C769">
        <v>9990</v>
      </c>
      <c r="E769" s="80">
        <v>45694</v>
      </c>
      <c r="F769">
        <v>1010900</v>
      </c>
      <c r="G769">
        <v>5000</v>
      </c>
    </row>
    <row r="770" spans="1:7" x14ac:dyDescent="0.3">
      <c r="A770" s="80">
        <v>45716</v>
      </c>
      <c r="B770">
        <v>1010100</v>
      </c>
      <c r="C770">
        <v>29990</v>
      </c>
      <c r="E770" s="80">
        <v>45694</v>
      </c>
      <c r="F770">
        <v>1010900</v>
      </c>
      <c r="G770">
        <v>8769</v>
      </c>
    </row>
    <row r="771" spans="1:7" x14ac:dyDescent="0.3">
      <c r="A771" s="80">
        <v>45716</v>
      </c>
      <c r="B771">
        <v>1010100</v>
      </c>
      <c r="C771">
        <v>29990</v>
      </c>
      <c r="E771" s="80">
        <v>45694</v>
      </c>
      <c r="F771">
        <v>1010900</v>
      </c>
      <c r="G771">
        <v>5000</v>
      </c>
    </row>
    <row r="772" spans="1:7" x14ac:dyDescent="0.3">
      <c r="A772" s="80">
        <v>45715</v>
      </c>
      <c r="B772">
        <v>1010100</v>
      </c>
      <c r="C772">
        <v>21740</v>
      </c>
      <c r="E772" s="80">
        <v>45694</v>
      </c>
      <c r="F772">
        <v>1010900</v>
      </c>
      <c r="G772">
        <v>500</v>
      </c>
    </row>
    <row r="773" spans="1:7" x14ac:dyDescent="0.3">
      <c r="A773" s="80">
        <v>45715</v>
      </c>
      <c r="B773">
        <v>1010100</v>
      </c>
      <c r="C773">
        <v>29990</v>
      </c>
      <c r="E773" s="80">
        <v>45694</v>
      </c>
      <c r="F773">
        <v>1010900</v>
      </c>
      <c r="G773">
        <v>5000</v>
      </c>
    </row>
    <row r="774" spans="1:7" x14ac:dyDescent="0.3">
      <c r="A774" s="80">
        <v>45715</v>
      </c>
      <c r="B774">
        <v>1010100</v>
      </c>
      <c r="C774">
        <v>29990</v>
      </c>
      <c r="E774" s="80">
        <v>45694</v>
      </c>
      <c r="F774">
        <v>1010900</v>
      </c>
      <c r="G774">
        <v>17538</v>
      </c>
    </row>
    <row r="775" spans="1:7" x14ac:dyDescent="0.3">
      <c r="A775" s="80">
        <v>45715</v>
      </c>
      <c r="B775">
        <v>1010100</v>
      </c>
      <c r="C775">
        <v>29990</v>
      </c>
      <c r="E775" s="80">
        <v>45694</v>
      </c>
      <c r="F775">
        <v>1010900</v>
      </c>
      <c r="G775">
        <v>5000</v>
      </c>
    </row>
    <row r="776" spans="1:7" x14ac:dyDescent="0.3">
      <c r="A776" s="80">
        <v>45714</v>
      </c>
      <c r="B776">
        <v>1010100</v>
      </c>
      <c r="C776">
        <v>29990</v>
      </c>
      <c r="E776" s="80">
        <v>45694</v>
      </c>
      <c r="F776">
        <v>1010900</v>
      </c>
      <c r="G776">
        <v>5000</v>
      </c>
    </row>
    <row r="777" spans="1:7" x14ac:dyDescent="0.3">
      <c r="A777" s="80">
        <v>45714</v>
      </c>
      <c r="B777">
        <v>1010100</v>
      </c>
      <c r="C777">
        <v>9990</v>
      </c>
      <c r="E777" s="80">
        <v>45694</v>
      </c>
      <c r="F777">
        <v>1010900</v>
      </c>
      <c r="G777">
        <v>5000</v>
      </c>
    </row>
    <row r="778" spans="1:7" x14ac:dyDescent="0.3">
      <c r="A778" s="80">
        <v>45714</v>
      </c>
      <c r="B778">
        <v>1010100</v>
      </c>
      <c r="C778">
        <v>29990</v>
      </c>
      <c r="E778" s="80">
        <v>45693</v>
      </c>
      <c r="F778">
        <v>1010900</v>
      </c>
      <c r="G778">
        <v>5000</v>
      </c>
    </row>
    <row r="779" spans="1:7" x14ac:dyDescent="0.3">
      <c r="A779" s="80">
        <v>45714</v>
      </c>
      <c r="B779">
        <v>1010100</v>
      </c>
      <c r="C779">
        <v>29990</v>
      </c>
      <c r="E779" s="80">
        <v>45693</v>
      </c>
      <c r="F779">
        <v>1010900</v>
      </c>
      <c r="G779">
        <v>5000</v>
      </c>
    </row>
    <row r="780" spans="1:7" x14ac:dyDescent="0.3">
      <c r="A780" s="80">
        <v>45713</v>
      </c>
      <c r="B780">
        <v>1010100</v>
      </c>
      <c r="C780">
        <v>29990</v>
      </c>
      <c r="E780" s="80">
        <v>45693</v>
      </c>
      <c r="F780">
        <v>1010900</v>
      </c>
      <c r="G780">
        <v>5000</v>
      </c>
    </row>
    <row r="781" spans="1:7" x14ac:dyDescent="0.3">
      <c r="A781" s="80">
        <v>45713</v>
      </c>
      <c r="B781">
        <v>1010100</v>
      </c>
      <c r="C781">
        <v>29990</v>
      </c>
      <c r="E781" s="80">
        <v>45693</v>
      </c>
      <c r="F781">
        <v>1010900</v>
      </c>
      <c r="G781">
        <v>8769</v>
      </c>
    </row>
    <row r="782" spans="1:7" x14ac:dyDescent="0.3">
      <c r="A782" s="80">
        <v>45713</v>
      </c>
      <c r="B782">
        <v>1010100</v>
      </c>
      <c r="C782">
        <v>29990</v>
      </c>
      <c r="E782" s="80">
        <v>45693</v>
      </c>
      <c r="F782">
        <v>1010900</v>
      </c>
      <c r="G782">
        <v>8769</v>
      </c>
    </row>
    <row r="783" spans="1:7" x14ac:dyDescent="0.3">
      <c r="A783" s="80">
        <v>45713</v>
      </c>
      <c r="B783">
        <v>1010100</v>
      </c>
      <c r="C783">
        <v>29990</v>
      </c>
      <c r="E783" s="80">
        <v>45693</v>
      </c>
      <c r="F783">
        <v>1010900</v>
      </c>
      <c r="G783">
        <v>8769</v>
      </c>
    </row>
    <row r="784" spans="1:7" x14ac:dyDescent="0.3">
      <c r="A784" s="80">
        <v>45712</v>
      </c>
      <c r="B784">
        <v>1010100</v>
      </c>
      <c r="C784">
        <v>29990</v>
      </c>
      <c r="E784" s="80">
        <v>45693</v>
      </c>
      <c r="F784">
        <v>1010900</v>
      </c>
      <c r="G784">
        <v>5000</v>
      </c>
    </row>
    <row r="785" spans="1:7" x14ac:dyDescent="0.3">
      <c r="A785" s="80">
        <v>45712</v>
      </c>
      <c r="B785">
        <v>1010100</v>
      </c>
      <c r="C785">
        <v>29990</v>
      </c>
      <c r="E785" s="80">
        <v>45693</v>
      </c>
      <c r="F785">
        <v>1010900</v>
      </c>
      <c r="G785">
        <v>5000</v>
      </c>
    </row>
    <row r="786" spans="1:7" x14ac:dyDescent="0.3">
      <c r="A786" s="80">
        <v>45712</v>
      </c>
      <c r="B786">
        <v>1010100</v>
      </c>
      <c r="C786">
        <v>26991</v>
      </c>
      <c r="E786" s="80">
        <v>45693</v>
      </c>
      <c r="F786">
        <v>1010900</v>
      </c>
      <c r="G786">
        <v>5000</v>
      </c>
    </row>
    <row r="787" spans="1:7" x14ac:dyDescent="0.3">
      <c r="A787" s="80">
        <v>45712</v>
      </c>
      <c r="B787">
        <v>1010100</v>
      </c>
      <c r="C787">
        <v>21990</v>
      </c>
      <c r="E787" s="80">
        <v>45693</v>
      </c>
      <c r="F787">
        <v>1010900</v>
      </c>
      <c r="G787">
        <v>5000</v>
      </c>
    </row>
    <row r="788" spans="1:7" x14ac:dyDescent="0.3">
      <c r="A788" s="80">
        <v>45712</v>
      </c>
      <c r="B788">
        <v>1010100</v>
      </c>
      <c r="C788">
        <v>29990</v>
      </c>
      <c r="E788" s="80">
        <v>45693</v>
      </c>
      <c r="F788">
        <v>1010900</v>
      </c>
      <c r="G788">
        <v>8769</v>
      </c>
    </row>
    <row r="789" spans="1:7" x14ac:dyDescent="0.3">
      <c r="A789" s="80">
        <v>45711</v>
      </c>
      <c r="B789">
        <v>1010100</v>
      </c>
      <c r="C789">
        <v>29990</v>
      </c>
      <c r="E789" s="80">
        <v>45692</v>
      </c>
      <c r="F789">
        <v>1010900</v>
      </c>
      <c r="G789">
        <v>8769</v>
      </c>
    </row>
    <row r="790" spans="1:7" x14ac:dyDescent="0.3">
      <c r="A790" s="80">
        <v>45711</v>
      </c>
      <c r="B790">
        <v>1010100</v>
      </c>
      <c r="C790">
        <v>29990</v>
      </c>
      <c r="E790" s="80">
        <v>45692</v>
      </c>
      <c r="F790">
        <v>1010900</v>
      </c>
      <c r="G790">
        <v>8769</v>
      </c>
    </row>
    <row r="791" spans="1:7" x14ac:dyDescent="0.3">
      <c r="A791" s="80">
        <v>45710</v>
      </c>
      <c r="B791">
        <v>1010100</v>
      </c>
      <c r="C791">
        <v>29990</v>
      </c>
      <c r="E791" s="80">
        <v>45692</v>
      </c>
      <c r="F791">
        <v>1010900</v>
      </c>
      <c r="G791">
        <v>8769</v>
      </c>
    </row>
    <row r="792" spans="1:7" x14ac:dyDescent="0.3">
      <c r="A792" s="80">
        <v>45710</v>
      </c>
      <c r="B792">
        <v>1010100</v>
      </c>
      <c r="C792">
        <v>29990</v>
      </c>
      <c r="E792" s="80">
        <v>45692</v>
      </c>
      <c r="F792">
        <v>1010900</v>
      </c>
      <c r="G792">
        <v>5000</v>
      </c>
    </row>
    <row r="793" spans="1:7" x14ac:dyDescent="0.3">
      <c r="A793" s="80">
        <v>45710</v>
      </c>
      <c r="B793">
        <v>1010100</v>
      </c>
      <c r="C793">
        <v>29990</v>
      </c>
      <c r="E793" s="80">
        <v>45692</v>
      </c>
      <c r="F793">
        <v>1010900</v>
      </c>
      <c r="G793">
        <v>5000</v>
      </c>
    </row>
    <row r="794" spans="1:7" x14ac:dyDescent="0.3">
      <c r="A794" s="80">
        <v>45710</v>
      </c>
      <c r="B794">
        <v>1010100</v>
      </c>
      <c r="C794">
        <v>29990</v>
      </c>
      <c r="E794" s="80">
        <v>45692</v>
      </c>
      <c r="F794">
        <v>1010900</v>
      </c>
      <c r="G794">
        <v>5000</v>
      </c>
    </row>
    <row r="795" spans="1:7" x14ac:dyDescent="0.3">
      <c r="A795" s="80">
        <v>45710</v>
      </c>
      <c r="B795">
        <v>1010100</v>
      </c>
      <c r="C795">
        <v>29990</v>
      </c>
      <c r="E795" s="80">
        <v>45692</v>
      </c>
      <c r="F795">
        <v>1010900</v>
      </c>
      <c r="G795">
        <v>5000</v>
      </c>
    </row>
    <row r="796" spans="1:7" x14ac:dyDescent="0.3">
      <c r="A796" s="80">
        <v>45710</v>
      </c>
      <c r="B796">
        <v>1010100</v>
      </c>
      <c r="C796">
        <v>29990</v>
      </c>
      <c r="E796" s="80">
        <v>45692</v>
      </c>
      <c r="F796">
        <v>1010900</v>
      </c>
      <c r="G796">
        <v>5000</v>
      </c>
    </row>
    <row r="797" spans="1:7" x14ac:dyDescent="0.3">
      <c r="A797" s="80">
        <v>45710</v>
      </c>
      <c r="B797">
        <v>1010100</v>
      </c>
      <c r="C797">
        <v>29990</v>
      </c>
      <c r="E797" s="80">
        <v>45691</v>
      </c>
      <c r="F797">
        <v>1010900</v>
      </c>
      <c r="G797">
        <v>8769</v>
      </c>
    </row>
    <row r="798" spans="1:7" x14ac:dyDescent="0.3">
      <c r="A798" s="80">
        <v>45710</v>
      </c>
      <c r="B798">
        <v>1010100</v>
      </c>
      <c r="C798">
        <v>29990</v>
      </c>
      <c r="E798" s="80">
        <v>45691</v>
      </c>
      <c r="F798">
        <v>1010900</v>
      </c>
      <c r="G798">
        <v>5000</v>
      </c>
    </row>
    <row r="799" spans="1:7" x14ac:dyDescent="0.3">
      <c r="A799" s="80">
        <v>45710</v>
      </c>
      <c r="B799">
        <v>1010100</v>
      </c>
      <c r="C799">
        <v>26991</v>
      </c>
      <c r="E799" s="80">
        <v>45691</v>
      </c>
      <c r="F799">
        <v>1010900</v>
      </c>
      <c r="G799">
        <v>8769</v>
      </c>
    </row>
    <row r="800" spans="1:7" x14ac:dyDescent="0.3">
      <c r="A800" s="80">
        <v>45710</v>
      </c>
      <c r="B800">
        <v>1010100</v>
      </c>
      <c r="C800">
        <v>29990</v>
      </c>
      <c r="E800" s="80">
        <v>45691</v>
      </c>
      <c r="F800">
        <v>1010900</v>
      </c>
      <c r="G800">
        <v>5000</v>
      </c>
    </row>
    <row r="801" spans="1:7" x14ac:dyDescent="0.3">
      <c r="A801" s="80">
        <v>45709</v>
      </c>
      <c r="B801">
        <v>1010100</v>
      </c>
      <c r="C801">
        <v>29990</v>
      </c>
      <c r="E801" s="80">
        <v>45691</v>
      </c>
      <c r="F801">
        <v>1010900</v>
      </c>
      <c r="G801">
        <v>8769</v>
      </c>
    </row>
    <row r="802" spans="1:7" x14ac:dyDescent="0.3">
      <c r="A802" s="80">
        <v>45709</v>
      </c>
      <c r="B802">
        <v>1010100</v>
      </c>
      <c r="C802">
        <v>29990</v>
      </c>
      <c r="E802" s="80">
        <v>45691</v>
      </c>
      <c r="F802">
        <v>1010900</v>
      </c>
      <c r="G802">
        <v>5000</v>
      </c>
    </row>
    <row r="803" spans="1:7" x14ac:dyDescent="0.3">
      <c r="A803" s="80">
        <v>45709</v>
      </c>
      <c r="B803">
        <v>1010100</v>
      </c>
      <c r="C803">
        <v>9990</v>
      </c>
      <c r="E803" s="80">
        <v>45690</v>
      </c>
      <c r="F803">
        <v>1010900</v>
      </c>
      <c r="G803">
        <v>5000</v>
      </c>
    </row>
    <row r="804" spans="1:7" x14ac:dyDescent="0.3">
      <c r="A804" s="80">
        <v>45709</v>
      </c>
      <c r="B804">
        <v>1010100</v>
      </c>
      <c r="C804">
        <v>29990</v>
      </c>
      <c r="E804" s="80">
        <v>45690</v>
      </c>
      <c r="F804">
        <v>1010900</v>
      </c>
      <c r="G804">
        <v>5000</v>
      </c>
    </row>
    <row r="805" spans="1:7" x14ac:dyDescent="0.3">
      <c r="A805" s="80">
        <v>45709</v>
      </c>
      <c r="B805">
        <v>1010100</v>
      </c>
      <c r="C805">
        <v>29990</v>
      </c>
      <c r="E805" s="80">
        <v>45690</v>
      </c>
      <c r="F805">
        <v>1010900</v>
      </c>
      <c r="G805">
        <v>8769</v>
      </c>
    </row>
    <row r="806" spans="1:7" x14ac:dyDescent="0.3">
      <c r="A806" s="80">
        <v>45709</v>
      </c>
      <c r="B806">
        <v>1010100</v>
      </c>
      <c r="C806">
        <v>29990</v>
      </c>
      <c r="E806" s="80">
        <v>45690</v>
      </c>
      <c r="F806">
        <v>1010900</v>
      </c>
      <c r="G806">
        <v>5000</v>
      </c>
    </row>
    <row r="807" spans="1:7" x14ac:dyDescent="0.3">
      <c r="A807" s="80">
        <v>45709</v>
      </c>
      <c r="B807">
        <v>1010100</v>
      </c>
      <c r="C807">
        <v>29990</v>
      </c>
      <c r="E807" s="80">
        <v>45690</v>
      </c>
      <c r="F807">
        <v>1010900</v>
      </c>
      <c r="G807">
        <v>5000</v>
      </c>
    </row>
    <row r="808" spans="1:7" x14ac:dyDescent="0.3">
      <c r="A808" s="80">
        <v>45709</v>
      </c>
      <c r="B808">
        <v>1010100</v>
      </c>
      <c r="C808">
        <v>29990</v>
      </c>
      <c r="E808" s="80">
        <v>45690</v>
      </c>
      <c r="F808">
        <v>1010900</v>
      </c>
      <c r="G808">
        <v>5000</v>
      </c>
    </row>
    <row r="809" spans="1:7" x14ac:dyDescent="0.3">
      <c r="A809" s="80">
        <v>45709</v>
      </c>
      <c r="B809">
        <v>1010100</v>
      </c>
      <c r="C809">
        <v>29990</v>
      </c>
      <c r="E809" s="80">
        <v>45690</v>
      </c>
      <c r="F809">
        <v>1010900</v>
      </c>
      <c r="G809">
        <v>5000</v>
      </c>
    </row>
    <row r="810" spans="1:7" x14ac:dyDescent="0.3">
      <c r="A810" s="80">
        <v>45709</v>
      </c>
      <c r="B810">
        <v>1010100</v>
      </c>
      <c r="C810">
        <v>29990</v>
      </c>
      <c r="E810" s="80">
        <v>45690</v>
      </c>
      <c r="F810">
        <v>1010900</v>
      </c>
      <c r="G810">
        <v>5000</v>
      </c>
    </row>
    <row r="811" spans="1:7" x14ac:dyDescent="0.3">
      <c r="A811" s="80">
        <v>45709</v>
      </c>
      <c r="B811">
        <v>1010100</v>
      </c>
      <c r="C811">
        <v>29990</v>
      </c>
      <c r="E811" s="80">
        <v>45690</v>
      </c>
      <c r="F811">
        <v>1010900</v>
      </c>
      <c r="G811">
        <v>5000</v>
      </c>
    </row>
    <row r="812" spans="1:7" x14ac:dyDescent="0.3">
      <c r="A812" s="80">
        <v>45709</v>
      </c>
      <c r="B812">
        <v>1010100</v>
      </c>
      <c r="C812">
        <v>29990</v>
      </c>
      <c r="E812" s="80">
        <v>45690</v>
      </c>
      <c r="F812">
        <v>1010900</v>
      </c>
      <c r="G812">
        <v>5000</v>
      </c>
    </row>
    <row r="813" spans="1:7" x14ac:dyDescent="0.3">
      <c r="A813" s="80">
        <v>45708</v>
      </c>
      <c r="B813">
        <v>1010100</v>
      </c>
      <c r="C813">
        <v>29990</v>
      </c>
      <c r="E813" s="80">
        <v>45690</v>
      </c>
      <c r="F813">
        <v>1010900</v>
      </c>
      <c r="G813">
        <v>5000</v>
      </c>
    </row>
    <row r="814" spans="1:7" x14ac:dyDescent="0.3">
      <c r="A814" s="80">
        <v>45708</v>
      </c>
      <c r="B814">
        <v>1010100</v>
      </c>
      <c r="C814">
        <v>29990</v>
      </c>
      <c r="E814" s="80">
        <v>45690</v>
      </c>
      <c r="F814">
        <v>1010900</v>
      </c>
      <c r="G814">
        <v>5000</v>
      </c>
    </row>
    <row r="815" spans="1:7" x14ac:dyDescent="0.3">
      <c r="A815" s="80">
        <v>45708</v>
      </c>
      <c r="B815">
        <v>1010100</v>
      </c>
      <c r="C815">
        <v>29990</v>
      </c>
      <c r="E815" s="80">
        <v>45690</v>
      </c>
      <c r="F815">
        <v>1010900</v>
      </c>
      <c r="G815">
        <v>5000</v>
      </c>
    </row>
    <row r="816" spans="1:7" x14ac:dyDescent="0.3">
      <c r="A816" s="80">
        <v>45708</v>
      </c>
      <c r="B816">
        <v>1010100</v>
      </c>
      <c r="C816">
        <v>21990</v>
      </c>
      <c r="E816" s="80">
        <v>45690</v>
      </c>
      <c r="F816">
        <v>1010900</v>
      </c>
      <c r="G816">
        <v>5000</v>
      </c>
    </row>
    <row r="817" spans="1:7" x14ac:dyDescent="0.3">
      <c r="A817" s="80">
        <v>45708</v>
      </c>
      <c r="B817">
        <v>1010100</v>
      </c>
      <c r="C817">
        <v>29990</v>
      </c>
      <c r="E817" s="80">
        <v>45690</v>
      </c>
      <c r="F817">
        <v>1010900</v>
      </c>
      <c r="G817">
        <v>5000</v>
      </c>
    </row>
    <row r="818" spans="1:7" x14ac:dyDescent="0.3">
      <c r="A818" s="80">
        <v>45708</v>
      </c>
      <c r="B818">
        <v>1010100</v>
      </c>
      <c r="C818">
        <v>24990</v>
      </c>
      <c r="E818" s="80">
        <v>45690</v>
      </c>
      <c r="F818">
        <v>1010900</v>
      </c>
      <c r="G818">
        <v>8769</v>
      </c>
    </row>
    <row r="819" spans="1:7" x14ac:dyDescent="0.3">
      <c r="A819" s="80">
        <v>45708</v>
      </c>
      <c r="B819">
        <v>1010100</v>
      </c>
      <c r="C819">
        <v>29990</v>
      </c>
      <c r="E819" s="80">
        <v>45690</v>
      </c>
      <c r="F819">
        <v>1010900</v>
      </c>
      <c r="G819">
        <v>5000</v>
      </c>
    </row>
    <row r="820" spans="1:7" x14ac:dyDescent="0.3">
      <c r="A820" s="80">
        <v>45707</v>
      </c>
      <c r="B820">
        <v>1010100</v>
      </c>
      <c r="C820">
        <v>21990</v>
      </c>
      <c r="E820" s="80">
        <v>45690</v>
      </c>
      <c r="F820">
        <v>1010900</v>
      </c>
      <c r="G820">
        <v>2630</v>
      </c>
    </row>
    <row r="821" spans="1:7" x14ac:dyDescent="0.3">
      <c r="A821" s="80">
        <v>45705</v>
      </c>
      <c r="B821">
        <v>1010100</v>
      </c>
      <c r="C821">
        <v>21990</v>
      </c>
      <c r="E821" s="80">
        <v>45690</v>
      </c>
      <c r="F821">
        <v>1010900</v>
      </c>
      <c r="G821">
        <v>10000</v>
      </c>
    </row>
    <row r="822" spans="1:7" x14ac:dyDescent="0.3">
      <c r="A822" s="80">
        <v>45705</v>
      </c>
      <c r="B822">
        <v>1010100</v>
      </c>
      <c r="C822">
        <v>29990</v>
      </c>
      <c r="E822" s="80">
        <v>45690</v>
      </c>
      <c r="F822">
        <v>1010900</v>
      </c>
      <c r="G822">
        <v>5000</v>
      </c>
    </row>
    <row r="823" spans="1:7" x14ac:dyDescent="0.3">
      <c r="A823" s="80">
        <v>45705</v>
      </c>
      <c r="B823">
        <v>1010100</v>
      </c>
      <c r="C823">
        <v>21990</v>
      </c>
      <c r="E823" s="80">
        <v>45690</v>
      </c>
      <c r="F823">
        <v>1010900</v>
      </c>
      <c r="G823">
        <v>5000</v>
      </c>
    </row>
    <row r="824" spans="1:7" x14ac:dyDescent="0.3">
      <c r="A824" s="80">
        <v>45704</v>
      </c>
      <c r="B824">
        <v>1010100</v>
      </c>
      <c r="C824">
        <v>21990</v>
      </c>
      <c r="E824" s="80">
        <v>45690</v>
      </c>
      <c r="F824">
        <v>1010900</v>
      </c>
      <c r="G824">
        <v>5000</v>
      </c>
    </row>
    <row r="825" spans="1:7" x14ac:dyDescent="0.3">
      <c r="A825" s="80">
        <v>45704</v>
      </c>
      <c r="B825">
        <v>1010100</v>
      </c>
      <c r="C825">
        <v>24990</v>
      </c>
      <c r="E825" s="80">
        <v>45689</v>
      </c>
      <c r="F825">
        <v>1010900</v>
      </c>
      <c r="G825">
        <v>5000</v>
      </c>
    </row>
    <row r="826" spans="1:7" x14ac:dyDescent="0.3">
      <c r="A826" s="80">
        <v>45704</v>
      </c>
      <c r="B826">
        <v>1010100</v>
      </c>
      <c r="C826">
        <v>29990</v>
      </c>
      <c r="E826" s="80">
        <v>45689</v>
      </c>
      <c r="F826">
        <v>1010900</v>
      </c>
      <c r="G826">
        <v>5000</v>
      </c>
    </row>
    <row r="827" spans="1:7" x14ac:dyDescent="0.3">
      <c r="A827" s="80">
        <v>45703</v>
      </c>
      <c r="B827">
        <v>1010100</v>
      </c>
      <c r="C827">
        <v>21990</v>
      </c>
      <c r="E827" s="80">
        <v>45689</v>
      </c>
      <c r="F827">
        <v>1010900</v>
      </c>
      <c r="G827">
        <v>5000</v>
      </c>
    </row>
    <row r="828" spans="1:7" x14ac:dyDescent="0.3">
      <c r="A828" s="80">
        <v>45703</v>
      </c>
      <c r="B828">
        <v>1010100</v>
      </c>
      <c r="C828">
        <v>29990</v>
      </c>
      <c r="E828" s="80">
        <v>45689</v>
      </c>
      <c r="F828">
        <v>1010900</v>
      </c>
      <c r="G828">
        <v>8769</v>
      </c>
    </row>
    <row r="829" spans="1:7" x14ac:dyDescent="0.3">
      <c r="A829" s="80">
        <v>45703</v>
      </c>
      <c r="B829">
        <v>1010100</v>
      </c>
      <c r="C829">
        <v>29990</v>
      </c>
      <c r="E829" s="80">
        <v>45689</v>
      </c>
      <c r="F829">
        <v>1010900</v>
      </c>
      <c r="G829">
        <v>5000</v>
      </c>
    </row>
    <row r="830" spans="1:7" x14ac:dyDescent="0.3">
      <c r="A830" s="80">
        <v>45703</v>
      </c>
      <c r="B830">
        <v>1010100</v>
      </c>
      <c r="C830">
        <v>29990</v>
      </c>
      <c r="E830" s="80">
        <v>45689</v>
      </c>
      <c r="F830">
        <v>1010900</v>
      </c>
      <c r="G830">
        <v>5000</v>
      </c>
    </row>
    <row r="831" spans="1:7" x14ac:dyDescent="0.3">
      <c r="A831" s="80">
        <v>45702</v>
      </c>
      <c r="B831">
        <v>1010100</v>
      </c>
      <c r="C831">
        <v>29990</v>
      </c>
      <c r="E831" s="80">
        <v>45688</v>
      </c>
      <c r="F831">
        <v>1010900</v>
      </c>
      <c r="G831">
        <v>10000</v>
      </c>
    </row>
    <row r="832" spans="1:7" x14ac:dyDescent="0.3">
      <c r="A832" s="80">
        <v>45702</v>
      </c>
      <c r="B832">
        <v>1010100</v>
      </c>
      <c r="C832">
        <v>24990</v>
      </c>
      <c r="E832" s="80">
        <v>45688</v>
      </c>
      <c r="F832">
        <v>1010900</v>
      </c>
      <c r="G832">
        <v>5000</v>
      </c>
    </row>
    <row r="833" spans="1:7" x14ac:dyDescent="0.3">
      <c r="A833" s="80">
        <v>45701</v>
      </c>
      <c r="B833">
        <v>1010100</v>
      </c>
      <c r="C833">
        <v>21740</v>
      </c>
      <c r="E833" s="80">
        <v>45688</v>
      </c>
      <c r="F833">
        <v>1010900</v>
      </c>
      <c r="G833">
        <v>5000</v>
      </c>
    </row>
    <row r="834" spans="1:7" x14ac:dyDescent="0.3">
      <c r="A834" s="80">
        <v>45701</v>
      </c>
      <c r="B834">
        <v>1010100</v>
      </c>
      <c r="C834">
        <v>21740</v>
      </c>
      <c r="E834" s="80">
        <v>45688</v>
      </c>
      <c r="F834">
        <v>1010900</v>
      </c>
      <c r="G834">
        <v>8769</v>
      </c>
    </row>
    <row r="835" spans="1:7" x14ac:dyDescent="0.3">
      <c r="A835" s="80">
        <v>45701</v>
      </c>
      <c r="B835">
        <v>1010100</v>
      </c>
      <c r="C835">
        <v>21740</v>
      </c>
      <c r="E835" s="80">
        <v>45688</v>
      </c>
      <c r="F835">
        <v>1010900</v>
      </c>
      <c r="G835">
        <v>5000</v>
      </c>
    </row>
    <row r="836" spans="1:7" x14ac:dyDescent="0.3">
      <c r="A836" s="80">
        <v>45699</v>
      </c>
      <c r="B836">
        <v>1010100</v>
      </c>
      <c r="C836">
        <v>29990</v>
      </c>
      <c r="E836" s="80">
        <v>45688</v>
      </c>
      <c r="F836">
        <v>1010900</v>
      </c>
      <c r="G836">
        <v>5000</v>
      </c>
    </row>
    <row r="837" spans="1:7" x14ac:dyDescent="0.3">
      <c r="A837" s="80">
        <v>45699</v>
      </c>
      <c r="B837">
        <v>1010100</v>
      </c>
      <c r="C837">
        <v>21740</v>
      </c>
      <c r="E837" s="80">
        <v>45687</v>
      </c>
      <c r="F837">
        <v>1010900</v>
      </c>
      <c r="G837">
        <v>5000</v>
      </c>
    </row>
    <row r="838" spans="1:7" x14ac:dyDescent="0.3">
      <c r="A838" s="80">
        <v>45699</v>
      </c>
      <c r="B838">
        <v>1010100</v>
      </c>
      <c r="C838">
        <v>21740</v>
      </c>
      <c r="E838" s="80">
        <v>45687</v>
      </c>
      <c r="F838">
        <v>1010900</v>
      </c>
      <c r="G838">
        <v>8769</v>
      </c>
    </row>
    <row r="839" spans="1:7" x14ac:dyDescent="0.3">
      <c r="A839" s="80">
        <v>45699</v>
      </c>
      <c r="B839">
        <v>1010100</v>
      </c>
      <c r="C839">
        <v>9990</v>
      </c>
      <c r="E839" s="80">
        <v>45687</v>
      </c>
      <c r="F839">
        <v>1010900</v>
      </c>
      <c r="G839">
        <v>5000</v>
      </c>
    </row>
    <row r="840" spans="1:7" x14ac:dyDescent="0.3">
      <c r="A840" s="80">
        <v>45698</v>
      </c>
      <c r="B840">
        <v>1010100</v>
      </c>
      <c r="C840">
        <v>21740</v>
      </c>
      <c r="E840" s="80">
        <v>45687</v>
      </c>
      <c r="F840">
        <v>1010900</v>
      </c>
      <c r="G840">
        <v>5000</v>
      </c>
    </row>
    <row r="841" spans="1:7" x14ac:dyDescent="0.3">
      <c r="A841" s="80">
        <v>45698</v>
      </c>
      <c r="B841">
        <v>1010100</v>
      </c>
      <c r="C841">
        <v>18990</v>
      </c>
      <c r="E841" s="80">
        <v>45687</v>
      </c>
      <c r="F841">
        <v>1010900</v>
      </c>
      <c r="G841">
        <v>8769</v>
      </c>
    </row>
    <row r="842" spans="1:7" x14ac:dyDescent="0.3">
      <c r="A842" s="80">
        <v>45698</v>
      </c>
      <c r="B842">
        <v>1010100</v>
      </c>
      <c r="C842">
        <v>21740</v>
      </c>
      <c r="E842" s="80">
        <v>45687</v>
      </c>
      <c r="F842">
        <v>1010900</v>
      </c>
      <c r="G842">
        <v>8769</v>
      </c>
    </row>
    <row r="843" spans="1:7" x14ac:dyDescent="0.3">
      <c r="A843" s="80">
        <v>45698</v>
      </c>
      <c r="B843">
        <v>1010100</v>
      </c>
      <c r="C843">
        <v>21740</v>
      </c>
      <c r="E843" s="80">
        <v>45687</v>
      </c>
      <c r="F843">
        <v>1010900</v>
      </c>
      <c r="G843">
        <v>5000</v>
      </c>
    </row>
    <row r="844" spans="1:7" x14ac:dyDescent="0.3">
      <c r="A844" s="80">
        <v>45698</v>
      </c>
      <c r="B844">
        <v>1010100</v>
      </c>
      <c r="C844">
        <v>21740</v>
      </c>
      <c r="E844" s="80">
        <v>45687</v>
      </c>
      <c r="F844">
        <v>1010900</v>
      </c>
      <c r="G844">
        <v>8769</v>
      </c>
    </row>
    <row r="845" spans="1:7" x14ac:dyDescent="0.3">
      <c r="A845" s="80">
        <v>45698</v>
      </c>
      <c r="B845">
        <v>1010100</v>
      </c>
      <c r="C845">
        <v>18990</v>
      </c>
      <c r="E845" s="80">
        <v>45687</v>
      </c>
      <c r="F845">
        <v>1010900</v>
      </c>
      <c r="G845">
        <v>5000</v>
      </c>
    </row>
    <row r="846" spans="1:7" x14ac:dyDescent="0.3">
      <c r="A846" s="80">
        <v>45697</v>
      </c>
      <c r="B846">
        <v>1010100</v>
      </c>
      <c r="C846">
        <v>21740</v>
      </c>
      <c r="E846" s="80">
        <v>45687</v>
      </c>
      <c r="F846">
        <v>1010900</v>
      </c>
      <c r="G846">
        <v>5000</v>
      </c>
    </row>
    <row r="847" spans="1:7" x14ac:dyDescent="0.3">
      <c r="A847" s="80">
        <v>45697</v>
      </c>
      <c r="B847">
        <v>1010100</v>
      </c>
      <c r="C847">
        <v>29990</v>
      </c>
      <c r="E847" s="80">
        <v>45687</v>
      </c>
      <c r="F847">
        <v>1010900</v>
      </c>
      <c r="G847">
        <v>8769</v>
      </c>
    </row>
    <row r="848" spans="1:7" x14ac:dyDescent="0.3">
      <c r="A848" s="80">
        <v>45696</v>
      </c>
      <c r="B848">
        <v>1010100</v>
      </c>
      <c r="C848">
        <v>18990</v>
      </c>
      <c r="E848" s="80">
        <v>45687</v>
      </c>
      <c r="F848">
        <v>1010900</v>
      </c>
      <c r="G848">
        <v>8769</v>
      </c>
    </row>
    <row r="849" spans="1:7" x14ac:dyDescent="0.3">
      <c r="A849" s="80">
        <v>45696</v>
      </c>
      <c r="B849">
        <v>1010100</v>
      </c>
      <c r="C849">
        <v>29990</v>
      </c>
      <c r="E849" s="80">
        <v>45687</v>
      </c>
      <c r="F849">
        <v>1010900</v>
      </c>
      <c r="G849">
        <v>5000</v>
      </c>
    </row>
    <row r="850" spans="1:7" x14ac:dyDescent="0.3">
      <c r="A850" s="80">
        <v>45696</v>
      </c>
      <c r="B850">
        <v>1010100</v>
      </c>
      <c r="C850">
        <v>29990</v>
      </c>
      <c r="E850" s="80">
        <v>45687</v>
      </c>
      <c r="F850">
        <v>1010900</v>
      </c>
      <c r="G850">
        <v>5000</v>
      </c>
    </row>
    <row r="851" spans="1:7" x14ac:dyDescent="0.3">
      <c r="A851" s="80">
        <v>45696</v>
      </c>
      <c r="B851">
        <v>1010100</v>
      </c>
      <c r="C851">
        <v>21740</v>
      </c>
      <c r="E851" s="80">
        <v>45687</v>
      </c>
      <c r="F851">
        <v>1010900</v>
      </c>
      <c r="G851">
        <v>5000</v>
      </c>
    </row>
    <row r="852" spans="1:7" x14ac:dyDescent="0.3">
      <c r="A852" s="80">
        <v>45696</v>
      </c>
      <c r="B852">
        <v>1010100</v>
      </c>
      <c r="C852">
        <v>29990</v>
      </c>
      <c r="E852" s="80">
        <v>45687</v>
      </c>
      <c r="F852">
        <v>1010900</v>
      </c>
      <c r="G852">
        <v>5000</v>
      </c>
    </row>
    <row r="853" spans="1:7" x14ac:dyDescent="0.3">
      <c r="A853" s="80">
        <v>45695</v>
      </c>
      <c r="B853">
        <v>1010100</v>
      </c>
      <c r="C853">
        <v>29990</v>
      </c>
      <c r="E853" s="80">
        <v>45687</v>
      </c>
      <c r="F853">
        <v>1010900</v>
      </c>
      <c r="G853">
        <v>5000</v>
      </c>
    </row>
    <row r="854" spans="1:7" x14ac:dyDescent="0.3">
      <c r="A854" s="80">
        <v>45695</v>
      </c>
      <c r="B854">
        <v>1010100</v>
      </c>
      <c r="C854">
        <v>29990</v>
      </c>
      <c r="E854" s="80">
        <v>45686</v>
      </c>
      <c r="F854">
        <v>1010900</v>
      </c>
      <c r="G854">
        <v>10000</v>
      </c>
    </row>
    <row r="855" spans="1:7" x14ac:dyDescent="0.3">
      <c r="A855" s="80">
        <v>45695</v>
      </c>
      <c r="B855">
        <v>1010100</v>
      </c>
      <c r="C855">
        <v>29990</v>
      </c>
      <c r="E855" s="80">
        <v>45686</v>
      </c>
      <c r="F855">
        <v>1010900</v>
      </c>
      <c r="G855">
        <v>5000</v>
      </c>
    </row>
    <row r="856" spans="1:7" x14ac:dyDescent="0.3">
      <c r="A856" s="80">
        <v>45695</v>
      </c>
      <c r="B856">
        <v>1010100</v>
      </c>
      <c r="C856">
        <v>29990</v>
      </c>
      <c r="E856" s="80">
        <v>45686</v>
      </c>
      <c r="F856">
        <v>1010900</v>
      </c>
      <c r="G856">
        <v>5000</v>
      </c>
    </row>
    <row r="857" spans="1:7" x14ac:dyDescent="0.3">
      <c r="A857" s="80">
        <v>45695</v>
      </c>
      <c r="B857">
        <v>1010100</v>
      </c>
      <c r="C857">
        <v>29990</v>
      </c>
      <c r="E857" s="80">
        <v>45686</v>
      </c>
      <c r="F857">
        <v>1010900</v>
      </c>
      <c r="G857">
        <v>5000</v>
      </c>
    </row>
    <row r="858" spans="1:7" x14ac:dyDescent="0.3">
      <c r="A858" s="80">
        <v>45695</v>
      </c>
      <c r="B858">
        <v>1010100</v>
      </c>
      <c r="C858">
        <v>29990</v>
      </c>
      <c r="E858" s="80">
        <v>45686</v>
      </c>
      <c r="F858">
        <v>1010900</v>
      </c>
      <c r="G858">
        <v>5000</v>
      </c>
    </row>
    <row r="859" spans="1:7" x14ac:dyDescent="0.3">
      <c r="A859" s="80">
        <v>45694</v>
      </c>
      <c r="B859">
        <v>1010100</v>
      </c>
      <c r="C859">
        <v>29990</v>
      </c>
      <c r="E859" s="80">
        <v>45686</v>
      </c>
      <c r="F859">
        <v>1010900</v>
      </c>
      <c r="G859">
        <v>5000</v>
      </c>
    </row>
    <row r="860" spans="1:7" x14ac:dyDescent="0.3">
      <c r="A860" s="80">
        <v>45694</v>
      </c>
      <c r="B860">
        <v>1010100</v>
      </c>
      <c r="C860">
        <v>29990</v>
      </c>
      <c r="E860" s="80">
        <v>45686</v>
      </c>
      <c r="F860">
        <v>1010900</v>
      </c>
      <c r="G860">
        <v>5000</v>
      </c>
    </row>
    <row r="861" spans="1:7" x14ac:dyDescent="0.3">
      <c r="A861" s="80">
        <v>45694</v>
      </c>
      <c r="B861">
        <v>1010100</v>
      </c>
      <c r="C861">
        <v>29990</v>
      </c>
      <c r="E861" s="80">
        <v>45686</v>
      </c>
      <c r="F861">
        <v>1010900</v>
      </c>
      <c r="G861">
        <v>5000</v>
      </c>
    </row>
    <row r="862" spans="1:7" x14ac:dyDescent="0.3">
      <c r="A862" s="80">
        <v>45694</v>
      </c>
      <c r="B862">
        <v>1010100</v>
      </c>
      <c r="C862">
        <v>21740</v>
      </c>
      <c r="E862" s="80">
        <v>45686</v>
      </c>
      <c r="F862">
        <v>1010900</v>
      </c>
      <c r="G862">
        <v>5000</v>
      </c>
    </row>
    <row r="863" spans="1:7" x14ac:dyDescent="0.3">
      <c r="A863" s="80">
        <v>45694</v>
      </c>
      <c r="B863">
        <v>1010100</v>
      </c>
      <c r="C863">
        <v>29990</v>
      </c>
      <c r="E863" s="80">
        <v>45686</v>
      </c>
      <c r="F863">
        <v>1010900</v>
      </c>
      <c r="G863">
        <v>5000</v>
      </c>
    </row>
    <row r="864" spans="1:7" x14ac:dyDescent="0.3">
      <c r="A864" s="80">
        <v>45694</v>
      </c>
      <c r="B864">
        <v>1010100</v>
      </c>
      <c r="C864">
        <v>9990</v>
      </c>
      <c r="E864" s="80">
        <v>45686</v>
      </c>
      <c r="F864">
        <v>1010900</v>
      </c>
      <c r="G864">
        <v>5000</v>
      </c>
    </row>
    <row r="865" spans="1:7" x14ac:dyDescent="0.3">
      <c r="A865" s="80">
        <v>45694</v>
      </c>
      <c r="B865">
        <v>1010100</v>
      </c>
      <c r="C865">
        <v>29990</v>
      </c>
      <c r="E865" s="80">
        <v>45686</v>
      </c>
      <c r="F865">
        <v>1010900</v>
      </c>
      <c r="G865">
        <v>5000</v>
      </c>
    </row>
    <row r="866" spans="1:7" x14ac:dyDescent="0.3">
      <c r="A866" s="80">
        <v>45694</v>
      </c>
      <c r="B866">
        <v>1010100</v>
      </c>
      <c r="C866">
        <v>43480</v>
      </c>
      <c r="E866" s="80">
        <v>45685</v>
      </c>
      <c r="F866">
        <v>1010900</v>
      </c>
      <c r="G866">
        <v>5000</v>
      </c>
    </row>
    <row r="867" spans="1:7" x14ac:dyDescent="0.3">
      <c r="A867" s="80">
        <v>45694</v>
      </c>
      <c r="B867">
        <v>1010100</v>
      </c>
      <c r="C867">
        <v>29990</v>
      </c>
      <c r="E867" s="80">
        <v>45685</v>
      </c>
      <c r="F867">
        <v>1010900</v>
      </c>
      <c r="G867">
        <v>5000</v>
      </c>
    </row>
    <row r="868" spans="1:7" x14ac:dyDescent="0.3">
      <c r="A868" s="80">
        <v>45694</v>
      </c>
      <c r="B868">
        <v>1010100</v>
      </c>
      <c r="C868">
        <v>29990</v>
      </c>
      <c r="E868" s="80">
        <v>45685</v>
      </c>
      <c r="F868">
        <v>1010900</v>
      </c>
      <c r="G868">
        <v>5000</v>
      </c>
    </row>
    <row r="869" spans="1:7" x14ac:dyDescent="0.3">
      <c r="A869" s="80">
        <v>45694</v>
      </c>
      <c r="B869">
        <v>1010100</v>
      </c>
      <c r="C869">
        <v>29990</v>
      </c>
      <c r="E869" s="80">
        <v>45685</v>
      </c>
      <c r="F869">
        <v>1010900</v>
      </c>
      <c r="G869">
        <v>5000</v>
      </c>
    </row>
    <row r="870" spans="1:7" x14ac:dyDescent="0.3">
      <c r="A870" s="80">
        <v>45693</v>
      </c>
      <c r="B870">
        <v>1010100</v>
      </c>
      <c r="C870">
        <v>29990</v>
      </c>
      <c r="E870" s="80">
        <v>45685</v>
      </c>
      <c r="F870">
        <v>1010900</v>
      </c>
      <c r="G870">
        <v>5000</v>
      </c>
    </row>
    <row r="871" spans="1:7" x14ac:dyDescent="0.3">
      <c r="A871" s="80">
        <v>45693</v>
      </c>
      <c r="B871">
        <v>1010100</v>
      </c>
      <c r="C871">
        <v>29990</v>
      </c>
      <c r="E871" s="80">
        <v>45685</v>
      </c>
      <c r="F871">
        <v>1010900</v>
      </c>
      <c r="G871">
        <v>5000</v>
      </c>
    </row>
    <row r="872" spans="1:7" x14ac:dyDescent="0.3">
      <c r="A872" s="80">
        <v>45693</v>
      </c>
      <c r="B872">
        <v>1010100</v>
      </c>
      <c r="C872">
        <v>29990</v>
      </c>
      <c r="E872" s="80">
        <v>45685</v>
      </c>
      <c r="F872">
        <v>1010900</v>
      </c>
      <c r="G872">
        <v>5000</v>
      </c>
    </row>
    <row r="873" spans="1:7" x14ac:dyDescent="0.3">
      <c r="A873" s="80">
        <v>45693</v>
      </c>
      <c r="B873">
        <v>1010100</v>
      </c>
      <c r="C873">
        <v>21740</v>
      </c>
      <c r="E873" s="80">
        <v>45685</v>
      </c>
      <c r="F873">
        <v>1010900</v>
      </c>
      <c r="G873">
        <v>5000</v>
      </c>
    </row>
    <row r="874" spans="1:7" x14ac:dyDescent="0.3">
      <c r="A874" s="80">
        <v>45693</v>
      </c>
      <c r="B874">
        <v>1010100</v>
      </c>
      <c r="C874">
        <v>21740</v>
      </c>
      <c r="E874" s="80">
        <v>45684</v>
      </c>
      <c r="F874">
        <v>1010900</v>
      </c>
      <c r="G874">
        <v>5000</v>
      </c>
    </row>
    <row r="875" spans="1:7" x14ac:dyDescent="0.3">
      <c r="A875" s="80">
        <v>45693</v>
      </c>
      <c r="B875">
        <v>1010100</v>
      </c>
      <c r="C875">
        <v>21740</v>
      </c>
      <c r="E875" s="80">
        <v>45684</v>
      </c>
      <c r="F875">
        <v>1010900</v>
      </c>
      <c r="G875">
        <v>5000</v>
      </c>
    </row>
    <row r="876" spans="1:7" x14ac:dyDescent="0.3">
      <c r="A876" s="80">
        <v>45693</v>
      </c>
      <c r="B876">
        <v>1010100</v>
      </c>
      <c r="C876">
        <v>29990</v>
      </c>
      <c r="E876" s="80">
        <v>45684</v>
      </c>
      <c r="F876">
        <v>1010900</v>
      </c>
      <c r="G876">
        <v>5000</v>
      </c>
    </row>
    <row r="877" spans="1:7" x14ac:dyDescent="0.3">
      <c r="A877" s="80">
        <v>45693</v>
      </c>
      <c r="B877">
        <v>1010100</v>
      </c>
      <c r="C877">
        <v>29990</v>
      </c>
      <c r="E877" s="80">
        <v>45684</v>
      </c>
      <c r="F877">
        <v>1010900</v>
      </c>
      <c r="G877">
        <v>5000</v>
      </c>
    </row>
    <row r="878" spans="1:7" x14ac:dyDescent="0.3">
      <c r="A878" s="80">
        <v>45693</v>
      </c>
      <c r="B878">
        <v>1010100</v>
      </c>
      <c r="C878">
        <v>29990</v>
      </c>
      <c r="E878" s="80">
        <v>45684</v>
      </c>
      <c r="F878">
        <v>1010900</v>
      </c>
      <c r="G878">
        <v>5000</v>
      </c>
    </row>
    <row r="879" spans="1:7" x14ac:dyDescent="0.3">
      <c r="A879" s="80">
        <v>45693</v>
      </c>
      <c r="B879">
        <v>1010100</v>
      </c>
      <c r="C879">
        <v>29990</v>
      </c>
      <c r="E879" s="80">
        <v>45684</v>
      </c>
      <c r="F879">
        <v>1010900</v>
      </c>
      <c r="G879">
        <v>5000</v>
      </c>
    </row>
    <row r="880" spans="1:7" x14ac:dyDescent="0.3">
      <c r="A880" s="80">
        <v>45693</v>
      </c>
      <c r="B880">
        <v>1010100</v>
      </c>
      <c r="C880">
        <v>21740</v>
      </c>
      <c r="E880" s="80">
        <v>45684</v>
      </c>
      <c r="F880">
        <v>1010900</v>
      </c>
      <c r="G880">
        <v>10000</v>
      </c>
    </row>
    <row r="881" spans="1:7" x14ac:dyDescent="0.3">
      <c r="A881" s="80">
        <v>45692</v>
      </c>
      <c r="B881">
        <v>1010100</v>
      </c>
      <c r="C881">
        <v>21740</v>
      </c>
      <c r="E881" s="80">
        <v>45684</v>
      </c>
      <c r="F881">
        <v>1010900</v>
      </c>
      <c r="G881">
        <v>5000</v>
      </c>
    </row>
    <row r="882" spans="1:7" x14ac:dyDescent="0.3">
      <c r="A882" s="80">
        <v>45692</v>
      </c>
      <c r="B882">
        <v>1010100</v>
      </c>
      <c r="C882">
        <v>21740</v>
      </c>
      <c r="E882" s="80">
        <v>45683</v>
      </c>
      <c r="F882">
        <v>1010900</v>
      </c>
      <c r="G882">
        <v>5000</v>
      </c>
    </row>
    <row r="883" spans="1:7" x14ac:dyDescent="0.3">
      <c r="A883" s="80">
        <v>45692</v>
      </c>
      <c r="B883">
        <v>1010100</v>
      </c>
      <c r="C883">
        <v>21740</v>
      </c>
      <c r="E883" s="80">
        <v>45683</v>
      </c>
      <c r="F883">
        <v>1010900</v>
      </c>
      <c r="G883">
        <v>5000</v>
      </c>
    </row>
    <row r="884" spans="1:7" x14ac:dyDescent="0.3">
      <c r="A884" s="80">
        <v>45692</v>
      </c>
      <c r="B884">
        <v>1010100</v>
      </c>
      <c r="C884">
        <v>29990</v>
      </c>
      <c r="E884" s="80">
        <v>45683</v>
      </c>
      <c r="F884">
        <v>1010900</v>
      </c>
      <c r="G884">
        <v>5000</v>
      </c>
    </row>
    <row r="885" spans="1:7" x14ac:dyDescent="0.3">
      <c r="A885" s="80">
        <v>45692</v>
      </c>
      <c r="B885">
        <v>1010100</v>
      </c>
      <c r="C885">
        <v>26991</v>
      </c>
      <c r="E885" s="80">
        <v>45683</v>
      </c>
      <c r="F885">
        <v>1010900</v>
      </c>
      <c r="G885">
        <v>5000</v>
      </c>
    </row>
    <row r="886" spans="1:7" x14ac:dyDescent="0.3">
      <c r="A886" s="80">
        <v>45692</v>
      </c>
      <c r="B886">
        <v>1010100</v>
      </c>
      <c r="C886">
        <v>29990</v>
      </c>
      <c r="E886" s="80">
        <v>45683</v>
      </c>
      <c r="F886">
        <v>1010900</v>
      </c>
      <c r="G886">
        <v>5000</v>
      </c>
    </row>
    <row r="887" spans="1:7" x14ac:dyDescent="0.3">
      <c r="A887" s="80">
        <v>45692</v>
      </c>
      <c r="B887">
        <v>1010100</v>
      </c>
      <c r="C887">
        <v>29990</v>
      </c>
      <c r="E887" s="80">
        <v>45683</v>
      </c>
      <c r="F887">
        <v>1010900</v>
      </c>
      <c r="G887">
        <v>5000</v>
      </c>
    </row>
    <row r="888" spans="1:7" x14ac:dyDescent="0.3">
      <c r="A888" s="80">
        <v>45692</v>
      </c>
      <c r="B888">
        <v>1010100</v>
      </c>
      <c r="C888">
        <v>29990</v>
      </c>
      <c r="E888" s="80">
        <v>45683</v>
      </c>
      <c r="F888">
        <v>1010900</v>
      </c>
      <c r="G888">
        <v>5000</v>
      </c>
    </row>
    <row r="889" spans="1:7" x14ac:dyDescent="0.3">
      <c r="A889" s="80">
        <v>45691</v>
      </c>
      <c r="B889">
        <v>1010100</v>
      </c>
      <c r="C889">
        <v>21740</v>
      </c>
      <c r="E889" s="80">
        <v>45683</v>
      </c>
      <c r="F889">
        <v>1010900</v>
      </c>
      <c r="G889">
        <v>5000</v>
      </c>
    </row>
    <row r="890" spans="1:7" x14ac:dyDescent="0.3">
      <c r="A890" s="80">
        <v>45691</v>
      </c>
      <c r="B890">
        <v>1010100</v>
      </c>
      <c r="C890">
        <v>29990</v>
      </c>
      <c r="E890" s="80">
        <v>45682</v>
      </c>
      <c r="F890">
        <v>1010900</v>
      </c>
      <c r="G890">
        <v>5000</v>
      </c>
    </row>
    <row r="891" spans="1:7" x14ac:dyDescent="0.3">
      <c r="A891" s="80">
        <v>45691</v>
      </c>
      <c r="B891">
        <v>1010100</v>
      </c>
      <c r="C891">
        <v>21740</v>
      </c>
      <c r="E891" s="80">
        <v>45682</v>
      </c>
      <c r="F891">
        <v>1010900</v>
      </c>
      <c r="G891">
        <v>5000</v>
      </c>
    </row>
    <row r="892" spans="1:7" x14ac:dyDescent="0.3">
      <c r="A892" s="80">
        <v>45691</v>
      </c>
      <c r="B892">
        <v>1010100</v>
      </c>
      <c r="C892">
        <v>29990</v>
      </c>
      <c r="E892" s="80">
        <v>45682</v>
      </c>
      <c r="F892">
        <v>1010900</v>
      </c>
      <c r="G892">
        <v>5000</v>
      </c>
    </row>
    <row r="893" spans="1:7" x14ac:dyDescent="0.3">
      <c r="A893" s="80">
        <v>45691</v>
      </c>
      <c r="B893">
        <v>1010100</v>
      </c>
      <c r="C893">
        <v>21740</v>
      </c>
      <c r="E893" s="80">
        <v>45682</v>
      </c>
      <c r="F893">
        <v>1010900</v>
      </c>
      <c r="G893">
        <v>5000</v>
      </c>
    </row>
    <row r="894" spans="1:7" x14ac:dyDescent="0.3">
      <c r="A894" s="80">
        <v>45691</v>
      </c>
      <c r="B894">
        <v>1010100</v>
      </c>
      <c r="C894">
        <v>29990</v>
      </c>
      <c r="E894" s="80">
        <v>45682</v>
      </c>
      <c r="F894">
        <v>1010900</v>
      </c>
      <c r="G894">
        <v>5000</v>
      </c>
    </row>
    <row r="895" spans="1:7" x14ac:dyDescent="0.3">
      <c r="A895" s="80">
        <v>45690</v>
      </c>
      <c r="B895">
        <v>1010100</v>
      </c>
      <c r="C895">
        <v>29990</v>
      </c>
      <c r="E895" s="80">
        <v>45682</v>
      </c>
      <c r="F895">
        <v>1010900</v>
      </c>
      <c r="G895">
        <v>5000</v>
      </c>
    </row>
    <row r="896" spans="1:7" x14ac:dyDescent="0.3">
      <c r="A896" s="80">
        <v>45690</v>
      </c>
      <c r="B896">
        <v>1010100</v>
      </c>
      <c r="C896">
        <v>32990</v>
      </c>
      <c r="E896" s="80">
        <v>45682</v>
      </c>
      <c r="F896">
        <v>1010900</v>
      </c>
      <c r="G896">
        <v>5000</v>
      </c>
    </row>
    <row r="897" spans="1:7" x14ac:dyDescent="0.3">
      <c r="A897" s="80">
        <v>45690</v>
      </c>
      <c r="B897">
        <v>1010100</v>
      </c>
      <c r="C897">
        <v>21740</v>
      </c>
      <c r="E897" s="80">
        <v>45682</v>
      </c>
      <c r="F897">
        <v>1010900</v>
      </c>
      <c r="G897">
        <v>5000</v>
      </c>
    </row>
    <row r="898" spans="1:7" x14ac:dyDescent="0.3">
      <c r="A898" s="80">
        <v>45690</v>
      </c>
      <c r="B898">
        <v>1010100</v>
      </c>
      <c r="C898">
        <v>29990</v>
      </c>
      <c r="E898" s="80">
        <v>45682</v>
      </c>
      <c r="F898">
        <v>1010900</v>
      </c>
      <c r="G898">
        <v>5000</v>
      </c>
    </row>
    <row r="899" spans="1:7" x14ac:dyDescent="0.3">
      <c r="A899" s="80">
        <v>45690</v>
      </c>
      <c r="B899">
        <v>1010100</v>
      </c>
      <c r="C899">
        <v>29990</v>
      </c>
      <c r="E899" s="80">
        <v>45682</v>
      </c>
      <c r="F899">
        <v>1010900</v>
      </c>
      <c r="G899">
        <v>5000</v>
      </c>
    </row>
    <row r="900" spans="1:7" x14ac:dyDescent="0.3">
      <c r="A900" s="80">
        <v>45690</v>
      </c>
      <c r="B900">
        <v>1010100</v>
      </c>
      <c r="C900">
        <v>29990</v>
      </c>
      <c r="E900" s="80">
        <v>45682</v>
      </c>
      <c r="F900">
        <v>1010900</v>
      </c>
      <c r="G900">
        <v>5000</v>
      </c>
    </row>
    <row r="901" spans="1:7" x14ac:dyDescent="0.3">
      <c r="A901" s="80">
        <v>45690</v>
      </c>
      <c r="B901">
        <v>1010100</v>
      </c>
      <c r="C901">
        <v>29990</v>
      </c>
      <c r="E901" s="80">
        <v>45682</v>
      </c>
      <c r="F901">
        <v>1010900</v>
      </c>
      <c r="G901">
        <v>5000</v>
      </c>
    </row>
    <row r="902" spans="1:7" x14ac:dyDescent="0.3">
      <c r="A902" s="80">
        <v>45690</v>
      </c>
      <c r="B902">
        <v>1010100</v>
      </c>
      <c r="C902">
        <v>29990</v>
      </c>
      <c r="E902" s="80">
        <v>45682</v>
      </c>
      <c r="F902">
        <v>1010900</v>
      </c>
      <c r="G902">
        <v>5000</v>
      </c>
    </row>
    <row r="903" spans="1:7" x14ac:dyDescent="0.3">
      <c r="A903" s="80">
        <v>45690</v>
      </c>
      <c r="B903">
        <v>1010100</v>
      </c>
      <c r="C903">
        <v>29990</v>
      </c>
      <c r="E903" s="80">
        <v>45682</v>
      </c>
      <c r="F903">
        <v>1010900</v>
      </c>
      <c r="G903">
        <v>5000</v>
      </c>
    </row>
    <row r="904" spans="1:7" x14ac:dyDescent="0.3">
      <c r="A904" s="80">
        <v>45690</v>
      </c>
      <c r="B904">
        <v>1010100</v>
      </c>
      <c r="C904">
        <v>32990</v>
      </c>
      <c r="E904" s="80">
        <v>45682</v>
      </c>
      <c r="F904">
        <v>1010900</v>
      </c>
      <c r="G904">
        <v>5000</v>
      </c>
    </row>
    <row r="905" spans="1:7" x14ac:dyDescent="0.3">
      <c r="A905" s="80">
        <v>45690</v>
      </c>
      <c r="B905">
        <v>1010100</v>
      </c>
      <c r="C905">
        <v>29990</v>
      </c>
      <c r="E905" s="80">
        <v>45681</v>
      </c>
      <c r="F905">
        <v>1010900</v>
      </c>
      <c r="G905">
        <v>5000</v>
      </c>
    </row>
    <row r="906" spans="1:7" x14ac:dyDescent="0.3">
      <c r="A906" s="80">
        <v>45690</v>
      </c>
      <c r="B906">
        <v>1010100</v>
      </c>
      <c r="C906">
        <v>29990</v>
      </c>
      <c r="E906" s="80">
        <v>45681</v>
      </c>
      <c r="F906">
        <v>1010900</v>
      </c>
      <c r="G906">
        <v>5000</v>
      </c>
    </row>
    <row r="907" spans="1:7" x14ac:dyDescent="0.3">
      <c r="A907" s="80">
        <v>45690</v>
      </c>
      <c r="B907">
        <v>1010100</v>
      </c>
      <c r="C907">
        <v>29990</v>
      </c>
      <c r="E907" s="80">
        <v>45681</v>
      </c>
      <c r="F907">
        <v>1010900</v>
      </c>
      <c r="G907">
        <v>5000</v>
      </c>
    </row>
    <row r="908" spans="1:7" x14ac:dyDescent="0.3">
      <c r="A908" s="80">
        <v>45690</v>
      </c>
      <c r="B908">
        <v>1010100</v>
      </c>
      <c r="C908">
        <v>29990</v>
      </c>
      <c r="E908" s="80">
        <v>45681</v>
      </c>
      <c r="F908">
        <v>1010900</v>
      </c>
      <c r="G908">
        <v>5000</v>
      </c>
    </row>
    <row r="909" spans="1:7" x14ac:dyDescent="0.3">
      <c r="A909" s="80">
        <v>45690</v>
      </c>
      <c r="B909">
        <v>1010100</v>
      </c>
      <c r="C909">
        <v>29990</v>
      </c>
      <c r="E909" s="80">
        <v>45681</v>
      </c>
      <c r="F909">
        <v>1010900</v>
      </c>
      <c r="G909">
        <v>5000</v>
      </c>
    </row>
    <row r="910" spans="1:7" x14ac:dyDescent="0.3">
      <c r="A910" s="80">
        <v>45690</v>
      </c>
      <c r="B910">
        <v>1010100</v>
      </c>
      <c r="C910">
        <v>21740</v>
      </c>
      <c r="E910" s="80">
        <v>45681</v>
      </c>
      <c r="F910">
        <v>1010900</v>
      </c>
      <c r="G910">
        <v>5000</v>
      </c>
    </row>
    <row r="911" spans="1:7" x14ac:dyDescent="0.3">
      <c r="A911" s="80">
        <v>45690</v>
      </c>
      <c r="B911">
        <v>1010100</v>
      </c>
      <c r="C911">
        <v>29990</v>
      </c>
      <c r="E911" s="80">
        <v>45681</v>
      </c>
      <c r="F911">
        <v>1010900</v>
      </c>
      <c r="G911">
        <v>5000</v>
      </c>
    </row>
    <row r="912" spans="1:7" x14ac:dyDescent="0.3">
      <c r="A912" s="80">
        <v>45690</v>
      </c>
      <c r="B912">
        <v>1010100</v>
      </c>
      <c r="C912">
        <v>9990</v>
      </c>
      <c r="E912" s="80">
        <v>45681</v>
      </c>
      <c r="F912">
        <v>1010900</v>
      </c>
      <c r="G912">
        <v>5000</v>
      </c>
    </row>
    <row r="913" spans="1:7" x14ac:dyDescent="0.3">
      <c r="A913" s="80">
        <v>45690</v>
      </c>
      <c r="B913">
        <v>1010100</v>
      </c>
      <c r="C913">
        <v>59980</v>
      </c>
      <c r="E913" s="80">
        <v>45680</v>
      </c>
      <c r="F913">
        <v>1010900</v>
      </c>
      <c r="G913">
        <v>5000</v>
      </c>
    </row>
    <row r="914" spans="1:7" x14ac:dyDescent="0.3">
      <c r="A914" s="80">
        <v>45690</v>
      </c>
      <c r="B914">
        <v>1010100</v>
      </c>
      <c r="C914">
        <v>29990</v>
      </c>
      <c r="E914" s="80">
        <v>45680</v>
      </c>
      <c r="F914">
        <v>1010900</v>
      </c>
      <c r="G914">
        <v>5000</v>
      </c>
    </row>
    <row r="915" spans="1:7" x14ac:dyDescent="0.3">
      <c r="A915" s="80">
        <v>45690</v>
      </c>
      <c r="B915">
        <v>1010100</v>
      </c>
      <c r="C915">
        <v>29990</v>
      </c>
      <c r="E915" s="80">
        <v>45680</v>
      </c>
      <c r="F915">
        <v>1010900</v>
      </c>
      <c r="G915">
        <v>5000</v>
      </c>
    </row>
    <row r="916" spans="1:7" x14ac:dyDescent="0.3">
      <c r="A916" s="80">
        <v>45690</v>
      </c>
      <c r="B916">
        <v>1010100</v>
      </c>
      <c r="C916">
        <v>32990</v>
      </c>
      <c r="E916" s="80">
        <v>45680</v>
      </c>
      <c r="F916">
        <v>1010900</v>
      </c>
      <c r="G916">
        <v>5000</v>
      </c>
    </row>
    <row r="917" spans="1:7" x14ac:dyDescent="0.3">
      <c r="A917" s="80">
        <v>45689</v>
      </c>
      <c r="B917">
        <v>1010100</v>
      </c>
      <c r="C917">
        <v>32990</v>
      </c>
      <c r="E917" s="80">
        <v>45680</v>
      </c>
      <c r="F917">
        <v>1010900</v>
      </c>
      <c r="G917">
        <v>5000</v>
      </c>
    </row>
    <row r="918" spans="1:7" x14ac:dyDescent="0.3">
      <c r="A918" s="80">
        <v>45689</v>
      </c>
      <c r="B918">
        <v>1010100</v>
      </c>
      <c r="C918">
        <v>29990</v>
      </c>
      <c r="E918" s="80">
        <v>45680</v>
      </c>
      <c r="F918">
        <v>1010900</v>
      </c>
      <c r="G918">
        <v>5000</v>
      </c>
    </row>
    <row r="919" spans="1:7" x14ac:dyDescent="0.3">
      <c r="A919" s="80">
        <v>45689</v>
      </c>
      <c r="B919">
        <v>1010100</v>
      </c>
      <c r="C919">
        <v>32990</v>
      </c>
      <c r="E919" s="80">
        <v>45680</v>
      </c>
      <c r="F919">
        <v>1010900</v>
      </c>
      <c r="G919">
        <v>5000</v>
      </c>
    </row>
    <row r="920" spans="1:7" x14ac:dyDescent="0.3">
      <c r="A920" s="80">
        <v>45689</v>
      </c>
      <c r="B920">
        <v>1010100</v>
      </c>
      <c r="C920">
        <v>21740</v>
      </c>
      <c r="E920" s="80">
        <v>45679</v>
      </c>
      <c r="F920">
        <v>1010900</v>
      </c>
      <c r="G920">
        <v>5000</v>
      </c>
    </row>
    <row r="921" spans="1:7" x14ac:dyDescent="0.3">
      <c r="A921" s="80">
        <v>45689</v>
      </c>
      <c r="B921">
        <v>1010100</v>
      </c>
      <c r="C921">
        <v>29990</v>
      </c>
      <c r="E921" s="80">
        <v>45679</v>
      </c>
      <c r="F921">
        <v>1010900</v>
      </c>
      <c r="G921">
        <v>5000</v>
      </c>
    </row>
    <row r="922" spans="1:7" x14ac:dyDescent="0.3">
      <c r="A922" s="80">
        <v>45689</v>
      </c>
      <c r="B922">
        <v>1010100</v>
      </c>
      <c r="C922">
        <v>29990</v>
      </c>
      <c r="E922" s="80">
        <v>45679</v>
      </c>
      <c r="F922">
        <v>1010900</v>
      </c>
      <c r="G922">
        <v>5000</v>
      </c>
    </row>
    <row r="923" spans="1:7" x14ac:dyDescent="0.3">
      <c r="A923" s="80">
        <v>45688</v>
      </c>
      <c r="B923">
        <v>1010100</v>
      </c>
      <c r="C923">
        <v>59980</v>
      </c>
      <c r="E923" s="80">
        <v>45679</v>
      </c>
      <c r="F923">
        <v>1010900</v>
      </c>
      <c r="G923">
        <v>5000</v>
      </c>
    </row>
    <row r="924" spans="1:7" x14ac:dyDescent="0.3">
      <c r="A924" s="80">
        <v>45688</v>
      </c>
      <c r="B924">
        <v>1010100</v>
      </c>
      <c r="C924">
        <v>29990</v>
      </c>
      <c r="E924" s="80">
        <v>45679</v>
      </c>
      <c r="F924">
        <v>1010900</v>
      </c>
      <c r="G924">
        <v>5000</v>
      </c>
    </row>
    <row r="925" spans="1:7" x14ac:dyDescent="0.3">
      <c r="A925" s="80">
        <v>45688</v>
      </c>
      <c r="B925">
        <v>1010100</v>
      </c>
      <c r="C925">
        <v>29990</v>
      </c>
      <c r="E925" s="80">
        <v>45679</v>
      </c>
      <c r="F925">
        <v>1010900</v>
      </c>
      <c r="G925">
        <v>5000</v>
      </c>
    </row>
    <row r="926" spans="1:7" x14ac:dyDescent="0.3">
      <c r="A926" s="80">
        <v>45688</v>
      </c>
      <c r="B926">
        <v>1010100</v>
      </c>
      <c r="C926">
        <v>21740</v>
      </c>
      <c r="E926" s="80">
        <v>45679</v>
      </c>
      <c r="F926">
        <v>1010900</v>
      </c>
      <c r="G926">
        <v>10000</v>
      </c>
    </row>
    <row r="927" spans="1:7" x14ac:dyDescent="0.3">
      <c r="A927" s="80">
        <v>45688</v>
      </c>
      <c r="B927">
        <v>1010100</v>
      </c>
      <c r="C927">
        <v>29990</v>
      </c>
      <c r="E927" s="80">
        <v>45679</v>
      </c>
      <c r="F927">
        <v>1010900</v>
      </c>
      <c r="G927">
        <v>5000</v>
      </c>
    </row>
    <row r="928" spans="1:7" x14ac:dyDescent="0.3">
      <c r="A928" s="80">
        <v>45688</v>
      </c>
      <c r="B928">
        <v>1010100</v>
      </c>
      <c r="C928">
        <v>29990</v>
      </c>
      <c r="E928" s="80">
        <v>45679</v>
      </c>
      <c r="F928">
        <v>1010900</v>
      </c>
      <c r="G928">
        <v>5000</v>
      </c>
    </row>
    <row r="929" spans="1:7" x14ac:dyDescent="0.3">
      <c r="A929" s="80">
        <v>45687</v>
      </c>
      <c r="B929">
        <v>1010100</v>
      </c>
      <c r="C929">
        <v>29990</v>
      </c>
      <c r="E929" s="80">
        <v>45678</v>
      </c>
      <c r="F929">
        <v>1010900</v>
      </c>
      <c r="G929">
        <v>5000</v>
      </c>
    </row>
    <row r="930" spans="1:7" x14ac:dyDescent="0.3">
      <c r="A930" s="80">
        <v>45687</v>
      </c>
      <c r="B930">
        <v>1010100</v>
      </c>
      <c r="C930">
        <v>21740</v>
      </c>
      <c r="E930" s="80">
        <v>45678</v>
      </c>
      <c r="F930">
        <v>1010900</v>
      </c>
      <c r="G930">
        <v>5000</v>
      </c>
    </row>
    <row r="931" spans="1:7" x14ac:dyDescent="0.3">
      <c r="A931" s="80">
        <v>45687</v>
      </c>
      <c r="B931">
        <v>1010100</v>
      </c>
      <c r="C931">
        <v>29990</v>
      </c>
      <c r="E931" s="80">
        <v>45678</v>
      </c>
      <c r="F931">
        <v>1010900</v>
      </c>
      <c r="G931">
        <v>5000</v>
      </c>
    </row>
    <row r="932" spans="1:7" x14ac:dyDescent="0.3">
      <c r="A932" s="80">
        <v>45687</v>
      </c>
      <c r="B932">
        <v>1010100</v>
      </c>
      <c r="C932">
        <v>29990</v>
      </c>
      <c r="E932" s="80">
        <v>45678</v>
      </c>
      <c r="F932">
        <v>1010900</v>
      </c>
      <c r="G932">
        <v>5000</v>
      </c>
    </row>
    <row r="933" spans="1:7" x14ac:dyDescent="0.3">
      <c r="A933" s="80">
        <v>45687</v>
      </c>
      <c r="B933">
        <v>1010100</v>
      </c>
      <c r="C933">
        <v>21740</v>
      </c>
      <c r="E933" s="80">
        <v>45678</v>
      </c>
      <c r="F933">
        <v>1010900</v>
      </c>
      <c r="G933">
        <v>5000</v>
      </c>
    </row>
    <row r="934" spans="1:7" x14ac:dyDescent="0.3">
      <c r="A934" s="80">
        <v>45687</v>
      </c>
      <c r="B934">
        <v>1010100</v>
      </c>
      <c r="C934">
        <v>21740</v>
      </c>
      <c r="E934" s="80">
        <v>45678</v>
      </c>
      <c r="F934">
        <v>1010900</v>
      </c>
      <c r="G934">
        <v>5000</v>
      </c>
    </row>
    <row r="935" spans="1:7" x14ac:dyDescent="0.3">
      <c r="A935" s="80">
        <v>45687</v>
      </c>
      <c r="B935">
        <v>1010100</v>
      </c>
      <c r="C935">
        <v>32990</v>
      </c>
      <c r="E935" s="80">
        <v>45678</v>
      </c>
      <c r="F935">
        <v>1010900</v>
      </c>
      <c r="G935">
        <v>5000</v>
      </c>
    </row>
    <row r="936" spans="1:7" x14ac:dyDescent="0.3">
      <c r="A936" s="80">
        <v>45687</v>
      </c>
      <c r="B936">
        <v>1010100</v>
      </c>
      <c r="C936">
        <v>21740</v>
      </c>
      <c r="E936" s="80">
        <v>45678</v>
      </c>
      <c r="F936">
        <v>1010900</v>
      </c>
      <c r="G936">
        <v>5000</v>
      </c>
    </row>
    <row r="937" spans="1:7" x14ac:dyDescent="0.3">
      <c r="A937" s="80">
        <v>45687</v>
      </c>
      <c r="B937">
        <v>1010100</v>
      </c>
      <c r="C937">
        <v>29990</v>
      </c>
      <c r="E937" s="80">
        <v>45678</v>
      </c>
      <c r="F937">
        <v>1010900</v>
      </c>
      <c r="G937">
        <v>5000</v>
      </c>
    </row>
    <row r="938" spans="1:7" x14ac:dyDescent="0.3">
      <c r="A938" s="80">
        <v>45687</v>
      </c>
      <c r="B938">
        <v>1010100</v>
      </c>
      <c r="C938">
        <v>29990</v>
      </c>
      <c r="E938" s="80">
        <v>45678</v>
      </c>
      <c r="F938">
        <v>1010900</v>
      </c>
      <c r="G938">
        <v>5000</v>
      </c>
    </row>
    <row r="939" spans="1:7" x14ac:dyDescent="0.3">
      <c r="A939" s="80">
        <v>45687</v>
      </c>
      <c r="B939">
        <v>1010100</v>
      </c>
      <c r="C939">
        <v>21740</v>
      </c>
      <c r="E939" s="80">
        <v>45678</v>
      </c>
      <c r="F939">
        <v>1010900</v>
      </c>
      <c r="G939">
        <v>5000</v>
      </c>
    </row>
    <row r="940" spans="1:7" x14ac:dyDescent="0.3">
      <c r="A940" s="80">
        <v>45687</v>
      </c>
      <c r="B940">
        <v>1010100</v>
      </c>
      <c r="C940">
        <v>21740</v>
      </c>
      <c r="E940" s="80">
        <v>45678</v>
      </c>
      <c r="F940">
        <v>1010900</v>
      </c>
      <c r="G940">
        <v>5000</v>
      </c>
    </row>
    <row r="941" spans="1:7" x14ac:dyDescent="0.3">
      <c r="A941" s="80">
        <v>45687</v>
      </c>
      <c r="B941">
        <v>1010100</v>
      </c>
      <c r="C941">
        <v>29990</v>
      </c>
      <c r="E941" s="80">
        <v>45678</v>
      </c>
      <c r="F941">
        <v>1010900</v>
      </c>
      <c r="G941">
        <v>5000</v>
      </c>
    </row>
    <row r="942" spans="1:7" x14ac:dyDescent="0.3">
      <c r="A942" s="80">
        <v>45687</v>
      </c>
      <c r="B942">
        <v>1010100</v>
      </c>
      <c r="C942">
        <v>29990</v>
      </c>
      <c r="E942" s="80">
        <v>45678</v>
      </c>
      <c r="F942">
        <v>1010900</v>
      </c>
      <c r="G942">
        <v>5000</v>
      </c>
    </row>
    <row r="943" spans="1:7" x14ac:dyDescent="0.3">
      <c r="A943" s="80">
        <v>45687</v>
      </c>
      <c r="B943">
        <v>1010100</v>
      </c>
      <c r="C943">
        <v>32990</v>
      </c>
      <c r="E943" s="80">
        <v>45677</v>
      </c>
      <c r="F943">
        <v>1010900</v>
      </c>
      <c r="G943">
        <v>5000</v>
      </c>
    </row>
    <row r="944" spans="1:7" x14ac:dyDescent="0.3">
      <c r="A944" s="80">
        <v>45687</v>
      </c>
      <c r="B944">
        <v>1010100</v>
      </c>
      <c r="C944">
        <v>29990</v>
      </c>
      <c r="E944" s="80">
        <v>45677</v>
      </c>
      <c r="F944">
        <v>1010900</v>
      </c>
      <c r="G944">
        <v>5000</v>
      </c>
    </row>
    <row r="945" spans="1:7" x14ac:dyDescent="0.3">
      <c r="A945" s="80">
        <v>45687</v>
      </c>
      <c r="B945">
        <v>1010100</v>
      </c>
      <c r="C945">
        <v>29990</v>
      </c>
      <c r="E945" s="80">
        <v>45677</v>
      </c>
      <c r="F945">
        <v>1010900</v>
      </c>
      <c r="G945">
        <v>5000</v>
      </c>
    </row>
    <row r="946" spans="1:7" x14ac:dyDescent="0.3">
      <c r="A946" s="80">
        <v>45686</v>
      </c>
      <c r="B946">
        <v>1010100</v>
      </c>
      <c r="C946">
        <v>53982</v>
      </c>
      <c r="E946" s="80">
        <v>45677</v>
      </c>
      <c r="F946">
        <v>1010900</v>
      </c>
      <c r="G946">
        <v>5000</v>
      </c>
    </row>
    <row r="947" spans="1:7" x14ac:dyDescent="0.3">
      <c r="A947" s="80">
        <v>45686</v>
      </c>
      <c r="B947">
        <v>1010100</v>
      </c>
      <c r="C947">
        <v>29990</v>
      </c>
      <c r="E947" s="80">
        <v>45677</v>
      </c>
      <c r="F947">
        <v>1010900</v>
      </c>
      <c r="G947">
        <v>5000</v>
      </c>
    </row>
    <row r="948" spans="1:7" x14ac:dyDescent="0.3">
      <c r="A948" s="80">
        <v>45686</v>
      </c>
      <c r="B948">
        <v>1010100</v>
      </c>
      <c r="C948">
        <v>29990</v>
      </c>
      <c r="E948" s="80">
        <v>45677</v>
      </c>
      <c r="F948">
        <v>1010900</v>
      </c>
      <c r="G948">
        <v>5000</v>
      </c>
    </row>
    <row r="949" spans="1:7" x14ac:dyDescent="0.3">
      <c r="A949" s="80">
        <v>45686</v>
      </c>
      <c r="B949">
        <v>1010100</v>
      </c>
      <c r="C949">
        <v>26991</v>
      </c>
      <c r="E949" s="80">
        <v>45676</v>
      </c>
      <c r="F949">
        <v>1010900</v>
      </c>
      <c r="G949">
        <v>5000</v>
      </c>
    </row>
    <row r="950" spans="1:7" x14ac:dyDescent="0.3">
      <c r="A950" s="80">
        <v>45686</v>
      </c>
      <c r="B950">
        <v>1010100</v>
      </c>
      <c r="C950">
        <v>29990</v>
      </c>
      <c r="E950" s="80">
        <v>45676</v>
      </c>
      <c r="F950">
        <v>1010900</v>
      </c>
      <c r="G950">
        <v>5000</v>
      </c>
    </row>
    <row r="951" spans="1:7" x14ac:dyDescent="0.3">
      <c r="A951" s="80">
        <v>45686</v>
      </c>
      <c r="B951">
        <v>1010100</v>
      </c>
      <c r="C951">
        <v>29990</v>
      </c>
      <c r="E951" s="80">
        <v>45676</v>
      </c>
      <c r="F951">
        <v>1010900</v>
      </c>
      <c r="G951">
        <v>5000</v>
      </c>
    </row>
    <row r="952" spans="1:7" x14ac:dyDescent="0.3">
      <c r="A952" s="80">
        <v>45686</v>
      </c>
      <c r="B952">
        <v>1010100</v>
      </c>
      <c r="C952">
        <v>29990</v>
      </c>
      <c r="E952" s="80">
        <v>45676</v>
      </c>
      <c r="F952">
        <v>1010900</v>
      </c>
      <c r="G952">
        <v>5000</v>
      </c>
    </row>
    <row r="953" spans="1:7" x14ac:dyDescent="0.3">
      <c r="A953" s="80">
        <v>45686</v>
      </c>
      <c r="B953">
        <v>1010100</v>
      </c>
      <c r="C953">
        <v>29990</v>
      </c>
      <c r="E953" s="80">
        <v>45676</v>
      </c>
      <c r="F953">
        <v>1010900</v>
      </c>
      <c r="G953">
        <v>5000</v>
      </c>
    </row>
    <row r="954" spans="1:7" x14ac:dyDescent="0.3">
      <c r="A954" s="80">
        <v>45686</v>
      </c>
      <c r="B954">
        <v>1010100</v>
      </c>
      <c r="C954">
        <v>29990</v>
      </c>
      <c r="E954" s="80">
        <v>45676</v>
      </c>
      <c r="F954">
        <v>1010900</v>
      </c>
      <c r="G954">
        <v>5000</v>
      </c>
    </row>
    <row r="955" spans="1:7" x14ac:dyDescent="0.3">
      <c r="A955" s="80">
        <v>45686</v>
      </c>
      <c r="B955">
        <v>1010100</v>
      </c>
      <c r="C955">
        <v>29990</v>
      </c>
      <c r="E955" s="80">
        <v>45676</v>
      </c>
      <c r="F955">
        <v>1010900</v>
      </c>
      <c r="G955">
        <v>5000</v>
      </c>
    </row>
    <row r="956" spans="1:7" x14ac:dyDescent="0.3">
      <c r="A956" s="80">
        <v>45686</v>
      </c>
      <c r="B956">
        <v>1010100</v>
      </c>
      <c r="C956">
        <v>29990</v>
      </c>
      <c r="E956" s="80">
        <v>45676</v>
      </c>
      <c r="F956">
        <v>1010900</v>
      </c>
      <c r="G956">
        <v>5000</v>
      </c>
    </row>
    <row r="957" spans="1:7" x14ac:dyDescent="0.3">
      <c r="A957" s="80">
        <v>45686</v>
      </c>
      <c r="B957">
        <v>1010100</v>
      </c>
      <c r="C957">
        <v>26991</v>
      </c>
      <c r="E957" s="80">
        <v>45676</v>
      </c>
      <c r="F957">
        <v>1010900</v>
      </c>
      <c r="G957">
        <v>5000</v>
      </c>
    </row>
    <row r="958" spans="1:7" x14ac:dyDescent="0.3">
      <c r="A958" s="80">
        <v>45685</v>
      </c>
      <c r="B958">
        <v>1010100</v>
      </c>
      <c r="C958">
        <v>32990</v>
      </c>
      <c r="E958" s="80">
        <v>45676</v>
      </c>
      <c r="F958">
        <v>1010900</v>
      </c>
      <c r="G958">
        <v>5000</v>
      </c>
    </row>
    <row r="959" spans="1:7" x14ac:dyDescent="0.3">
      <c r="A959" s="80">
        <v>45685</v>
      </c>
      <c r="B959">
        <v>1010100</v>
      </c>
      <c r="C959">
        <v>29990</v>
      </c>
      <c r="E959" s="80">
        <v>45676</v>
      </c>
      <c r="F959">
        <v>1010900</v>
      </c>
      <c r="G959">
        <v>5000</v>
      </c>
    </row>
    <row r="960" spans="1:7" x14ac:dyDescent="0.3">
      <c r="A960" s="80">
        <v>45685</v>
      </c>
      <c r="B960">
        <v>1010100</v>
      </c>
      <c r="C960">
        <v>29990</v>
      </c>
      <c r="E960" s="80">
        <v>45676</v>
      </c>
      <c r="F960">
        <v>1010900</v>
      </c>
      <c r="G960">
        <v>3000</v>
      </c>
    </row>
    <row r="961" spans="1:7" x14ac:dyDescent="0.3">
      <c r="A961" s="80">
        <v>45685</v>
      </c>
      <c r="B961">
        <v>1010100</v>
      </c>
      <c r="C961">
        <v>29990</v>
      </c>
      <c r="E961" s="80">
        <v>45676</v>
      </c>
      <c r="F961">
        <v>1010900</v>
      </c>
      <c r="G961">
        <v>5000</v>
      </c>
    </row>
    <row r="962" spans="1:7" x14ac:dyDescent="0.3">
      <c r="A962" s="80">
        <v>45685</v>
      </c>
      <c r="B962">
        <v>1010100</v>
      </c>
      <c r="C962">
        <v>29990</v>
      </c>
      <c r="E962" s="80">
        <v>45676</v>
      </c>
      <c r="F962">
        <v>1010900</v>
      </c>
      <c r="G962">
        <v>5000</v>
      </c>
    </row>
    <row r="963" spans="1:7" x14ac:dyDescent="0.3">
      <c r="A963" s="80">
        <v>45685</v>
      </c>
      <c r="B963">
        <v>1010100</v>
      </c>
      <c r="C963">
        <v>29990</v>
      </c>
      <c r="E963" s="80">
        <v>45676</v>
      </c>
      <c r="F963">
        <v>1010900</v>
      </c>
      <c r="G963">
        <v>5000</v>
      </c>
    </row>
    <row r="964" spans="1:7" x14ac:dyDescent="0.3">
      <c r="A964" s="80">
        <v>45685</v>
      </c>
      <c r="B964">
        <v>1010100</v>
      </c>
      <c r="C964">
        <v>29990</v>
      </c>
      <c r="E964" s="80">
        <v>45676</v>
      </c>
      <c r="F964">
        <v>1010900</v>
      </c>
      <c r="G964">
        <v>5000</v>
      </c>
    </row>
    <row r="965" spans="1:7" x14ac:dyDescent="0.3">
      <c r="A965" s="80">
        <v>45685</v>
      </c>
      <c r="B965">
        <v>1010100</v>
      </c>
      <c r="C965">
        <v>29990</v>
      </c>
      <c r="E965" s="80">
        <v>45676</v>
      </c>
      <c r="F965">
        <v>1010900</v>
      </c>
      <c r="G965">
        <v>5000</v>
      </c>
    </row>
    <row r="966" spans="1:7" x14ac:dyDescent="0.3">
      <c r="A966" s="80">
        <v>45684</v>
      </c>
      <c r="B966">
        <v>1010100</v>
      </c>
      <c r="C966">
        <v>29990</v>
      </c>
      <c r="E966" s="80">
        <v>45676</v>
      </c>
      <c r="F966">
        <v>1010900</v>
      </c>
      <c r="G966">
        <v>2630</v>
      </c>
    </row>
    <row r="967" spans="1:7" x14ac:dyDescent="0.3">
      <c r="A967" s="80">
        <v>45684</v>
      </c>
      <c r="B967">
        <v>1010100</v>
      </c>
      <c r="C967">
        <v>29990</v>
      </c>
      <c r="E967" s="80">
        <v>45675</v>
      </c>
      <c r="F967">
        <v>1010900</v>
      </c>
      <c r="G967">
        <v>5000</v>
      </c>
    </row>
    <row r="968" spans="1:7" x14ac:dyDescent="0.3">
      <c r="A968" s="80">
        <v>45684</v>
      </c>
      <c r="B968">
        <v>1010100</v>
      </c>
      <c r="C968">
        <v>32990</v>
      </c>
      <c r="E968" s="80">
        <v>45675</v>
      </c>
      <c r="F968">
        <v>1010900</v>
      </c>
      <c r="G968">
        <v>5000</v>
      </c>
    </row>
    <row r="969" spans="1:7" x14ac:dyDescent="0.3">
      <c r="A969" s="80">
        <v>45684</v>
      </c>
      <c r="B969">
        <v>1010100</v>
      </c>
      <c r="C969">
        <v>29990</v>
      </c>
      <c r="E969" s="80">
        <v>45675</v>
      </c>
      <c r="F969">
        <v>1010900</v>
      </c>
      <c r="G969">
        <v>5000</v>
      </c>
    </row>
    <row r="970" spans="1:7" x14ac:dyDescent="0.3">
      <c r="A970" s="80">
        <v>45684</v>
      </c>
      <c r="B970">
        <v>1010100</v>
      </c>
      <c r="C970">
        <v>29990</v>
      </c>
      <c r="E970" s="80">
        <v>45675</v>
      </c>
      <c r="F970">
        <v>1010900</v>
      </c>
      <c r="G970">
        <v>5000</v>
      </c>
    </row>
    <row r="971" spans="1:7" x14ac:dyDescent="0.3">
      <c r="A971" s="80">
        <v>45684</v>
      </c>
      <c r="B971">
        <v>1010100</v>
      </c>
      <c r="C971">
        <v>29990</v>
      </c>
      <c r="E971" s="80">
        <v>45675</v>
      </c>
      <c r="F971">
        <v>1010900</v>
      </c>
      <c r="G971">
        <v>5000</v>
      </c>
    </row>
    <row r="972" spans="1:7" x14ac:dyDescent="0.3">
      <c r="A972" s="80">
        <v>45684</v>
      </c>
      <c r="B972">
        <v>1010100</v>
      </c>
      <c r="C972">
        <v>59980</v>
      </c>
      <c r="E972" s="80">
        <v>45675</v>
      </c>
      <c r="F972">
        <v>1010900</v>
      </c>
      <c r="G972">
        <v>5000</v>
      </c>
    </row>
    <row r="973" spans="1:7" x14ac:dyDescent="0.3">
      <c r="A973" s="80">
        <v>45684</v>
      </c>
      <c r="B973">
        <v>1010100</v>
      </c>
      <c r="C973">
        <v>29990</v>
      </c>
      <c r="E973" s="80">
        <v>45675</v>
      </c>
      <c r="F973">
        <v>1010900</v>
      </c>
      <c r="G973">
        <v>5000</v>
      </c>
    </row>
    <row r="974" spans="1:7" x14ac:dyDescent="0.3">
      <c r="A974" s="80">
        <v>45683</v>
      </c>
      <c r="B974">
        <v>1010100</v>
      </c>
      <c r="C974">
        <v>29990</v>
      </c>
      <c r="E974" s="80">
        <v>45675</v>
      </c>
      <c r="F974">
        <v>1010900</v>
      </c>
      <c r="G974">
        <v>5000</v>
      </c>
    </row>
    <row r="975" spans="1:7" x14ac:dyDescent="0.3">
      <c r="A975" s="80">
        <v>45683</v>
      </c>
      <c r="B975">
        <v>1010100</v>
      </c>
      <c r="C975">
        <v>29990</v>
      </c>
      <c r="E975" s="80">
        <v>45675</v>
      </c>
      <c r="F975">
        <v>1010900</v>
      </c>
      <c r="G975">
        <v>5000</v>
      </c>
    </row>
    <row r="976" spans="1:7" x14ac:dyDescent="0.3">
      <c r="A976" s="80">
        <v>45683</v>
      </c>
      <c r="B976">
        <v>1010100</v>
      </c>
      <c r="C976">
        <v>29990</v>
      </c>
      <c r="E976" s="80">
        <v>45675</v>
      </c>
      <c r="F976">
        <v>1010900</v>
      </c>
      <c r="G976">
        <v>5000</v>
      </c>
    </row>
    <row r="977" spans="1:7" x14ac:dyDescent="0.3">
      <c r="A977" s="80">
        <v>45683</v>
      </c>
      <c r="B977">
        <v>1010100</v>
      </c>
      <c r="C977">
        <v>32990</v>
      </c>
      <c r="E977" s="80">
        <v>45675</v>
      </c>
      <c r="F977">
        <v>1010900</v>
      </c>
      <c r="G977">
        <v>5000</v>
      </c>
    </row>
    <row r="978" spans="1:7" x14ac:dyDescent="0.3">
      <c r="A978" s="80">
        <v>45683</v>
      </c>
      <c r="B978">
        <v>1010100</v>
      </c>
      <c r="C978">
        <v>29990</v>
      </c>
      <c r="E978" s="80">
        <v>45674</v>
      </c>
      <c r="F978">
        <v>1010900</v>
      </c>
      <c r="G978">
        <v>5000</v>
      </c>
    </row>
    <row r="979" spans="1:7" x14ac:dyDescent="0.3">
      <c r="A979" s="80">
        <v>45683</v>
      </c>
      <c r="B979">
        <v>1010100</v>
      </c>
      <c r="C979">
        <v>29990</v>
      </c>
      <c r="E979" s="80">
        <v>45674</v>
      </c>
      <c r="F979">
        <v>1010900</v>
      </c>
      <c r="G979">
        <v>5000</v>
      </c>
    </row>
    <row r="980" spans="1:7" x14ac:dyDescent="0.3">
      <c r="A980" s="80">
        <v>45683</v>
      </c>
      <c r="B980">
        <v>1010100</v>
      </c>
      <c r="C980">
        <v>29990</v>
      </c>
      <c r="E980" s="80">
        <v>45674</v>
      </c>
      <c r="F980">
        <v>1010900</v>
      </c>
      <c r="G980">
        <v>5000</v>
      </c>
    </row>
    <row r="981" spans="1:7" x14ac:dyDescent="0.3">
      <c r="A981" s="80">
        <v>45683</v>
      </c>
      <c r="B981">
        <v>1010100</v>
      </c>
      <c r="C981">
        <v>29990</v>
      </c>
      <c r="E981" s="80">
        <v>45674</v>
      </c>
      <c r="F981">
        <v>1010900</v>
      </c>
      <c r="G981">
        <v>5000</v>
      </c>
    </row>
    <row r="982" spans="1:7" x14ac:dyDescent="0.3">
      <c r="A982" s="80">
        <v>45682</v>
      </c>
      <c r="B982">
        <v>1010100</v>
      </c>
      <c r="C982">
        <v>29990</v>
      </c>
      <c r="E982" s="80">
        <v>45674</v>
      </c>
      <c r="F982">
        <v>1010900</v>
      </c>
      <c r="G982">
        <v>5000</v>
      </c>
    </row>
    <row r="983" spans="1:7" x14ac:dyDescent="0.3">
      <c r="A983" s="80">
        <v>45682</v>
      </c>
      <c r="B983">
        <v>1010100</v>
      </c>
      <c r="C983">
        <v>29990</v>
      </c>
      <c r="E983" s="80">
        <v>45674</v>
      </c>
      <c r="F983">
        <v>1010900</v>
      </c>
      <c r="G983">
        <v>5000</v>
      </c>
    </row>
    <row r="984" spans="1:7" x14ac:dyDescent="0.3">
      <c r="A984" s="80">
        <v>45682</v>
      </c>
      <c r="B984">
        <v>1010100</v>
      </c>
      <c r="C984">
        <v>32990</v>
      </c>
      <c r="E984" s="80">
        <v>45674</v>
      </c>
      <c r="F984">
        <v>1010900</v>
      </c>
      <c r="G984">
        <v>5000</v>
      </c>
    </row>
    <row r="985" spans="1:7" x14ac:dyDescent="0.3">
      <c r="A985" s="80">
        <v>45682</v>
      </c>
      <c r="B985">
        <v>1010100</v>
      </c>
      <c r="C985">
        <v>29990</v>
      </c>
      <c r="E985" s="80">
        <v>45674</v>
      </c>
      <c r="F985">
        <v>1010900</v>
      </c>
      <c r="G985">
        <v>5000</v>
      </c>
    </row>
    <row r="986" spans="1:7" x14ac:dyDescent="0.3">
      <c r="A986" s="80">
        <v>45682</v>
      </c>
      <c r="B986">
        <v>1010100</v>
      </c>
      <c r="C986">
        <v>29990</v>
      </c>
      <c r="E986" s="80">
        <v>45674</v>
      </c>
      <c r="F986">
        <v>1010900</v>
      </c>
      <c r="G986">
        <v>5000</v>
      </c>
    </row>
    <row r="987" spans="1:7" x14ac:dyDescent="0.3">
      <c r="A987" s="80">
        <v>45682</v>
      </c>
      <c r="B987">
        <v>1010100</v>
      </c>
      <c r="C987">
        <v>32990</v>
      </c>
      <c r="E987" s="80">
        <v>45674</v>
      </c>
      <c r="F987">
        <v>1010900</v>
      </c>
      <c r="G987">
        <v>500</v>
      </c>
    </row>
    <row r="988" spans="1:7" x14ac:dyDescent="0.3">
      <c r="A988" s="80">
        <v>45682</v>
      </c>
      <c r="B988">
        <v>1010100</v>
      </c>
      <c r="C988">
        <v>29990</v>
      </c>
      <c r="E988" s="80">
        <v>45674</v>
      </c>
      <c r="F988">
        <v>1010900</v>
      </c>
      <c r="G988">
        <v>5000</v>
      </c>
    </row>
    <row r="989" spans="1:7" x14ac:dyDescent="0.3">
      <c r="A989" s="80">
        <v>45682</v>
      </c>
      <c r="B989">
        <v>1010100</v>
      </c>
      <c r="C989">
        <v>29990</v>
      </c>
      <c r="E989" s="80">
        <v>45673</v>
      </c>
      <c r="F989">
        <v>1010900</v>
      </c>
      <c r="G989">
        <v>5000</v>
      </c>
    </row>
    <row r="990" spans="1:7" x14ac:dyDescent="0.3">
      <c r="A990" s="80">
        <v>45682</v>
      </c>
      <c r="B990">
        <v>1010100</v>
      </c>
      <c r="C990">
        <v>29990</v>
      </c>
      <c r="E990" s="80">
        <v>45673</v>
      </c>
      <c r="F990">
        <v>1010900</v>
      </c>
      <c r="G990">
        <v>5000</v>
      </c>
    </row>
    <row r="991" spans="1:7" x14ac:dyDescent="0.3">
      <c r="A991" s="80">
        <v>45682</v>
      </c>
      <c r="B991">
        <v>1010100</v>
      </c>
      <c r="C991">
        <v>29990</v>
      </c>
      <c r="E991" s="80">
        <v>45673</v>
      </c>
      <c r="F991">
        <v>1010900</v>
      </c>
      <c r="G991">
        <v>5000</v>
      </c>
    </row>
    <row r="992" spans="1:7" x14ac:dyDescent="0.3">
      <c r="A992" s="80">
        <v>45682</v>
      </c>
      <c r="B992">
        <v>1010100</v>
      </c>
      <c r="C992">
        <v>32990</v>
      </c>
      <c r="E992" s="80">
        <v>45673</v>
      </c>
      <c r="F992">
        <v>1010900</v>
      </c>
      <c r="G992">
        <v>5000</v>
      </c>
    </row>
    <row r="993" spans="1:7" x14ac:dyDescent="0.3">
      <c r="A993" s="80">
        <v>45682</v>
      </c>
      <c r="B993">
        <v>1010100</v>
      </c>
      <c r="C993">
        <v>29990</v>
      </c>
      <c r="E993" s="80">
        <v>45673</v>
      </c>
      <c r="F993">
        <v>1010900</v>
      </c>
      <c r="G993">
        <v>5000</v>
      </c>
    </row>
    <row r="994" spans="1:7" x14ac:dyDescent="0.3">
      <c r="A994" s="80">
        <v>45682</v>
      </c>
      <c r="B994">
        <v>1010100</v>
      </c>
      <c r="C994">
        <v>29990</v>
      </c>
      <c r="E994" s="80">
        <v>45673</v>
      </c>
      <c r="F994">
        <v>1010900</v>
      </c>
      <c r="G994">
        <v>5000</v>
      </c>
    </row>
    <row r="995" spans="1:7" x14ac:dyDescent="0.3">
      <c r="A995" s="80">
        <v>45682</v>
      </c>
      <c r="B995">
        <v>1010100</v>
      </c>
      <c r="C995">
        <v>29990</v>
      </c>
      <c r="E995" s="80">
        <v>45672</v>
      </c>
      <c r="F995">
        <v>1010900</v>
      </c>
      <c r="G995">
        <v>5000</v>
      </c>
    </row>
    <row r="996" spans="1:7" x14ac:dyDescent="0.3">
      <c r="A996" s="80">
        <v>45682</v>
      </c>
      <c r="B996">
        <v>1010100</v>
      </c>
      <c r="C996">
        <v>29990</v>
      </c>
      <c r="E996" s="80">
        <v>45672</v>
      </c>
      <c r="F996">
        <v>1010900</v>
      </c>
      <c r="G996">
        <v>5000</v>
      </c>
    </row>
    <row r="997" spans="1:7" x14ac:dyDescent="0.3">
      <c r="A997" s="80">
        <v>45681</v>
      </c>
      <c r="B997">
        <v>1010100</v>
      </c>
      <c r="C997">
        <v>29990</v>
      </c>
      <c r="E997" s="80">
        <v>45672</v>
      </c>
      <c r="F997">
        <v>1010900</v>
      </c>
      <c r="G997">
        <v>5000</v>
      </c>
    </row>
    <row r="998" spans="1:7" x14ac:dyDescent="0.3">
      <c r="A998" s="80">
        <v>45681</v>
      </c>
      <c r="B998">
        <v>1010100</v>
      </c>
      <c r="C998">
        <v>29990</v>
      </c>
      <c r="E998" s="80">
        <v>45672</v>
      </c>
      <c r="F998">
        <v>1010900</v>
      </c>
      <c r="G998">
        <v>5000</v>
      </c>
    </row>
    <row r="999" spans="1:7" x14ac:dyDescent="0.3">
      <c r="A999" s="80">
        <v>45681</v>
      </c>
      <c r="B999">
        <v>1010100</v>
      </c>
      <c r="C999">
        <v>29990</v>
      </c>
      <c r="E999" s="80">
        <v>45672</v>
      </c>
      <c r="F999">
        <v>1010900</v>
      </c>
      <c r="G999">
        <v>5000</v>
      </c>
    </row>
    <row r="1000" spans="1:7" x14ac:dyDescent="0.3">
      <c r="A1000" s="80">
        <v>45681</v>
      </c>
      <c r="B1000">
        <v>1010100</v>
      </c>
      <c r="C1000">
        <v>29990</v>
      </c>
      <c r="E1000" s="80">
        <v>45672</v>
      </c>
      <c r="F1000">
        <v>1010900</v>
      </c>
      <c r="G1000">
        <v>5000</v>
      </c>
    </row>
    <row r="1001" spans="1:7" x14ac:dyDescent="0.3">
      <c r="A1001" s="80">
        <v>45681</v>
      </c>
      <c r="B1001">
        <v>1010100</v>
      </c>
      <c r="C1001">
        <v>29990</v>
      </c>
      <c r="E1001" s="80">
        <v>45672</v>
      </c>
      <c r="F1001">
        <v>1010900</v>
      </c>
      <c r="G1001">
        <v>5000</v>
      </c>
    </row>
    <row r="1002" spans="1:7" x14ac:dyDescent="0.3">
      <c r="A1002" s="80">
        <v>45681</v>
      </c>
      <c r="B1002">
        <v>1010100</v>
      </c>
      <c r="C1002">
        <v>29990</v>
      </c>
      <c r="E1002" s="80">
        <v>45672</v>
      </c>
      <c r="F1002">
        <v>1010900</v>
      </c>
      <c r="G1002">
        <v>5000</v>
      </c>
    </row>
    <row r="1003" spans="1:7" x14ac:dyDescent="0.3">
      <c r="A1003" s="80">
        <v>45681</v>
      </c>
      <c r="B1003">
        <v>1010100</v>
      </c>
      <c r="C1003">
        <v>29990</v>
      </c>
      <c r="E1003" s="80">
        <v>45672</v>
      </c>
      <c r="F1003">
        <v>1010900</v>
      </c>
      <c r="G1003">
        <v>5000</v>
      </c>
    </row>
    <row r="1004" spans="1:7" x14ac:dyDescent="0.3">
      <c r="A1004" s="80">
        <v>45681</v>
      </c>
      <c r="B1004">
        <v>1010100</v>
      </c>
      <c r="C1004">
        <v>29990</v>
      </c>
      <c r="E1004" s="80">
        <v>45672</v>
      </c>
      <c r="F1004">
        <v>1010900</v>
      </c>
      <c r="G1004">
        <v>5000</v>
      </c>
    </row>
    <row r="1005" spans="1:7" x14ac:dyDescent="0.3">
      <c r="A1005" s="80">
        <v>45680</v>
      </c>
      <c r="B1005">
        <v>1010100</v>
      </c>
      <c r="C1005">
        <v>29990</v>
      </c>
      <c r="E1005" s="80">
        <v>45672</v>
      </c>
      <c r="F1005">
        <v>1010900</v>
      </c>
      <c r="G1005">
        <v>5000</v>
      </c>
    </row>
    <row r="1006" spans="1:7" x14ac:dyDescent="0.3">
      <c r="A1006" s="80">
        <v>45680</v>
      </c>
      <c r="B1006">
        <v>1010100</v>
      </c>
      <c r="C1006">
        <v>29990</v>
      </c>
      <c r="E1006" s="80">
        <v>45672</v>
      </c>
      <c r="F1006">
        <v>1010900</v>
      </c>
      <c r="G1006">
        <v>5000</v>
      </c>
    </row>
    <row r="1007" spans="1:7" x14ac:dyDescent="0.3">
      <c r="A1007" s="80">
        <v>45680</v>
      </c>
      <c r="B1007">
        <v>1010100</v>
      </c>
      <c r="C1007">
        <v>29990</v>
      </c>
      <c r="E1007" s="80">
        <v>45672</v>
      </c>
      <c r="F1007">
        <v>1010900</v>
      </c>
      <c r="G1007">
        <v>5000</v>
      </c>
    </row>
    <row r="1008" spans="1:7" x14ac:dyDescent="0.3">
      <c r="A1008" s="80">
        <v>45680</v>
      </c>
      <c r="B1008">
        <v>1010100</v>
      </c>
      <c r="C1008">
        <v>29990</v>
      </c>
      <c r="E1008" s="80">
        <v>45671</v>
      </c>
      <c r="F1008">
        <v>1010900</v>
      </c>
      <c r="G1008">
        <v>5000</v>
      </c>
    </row>
    <row r="1009" spans="1:7" x14ac:dyDescent="0.3">
      <c r="A1009" s="80">
        <v>45680</v>
      </c>
      <c r="B1009">
        <v>1010100</v>
      </c>
      <c r="C1009">
        <v>29990</v>
      </c>
      <c r="E1009" s="80">
        <v>45671</v>
      </c>
      <c r="F1009">
        <v>1010900</v>
      </c>
      <c r="G1009">
        <v>5000</v>
      </c>
    </row>
    <row r="1010" spans="1:7" x14ac:dyDescent="0.3">
      <c r="A1010" s="80">
        <v>45680</v>
      </c>
      <c r="B1010">
        <v>1010100</v>
      </c>
      <c r="C1010">
        <v>29990</v>
      </c>
      <c r="E1010" s="80">
        <v>45671</v>
      </c>
      <c r="F1010">
        <v>1010900</v>
      </c>
      <c r="G1010">
        <v>5000</v>
      </c>
    </row>
    <row r="1011" spans="1:7" x14ac:dyDescent="0.3">
      <c r="A1011" s="80">
        <v>45680</v>
      </c>
      <c r="B1011">
        <v>1010100</v>
      </c>
      <c r="C1011">
        <v>29990</v>
      </c>
      <c r="E1011" s="80">
        <v>45671</v>
      </c>
      <c r="F1011">
        <v>1010900</v>
      </c>
      <c r="G1011">
        <v>5000</v>
      </c>
    </row>
    <row r="1012" spans="1:7" x14ac:dyDescent="0.3">
      <c r="A1012" s="80">
        <v>45679</v>
      </c>
      <c r="B1012">
        <v>1010100</v>
      </c>
      <c r="C1012">
        <v>29990</v>
      </c>
      <c r="E1012" s="80">
        <v>45671</v>
      </c>
      <c r="F1012">
        <v>1010900</v>
      </c>
      <c r="G1012">
        <v>3000</v>
      </c>
    </row>
    <row r="1013" spans="1:7" x14ac:dyDescent="0.3">
      <c r="A1013" s="80">
        <v>45679</v>
      </c>
      <c r="B1013">
        <v>1010100</v>
      </c>
      <c r="C1013">
        <v>29990</v>
      </c>
      <c r="E1013" s="80">
        <v>45671</v>
      </c>
      <c r="F1013">
        <v>1010900</v>
      </c>
      <c r="G1013">
        <v>5000</v>
      </c>
    </row>
    <row r="1014" spans="1:7" x14ac:dyDescent="0.3">
      <c r="A1014" s="80">
        <v>45679</v>
      </c>
      <c r="B1014">
        <v>1010100</v>
      </c>
      <c r="C1014">
        <v>29990</v>
      </c>
      <c r="E1014" s="80">
        <v>45671</v>
      </c>
      <c r="F1014">
        <v>1010900</v>
      </c>
      <c r="G1014">
        <v>5000</v>
      </c>
    </row>
    <row r="1015" spans="1:7" x14ac:dyDescent="0.3">
      <c r="A1015" s="80">
        <v>45679</v>
      </c>
      <c r="B1015">
        <v>1010100</v>
      </c>
      <c r="C1015">
        <v>29990</v>
      </c>
      <c r="E1015" s="80">
        <v>45671</v>
      </c>
      <c r="F1015">
        <v>1010900</v>
      </c>
      <c r="G1015">
        <v>5000</v>
      </c>
    </row>
    <row r="1016" spans="1:7" x14ac:dyDescent="0.3">
      <c r="A1016" s="80">
        <v>45679</v>
      </c>
      <c r="B1016">
        <v>1010100</v>
      </c>
      <c r="C1016">
        <v>29990</v>
      </c>
      <c r="E1016" s="80">
        <v>45671</v>
      </c>
      <c r="F1016">
        <v>1010900</v>
      </c>
      <c r="G1016">
        <v>5000</v>
      </c>
    </row>
    <row r="1017" spans="1:7" x14ac:dyDescent="0.3">
      <c r="A1017" s="80">
        <v>45679</v>
      </c>
      <c r="B1017">
        <v>1010100</v>
      </c>
      <c r="C1017">
        <v>29990</v>
      </c>
      <c r="E1017" s="80">
        <v>45670</v>
      </c>
      <c r="F1017">
        <v>1010900</v>
      </c>
      <c r="G1017">
        <v>5000</v>
      </c>
    </row>
    <row r="1018" spans="1:7" x14ac:dyDescent="0.3">
      <c r="A1018" s="80">
        <v>45679</v>
      </c>
      <c r="B1018">
        <v>1010100</v>
      </c>
      <c r="C1018">
        <v>53982</v>
      </c>
      <c r="E1018" s="80">
        <v>45670</v>
      </c>
      <c r="F1018">
        <v>1010900</v>
      </c>
      <c r="G1018">
        <v>5000</v>
      </c>
    </row>
    <row r="1019" spans="1:7" x14ac:dyDescent="0.3">
      <c r="A1019" s="80">
        <v>45679</v>
      </c>
      <c r="B1019">
        <v>1010100</v>
      </c>
      <c r="C1019">
        <v>26991</v>
      </c>
      <c r="E1019" s="80">
        <v>45670</v>
      </c>
      <c r="F1019">
        <v>1010900</v>
      </c>
      <c r="G1019">
        <v>5000</v>
      </c>
    </row>
    <row r="1020" spans="1:7" x14ac:dyDescent="0.3">
      <c r="A1020" s="80">
        <v>45679</v>
      </c>
      <c r="B1020">
        <v>1010100</v>
      </c>
      <c r="C1020">
        <v>29990</v>
      </c>
      <c r="E1020" s="80">
        <v>45670</v>
      </c>
      <c r="F1020">
        <v>1010900</v>
      </c>
      <c r="G1020">
        <v>5000</v>
      </c>
    </row>
    <row r="1021" spans="1:7" x14ac:dyDescent="0.3">
      <c r="A1021" s="80">
        <v>45678</v>
      </c>
      <c r="B1021">
        <v>1010100</v>
      </c>
      <c r="C1021">
        <v>29990</v>
      </c>
      <c r="E1021" s="80">
        <v>45670</v>
      </c>
      <c r="F1021">
        <v>1010900</v>
      </c>
      <c r="G1021">
        <v>5000</v>
      </c>
    </row>
    <row r="1022" spans="1:7" x14ac:dyDescent="0.3">
      <c r="A1022" s="80">
        <v>45678</v>
      </c>
      <c r="B1022">
        <v>1010100</v>
      </c>
      <c r="C1022">
        <v>29990</v>
      </c>
      <c r="E1022" s="80">
        <v>45670</v>
      </c>
      <c r="F1022">
        <v>1010900</v>
      </c>
      <c r="G1022">
        <v>5000</v>
      </c>
    </row>
    <row r="1023" spans="1:7" x14ac:dyDescent="0.3">
      <c r="A1023" s="80">
        <v>45678</v>
      </c>
      <c r="B1023">
        <v>1010100</v>
      </c>
      <c r="C1023">
        <v>29990</v>
      </c>
      <c r="E1023" s="80">
        <v>45669</v>
      </c>
      <c r="F1023">
        <v>1010900</v>
      </c>
      <c r="G1023">
        <v>5000</v>
      </c>
    </row>
    <row r="1024" spans="1:7" x14ac:dyDescent="0.3">
      <c r="A1024" s="80">
        <v>45678</v>
      </c>
      <c r="B1024">
        <v>1010100</v>
      </c>
      <c r="C1024">
        <v>29990</v>
      </c>
      <c r="E1024" s="80">
        <v>45669</v>
      </c>
      <c r="F1024">
        <v>1010900</v>
      </c>
      <c r="G1024">
        <v>5000</v>
      </c>
    </row>
    <row r="1025" spans="1:7" x14ac:dyDescent="0.3">
      <c r="A1025" s="80">
        <v>45678</v>
      </c>
      <c r="B1025">
        <v>1010100</v>
      </c>
      <c r="C1025">
        <v>29990</v>
      </c>
      <c r="E1025" s="80">
        <v>45669</v>
      </c>
      <c r="F1025">
        <v>1010900</v>
      </c>
      <c r="G1025">
        <v>5000</v>
      </c>
    </row>
    <row r="1026" spans="1:7" x14ac:dyDescent="0.3">
      <c r="A1026" s="80">
        <v>45678</v>
      </c>
      <c r="B1026">
        <v>1010100</v>
      </c>
      <c r="C1026">
        <v>29990</v>
      </c>
      <c r="E1026" s="80">
        <v>45669</v>
      </c>
      <c r="F1026">
        <v>1010900</v>
      </c>
      <c r="G1026">
        <v>5000</v>
      </c>
    </row>
    <row r="1027" spans="1:7" x14ac:dyDescent="0.3">
      <c r="A1027" s="80">
        <v>45678</v>
      </c>
      <c r="B1027">
        <v>1010100</v>
      </c>
      <c r="C1027">
        <v>29990</v>
      </c>
      <c r="E1027" s="80">
        <v>45669</v>
      </c>
      <c r="F1027">
        <v>1010900</v>
      </c>
      <c r="G1027">
        <v>5000</v>
      </c>
    </row>
    <row r="1028" spans="1:7" x14ac:dyDescent="0.3">
      <c r="A1028" s="80">
        <v>45678</v>
      </c>
      <c r="B1028">
        <v>1010100</v>
      </c>
      <c r="C1028">
        <v>29990</v>
      </c>
      <c r="E1028" s="80">
        <v>45669</v>
      </c>
      <c r="F1028">
        <v>1010900</v>
      </c>
      <c r="G1028">
        <v>5000</v>
      </c>
    </row>
    <row r="1029" spans="1:7" x14ac:dyDescent="0.3">
      <c r="A1029" s="80">
        <v>45678</v>
      </c>
      <c r="B1029">
        <v>1010100</v>
      </c>
      <c r="C1029">
        <v>29990</v>
      </c>
      <c r="E1029" s="80">
        <v>45669</v>
      </c>
      <c r="F1029">
        <v>1010900</v>
      </c>
      <c r="G1029">
        <v>5000</v>
      </c>
    </row>
    <row r="1030" spans="1:7" x14ac:dyDescent="0.3">
      <c r="A1030" s="80">
        <v>45678</v>
      </c>
      <c r="B1030">
        <v>1010100</v>
      </c>
      <c r="C1030">
        <v>29990</v>
      </c>
      <c r="E1030" s="80">
        <v>45669</v>
      </c>
      <c r="F1030">
        <v>1010900</v>
      </c>
      <c r="G1030">
        <v>5000</v>
      </c>
    </row>
    <row r="1031" spans="1:7" x14ac:dyDescent="0.3">
      <c r="A1031" s="80">
        <v>45678</v>
      </c>
      <c r="B1031">
        <v>1010100</v>
      </c>
      <c r="C1031">
        <v>26991</v>
      </c>
      <c r="E1031" s="80">
        <v>45668</v>
      </c>
      <c r="F1031">
        <v>1010900</v>
      </c>
      <c r="G1031">
        <v>5000</v>
      </c>
    </row>
    <row r="1032" spans="1:7" x14ac:dyDescent="0.3">
      <c r="A1032" s="80">
        <v>45678</v>
      </c>
      <c r="B1032">
        <v>1010100</v>
      </c>
      <c r="C1032">
        <v>29990</v>
      </c>
      <c r="E1032" s="80">
        <v>45668</v>
      </c>
      <c r="F1032">
        <v>1010900</v>
      </c>
      <c r="G1032">
        <v>5000</v>
      </c>
    </row>
    <row r="1033" spans="1:7" x14ac:dyDescent="0.3">
      <c r="A1033" s="80">
        <v>45678</v>
      </c>
      <c r="B1033">
        <v>1010100</v>
      </c>
      <c r="C1033">
        <v>29990</v>
      </c>
      <c r="E1033" s="80">
        <v>45668</v>
      </c>
      <c r="F1033">
        <v>1010900</v>
      </c>
      <c r="G1033">
        <v>5000</v>
      </c>
    </row>
    <row r="1034" spans="1:7" x14ac:dyDescent="0.3">
      <c r="A1034" s="80">
        <v>45678</v>
      </c>
      <c r="B1034">
        <v>1010100</v>
      </c>
      <c r="C1034">
        <v>29990</v>
      </c>
      <c r="E1034" s="80">
        <v>45668</v>
      </c>
      <c r="F1034">
        <v>1010900</v>
      </c>
      <c r="G1034">
        <v>5000</v>
      </c>
    </row>
    <row r="1035" spans="1:7" x14ac:dyDescent="0.3">
      <c r="A1035" s="80">
        <v>45677</v>
      </c>
      <c r="B1035">
        <v>1010100</v>
      </c>
      <c r="C1035">
        <v>29990</v>
      </c>
      <c r="E1035" s="80">
        <v>45668</v>
      </c>
      <c r="F1035">
        <v>1010900</v>
      </c>
      <c r="G1035">
        <v>5000</v>
      </c>
    </row>
    <row r="1036" spans="1:7" x14ac:dyDescent="0.3">
      <c r="A1036" s="80">
        <v>45677</v>
      </c>
      <c r="B1036">
        <v>1010100</v>
      </c>
      <c r="C1036">
        <v>29990</v>
      </c>
      <c r="E1036" s="80">
        <v>45668</v>
      </c>
      <c r="F1036">
        <v>1010900</v>
      </c>
      <c r="G1036">
        <v>5000</v>
      </c>
    </row>
    <row r="1037" spans="1:7" x14ac:dyDescent="0.3">
      <c r="A1037" s="80">
        <v>45677</v>
      </c>
      <c r="B1037">
        <v>1010100</v>
      </c>
      <c r="C1037">
        <v>29990</v>
      </c>
      <c r="E1037" s="80">
        <v>45668</v>
      </c>
      <c r="F1037">
        <v>1010900</v>
      </c>
      <c r="G1037">
        <v>5000</v>
      </c>
    </row>
    <row r="1038" spans="1:7" x14ac:dyDescent="0.3">
      <c r="A1038" s="80">
        <v>45677</v>
      </c>
      <c r="B1038">
        <v>1010100</v>
      </c>
      <c r="C1038">
        <v>32990</v>
      </c>
      <c r="E1038" s="80">
        <v>45668</v>
      </c>
      <c r="F1038">
        <v>1010900</v>
      </c>
      <c r="G1038">
        <v>5000</v>
      </c>
    </row>
    <row r="1039" spans="1:7" x14ac:dyDescent="0.3">
      <c r="A1039" s="80">
        <v>45677</v>
      </c>
      <c r="B1039">
        <v>1010100</v>
      </c>
      <c r="C1039">
        <v>29990</v>
      </c>
      <c r="E1039" s="80">
        <v>45668</v>
      </c>
      <c r="F1039">
        <v>1010900</v>
      </c>
      <c r="G1039">
        <v>5000</v>
      </c>
    </row>
    <row r="1040" spans="1:7" x14ac:dyDescent="0.3">
      <c r="A1040" s="80">
        <v>45677</v>
      </c>
      <c r="B1040">
        <v>1010100</v>
      </c>
      <c r="C1040">
        <v>29990</v>
      </c>
      <c r="E1040" s="80">
        <v>45668</v>
      </c>
      <c r="F1040">
        <v>1010900</v>
      </c>
      <c r="G1040">
        <v>5000</v>
      </c>
    </row>
    <row r="1041" spans="1:7" x14ac:dyDescent="0.3">
      <c r="A1041" s="80">
        <v>45676</v>
      </c>
      <c r="B1041">
        <v>1010100</v>
      </c>
      <c r="C1041">
        <v>29990</v>
      </c>
      <c r="E1041" s="80">
        <v>45668</v>
      </c>
      <c r="F1041">
        <v>1010900</v>
      </c>
      <c r="G1041">
        <v>5000</v>
      </c>
    </row>
    <row r="1042" spans="1:7" x14ac:dyDescent="0.3">
      <c r="A1042" s="80">
        <v>45676</v>
      </c>
      <c r="B1042">
        <v>1010100</v>
      </c>
      <c r="C1042">
        <v>29990</v>
      </c>
      <c r="E1042" s="80">
        <v>45668</v>
      </c>
      <c r="F1042">
        <v>1010900</v>
      </c>
      <c r="G1042">
        <v>5000</v>
      </c>
    </row>
    <row r="1043" spans="1:7" x14ac:dyDescent="0.3">
      <c r="A1043" s="80">
        <v>45676</v>
      </c>
      <c r="B1043">
        <v>1010100</v>
      </c>
      <c r="C1043">
        <v>32990</v>
      </c>
      <c r="E1043" s="80">
        <v>45668</v>
      </c>
      <c r="F1043">
        <v>1010900</v>
      </c>
      <c r="G1043">
        <v>5000</v>
      </c>
    </row>
    <row r="1044" spans="1:7" x14ac:dyDescent="0.3">
      <c r="A1044" s="80">
        <v>45676</v>
      </c>
      <c r="B1044">
        <v>1010100</v>
      </c>
      <c r="C1044">
        <v>29990</v>
      </c>
      <c r="E1044" s="80">
        <v>45668</v>
      </c>
      <c r="F1044">
        <v>1010900</v>
      </c>
      <c r="G1044">
        <v>5000</v>
      </c>
    </row>
    <row r="1045" spans="1:7" x14ac:dyDescent="0.3">
      <c r="A1045" s="80">
        <v>45676</v>
      </c>
      <c r="B1045">
        <v>1010100</v>
      </c>
      <c r="C1045">
        <v>29990</v>
      </c>
      <c r="E1045" s="80">
        <v>45668</v>
      </c>
      <c r="F1045">
        <v>1010900</v>
      </c>
      <c r="G1045">
        <v>5000</v>
      </c>
    </row>
    <row r="1046" spans="1:7" x14ac:dyDescent="0.3">
      <c r="A1046" s="80">
        <v>45676</v>
      </c>
      <c r="B1046">
        <v>1010100</v>
      </c>
      <c r="C1046">
        <v>29990</v>
      </c>
      <c r="E1046" s="80">
        <v>45667</v>
      </c>
      <c r="F1046">
        <v>1010900</v>
      </c>
      <c r="G1046">
        <v>5000</v>
      </c>
    </row>
    <row r="1047" spans="1:7" x14ac:dyDescent="0.3">
      <c r="A1047" s="80">
        <v>45676</v>
      </c>
      <c r="B1047">
        <v>1010100</v>
      </c>
      <c r="C1047">
        <v>29990</v>
      </c>
      <c r="E1047" s="80">
        <v>45667</v>
      </c>
      <c r="F1047">
        <v>1010900</v>
      </c>
      <c r="G1047">
        <v>5000</v>
      </c>
    </row>
    <row r="1048" spans="1:7" x14ac:dyDescent="0.3">
      <c r="A1048" s="80">
        <v>45676</v>
      </c>
      <c r="B1048">
        <v>1010100</v>
      </c>
      <c r="C1048">
        <v>29990</v>
      </c>
      <c r="E1048" s="80">
        <v>45667</v>
      </c>
      <c r="F1048">
        <v>1010900</v>
      </c>
      <c r="G1048">
        <v>5000</v>
      </c>
    </row>
    <row r="1049" spans="1:7" x14ac:dyDescent="0.3">
      <c r="A1049" s="80">
        <v>45676</v>
      </c>
      <c r="B1049">
        <v>1010100</v>
      </c>
      <c r="C1049">
        <v>29990</v>
      </c>
      <c r="E1049" s="80">
        <v>45667</v>
      </c>
      <c r="F1049">
        <v>1010900</v>
      </c>
      <c r="G1049">
        <v>5000</v>
      </c>
    </row>
    <row r="1050" spans="1:7" x14ac:dyDescent="0.3">
      <c r="A1050" s="80">
        <v>45676</v>
      </c>
      <c r="B1050">
        <v>1010100</v>
      </c>
      <c r="C1050">
        <v>29990</v>
      </c>
      <c r="E1050" s="80">
        <v>45667</v>
      </c>
      <c r="F1050">
        <v>1010900</v>
      </c>
      <c r="G1050">
        <v>5000</v>
      </c>
    </row>
    <row r="1051" spans="1:7" x14ac:dyDescent="0.3">
      <c r="A1051" s="80">
        <v>45676</v>
      </c>
      <c r="B1051">
        <v>1010100</v>
      </c>
      <c r="C1051">
        <v>29990</v>
      </c>
      <c r="E1051" s="80">
        <v>45667</v>
      </c>
      <c r="F1051">
        <v>1010900</v>
      </c>
      <c r="G1051">
        <v>5000</v>
      </c>
    </row>
    <row r="1052" spans="1:7" x14ac:dyDescent="0.3">
      <c r="A1052" s="80">
        <v>45676</v>
      </c>
      <c r="B1052">
        <v>1010100</v>
      </c>
      <c r="C1052">
        <v>9990</v>
      </c>
      <c r="E1052" s="80">
        <v>45667</v>
      </c>
      <c r="F1052">
        <v>1010900</v>
      </c>
      <c r="G1052">
        <v>5000</v>
      </c>
    </row>
    <row r="1053" spans="1:7" x14ac:dyDescent="0.3">
      <c r="A1053" s="80">
        <v>45676</v>
      </c>
      <c r="B1053">
        <v>1010100</v>
      </c>
      <c r="C1053">
        <v>29990</v>
      </c>
      <c r="E1053" s="80">
        <v>45667</v>
      </c>
      <c r="F1053">
        <v>1010900</v>
      </c>
      <c r="G1053">
        <v>5000</v>
      </c>
    </row>
    <row r="1054" spans="1:7" x14ac:dyDescent="0.3">
      <c r="A1054" s="80">
        <v>45676</v>
      </c>
      <c r="B1054">
        <v>1010100</v>
      </c>
      <c r="C1054">
        <v>29990</v>
      </c>
      <c r="E1054" s="80">
        <v>45667</v>
      </c>
      <c r="F1054">
        <v>1010900</v>
      </c>
      <c r="G1054">
        <v>5000</v>
      </c>
    </row>
    <row r="1055" spans="1:7" x14ac:dyDescent="0.3">
      <c r="A1055" s="80">
        <v>45676</v>
      </c>
      <c r="B1055">
        <v>1010100</v>
      </c>
      <c r="C1055">
        <v>29990</v>
      </c>
      <c r="E1055" s="80">
        <v>45667</v>
      </c>
      <c r="F1055">
        <v>1010900</v>
      </c>
      <c r="G1055">
        <v>5000</v>
      </c>
    </row>
    <row r="1056" spans="1:7" x14ac:dyDescent="0.3">
      <c r="A1056" s="80">
        <v>45676</v>
      </c>
      <c r="B1056">
        <v>1010100</v>
      </c>
      <c r="C1056">
        <v>29990</v>
      </c>
      <c r="E1056" s="80">
        <v>45667</v>
      </c>
      <c r="F1056">
        <v>1010900</v>
      </c>
      <c r="G1056">
        <v>5000</v>
      </c>
    </row>
    <row r="1057" spans="1:7" x14ac:dyDescent="0.3">
      <c r="A1057" s="80">
        <v>45676</v>
      </c>
      <c r="B1057">
        <v>1010100</v>
      </c>
      <c r="C1057">
        <v>29990</v>
      </c>
      <c r="E1057" s="80">
        <v>45667</v>
      </c>
      <c r="F1057">
        <v>1010900</v>
      </c>
      <c r="G1057">
        <v>5000</v>
      </c>
    </row>
    <row r="1058" spans="1:7" x14ac:dyDescent="0.3">
      <c r="A1058" s="80">
        <v>45676</v>
      </c>
      <c r="B1058">
        <v>1010100</v>
      </c>
      <c r="C1058">
        <v>9990</v>
      </c>
      <c r="E1058" s="80">
        <v>45667</v>
      </c>
      <c r="F1058">
        <v>1010900</v>
      </c>
      <c r="G1058">
        <v>5000</v>
      </c>
    </row>
    <row r="1059" spans="1:7" x14ac:dyDescent="0.3">
      <c r="A1059" s="80">
        <v>45675</v>
      </c>
      <c r="B1059">
        <v>1010100</v>
      </c>
      <c r="C1059">
        <v>29990</v>
      </c>
      <c r="E1059" s="80">
        <v>45667</v>
      </c>
      <c r="F1059">
        <v>1010900</v>
      </c>
      <c r="G1059">
        <v>5000</v>
      </c>
    </row>
    <row r="1060" spans="1:7" x14ac:dyDescent="0.3">
      <c r="A1060" s="80">
        <v>45675</v>
      </c>
      <c r="B1060">
        <v>1010100</v>
      </c>
      <c r="C1060">
        <v>29990</v>
      </c>
      <c r="E1060" s="80">
        <v>45667</v>
      </c>
      <c r="F1060">
        <v>1010900</v>
      </c>
      <c r="G1060">
        <v>5000</v>
      </c>
    </row>
    <row r="1061" spans="1:7" x14ac:dyDescent="0.3">
      <c r="A1061" s="80">
        <v>45675</v>
      </c>
      <c r="B1061">
        <v>1010100</v>
      </c>
      <c r="C1061">
        <v>29990</v>
      </c>
      <c r="E1061" s="80">
        <v>45666</v>
      </c>
      <c r="F1061">
        <v>1010900</v>
      </c>
      <c r="G1061">
        <v>5000</v>
      </c>
    </row>
    <row r="1062" spans="1:7" x14ac:dyDescent="0.3">
      <c r="A1062" s="80">
        <v>45675</v>
      </c>
      <c r="B1062">
        <v>1010100</v>
      </c>
      <c r="C1062">
        <v>32990</v>
      </c>
      <c r="E1062" s="80">
        <v>45666</v>
      </c>
      <c r="F1062">
        <v>1010900</v>
      </c>
      <c r="G1062">
        <v>5000</v>
      </c>
    </row>
    <row r="1063" spans="1:7" x14ac:dyDescent="0.3">
      <c r="A1063" s="80">
        <v>45675</v>
      </c>
      <c r="B1063">
        <v>1010100</v>
      </c>
      <c r="C1063">
        <v>26991</v>
      </c>
      <c r="E1063" s="80">
        <v>45666</v>
      </c>
      <c r="F1063">
        <v>1010900</v>
      </c>
      <c r="G1063">
        <v>5000</v>
      </c>
    </row>
    <row r="1064" spans="1:7" x14ac:dyDescent="0.3">
      <c r="A1064" s="80">
        <v>45675</v>
      </c>
      <c r="B1064">
        <v>1010100</v>
      </c>
      <c r="C1064">
        <v>29990</v>
      </c>
      <c r="E1064" s="80">
        <v>45666</v>
      </c>
      <c r="F1064">
        <v>1010900</v>
      </c>
      <c r="G1064">
        <v>5000</v>
      </c>
    </row>
    <row r="1065" spans="1:7" x14ac:dyDescent="0.3">
      <c r="A1065" s="80">
        <v>45675</v>
      </c>
      <c r="B1065">
        <v>1010100</v>
      </c>
      <c r="C1065">
        <v>29990</v>
      </c>
      <c r="E1065" s="80">
        <v>45666</v>
      </c>
      <c r="F1065">
        <v>1010900</v>
      </c>
      <c r="G1065">
        <v>5000</v>
      </c>
    </row>
    <row r="1066" spans="1:7" x14ac:dyDescent="0.3">
      <c r="A1066" s="80">
        <v>45675</v>
      </c>
      <c r="B1066">
        <v>1010100</v>
      </c>
      <c r="C1066">
        <v>29990</v>
      </c>
      <c r="E1066" s="80">
        <v>45666</v>
      </c>
      <c r="F1066">
        <v>1010900</v>
      </c>
      <c r="G1066">
        <v>5000</v>
      </c>
    </row>
    <row r="1067" spans="1:7" x14ac:dyDescent="0.3">
      <c r="A1067" s="80">
        <v>45675</v>
      </c>
      <c r="B1067">
        <v>1010100</v>
      </c>
      <c r="C1067">
        <v>26991</v>
      </c>
      <c r="E1067" s="80">
        <v>45666</v>
      </c>
      <c r="F1067">
        <v>1010900</v>
      </c>
      <c r="G1067">
        <v>5000</v>
      </c>
    </row>
    <row r="1068" spans="1:7" x14ac:dyDescent="0.3">
      <c r="A1068" s="80">
        <v>45675</v>
      </c>
      <c r="B1068">
        <v>1010100</v>
      </c>
      <c r="C1068">
        <v>29990</v>
      </c>
      <c r="E1068" s="80">
        <v>45666</v>
      </c>
      <c r="F1068">
        <v>1010900</v>
      </c>
      <c r="G1068">
        <v>5000</v>
      </c>
    </row>
    <row r="1069" spans="1:7" x14ac:dyDescent="0.3">
      <c r="A1069" s="80">
        <v>45675</v>
      </c>
      <c r="B1069">
        <v>1010100</v>
      </c>
      <c r="C1069">
        <v>29990</v>
      </c>
      <c r="E1069" s="80">
        <v>45666</v>
      </c>
      <c r="F1069">
        <v>1010900</v>
      </c>
      <c r="G1069">
        <v>5000</v>
      </c>
    </row>
    <row r="1070" spans="1:7" x14ac:dyDescent="0.3">
      <c r="A1070" s="80">
        <v>45674</v>
      </c>
      <c r="B1070">
        <v>1010100</v>
      </c>
      <c r="C1070">
        <v>26991</v>
      </c>
      <c r="E1070" s="80">
        <v>45666</v>
      </c>
      <c r="F1070">
        <v>1010900</v>
      </c>
      <c r="G1070">
        <v>5000</v>
      </c>
    </row>
    <row r="1071" spans="1:7" x14ac:dyDescent="0.3">
      <c r="A1071" s="80">
        <v>45674</v>
      </c>
      <c r="B1071">
        <v>1010100</v>
      </c>
      <c r="C1071">
        <v>32990</v>
      </c>
      <c r="E1071" s="80">
        <v>45666</v>
      </c>
      <c r="F1071">
        <v>1010900</v>
      </c>
      <c r="G1071">
        <v>5000</v>
      </c>
    </row>
    <row r="1072" spans="1:7" x14ac:dyDescent="0.3">
      <c r="A1072" s="80">
        <v>45674</v>
      </c>
      <c r="B1072">
        <v>1010100</v>
      </c>
      <c r="C1072">
        <v>29990</v>
      </c>
      <c r="E1072" s="80">
        <v>45666</v>
      </c>
      <c r="F1072">
        <v>1010900</v>
      </c>
      <c r="G1072">
        <v>5000</v>
      </c>
    </row>
    <row r="1073" spans="1:7" x14ac:dyDescent="0.3">
      <c r="A1073" s="80">
        <v>45674</v>
      </c>
      <c r="B1073">
        <v>1010100</v>
      </c>
      <c r="C1073">
        <v>29990</v>
      </c>
      <c r="E1073" s="80">
        <v>45666</v>
      </c>
      <c r="F1073">
        <v>1010900</v>
      </c>
      <c r="G1073">
        <v>5000</v>
      </c>
    </row>
    <row r="1074" spans="1:7" x14ac:dyDescent="0.3">
      <c r="A1074" s="80">
        <v>45674</v>
      </c>
      <c r="B1074">
        <v>1010100</v>
      </c>
      <c r="C1074">
        <v>26991</v>
      </c>
      <c r="E1074" s="80">
        <v>45666</v>
      </c>
      <c r="F1074">
        <v>1010900</v>
      </c>
      <c r="G1074">
        <v>5000</v>
      </c>
    </row>
    <row r="1075" spans="1:7" x14ac:dyDescent="0.3">
      <c r="A1075" s="80">
        <v>45674</v>
      </c>
      <c r="B1075">
        <v>1010100</v>
      </c>
      <c r="C1075">
        <v>29990</v>
      </c>
      <c r="E1075" s="80">
        <v>45666</v>
      </c>
      <c r="F1075">
        <v>1010900</v>
      </c>
      <c r="G1075">
        <v>5000</v>
      </c>
    </row>
    <row r="1076" spans="1:7" x14ac:dyDescent="0.3">
      <c r="A1076" s="80">
        <v>45674</v>
      </c>
      <c r="B1076">
        <v>1010100</v>
      </c>
      <c r="C1076">
        <v>26991</v>
      </c>
      <c r="E1076" s="80">
        <v>45666</v>
      </c>
      <c r="F1076">
        <v>1010900</v>
      </c>
      <c r="G1076">
        <v>5000</v>
      </c>
    </row>
    <row r="1077" spans="1:7" x14ac:dyDescent="0.3">
      <c r="A1077" s="80">
        <v>45674</v>
      </c>
      <c r="B1077">
        <v>1010100</v>
      </c>
      <c r="C1077">
        <v>29990</v>
      </c>
      <c r="E1077" s="80">
        <v>45666</v>
      </c>
      <c r="F1077">
        <v>1010900</v>
      </c>
      <c r="G1077">
        <v>5000</v>
      </c>
    </row>
    <row r="1078" spans="1:7" x14ac:dyDescent="0.3">
      <c r="A1078" s="80">
        <v>45674</v>
      </c>
      <c r="B1078">
        <v>1010100</v>
      </c>
      <c r="C1078">
        <v>29990</v>
      </c>
      <c r="E1078" s="80">
        <v>45666</v>
      </c>
      <c r="F1078">
        <v>1010900</v>
      </c>
      <c r="G1078">
        <v>5000</v>
      </c>
    </row>
    <row r="1079" spans="1:7" x14ac:dyDescent="0.3">
      <c r="A1079" s="80">
        <v>45674</v>
      </c>
      <c r="B1079">
        <v>1010100</v>
      </c>
      <c r="C1079">
        <v>9990</v>
      </c>
      <c r="E1079" s="80">
        <v>45665</v>
      </c>
      <c r="F1079">
        <v>1010900</v>
      </c>
      <c r="G1079">
        <v>5000</v>
      </c>
    </row>
    <row r="1080" spans="1:7" x14ac:dyDescent="0.3">
      <c r="A1080" s="80">
        <v>45674</v>
      </c>
      <c r="B1080">
        <v>1010100</v>
      </c>
      <c r="C1080">
        <v>29990</v>
      </c>
      <c r="E1080" s="80">
        <v>45665</v>
      </c>
      <c r="F1080">
        <v>1010900</v>
      </c>
      <c r="G1080">
        <v>5000</v>
      </c>
    </row>
    <row r="1081" spans="1:7" x14ac:dyDescent="0.3">
      <c r="A1081" s="80">
        <v>45673</v>
      </c>
      <c r="B1081">
        <v>1010100</v>
      </c>
      <c r="C1081">
        <v>29990</v>
      </c>
      <c r="E1081" s="80">
        <v>45665</v>
      </c>
      <c r="F1081">
        <v>1010900</v>
      </c>
      <c r="G1081">
        <v>5000</v>
      </c>
    </row>
    <row r="1082" spans="1:7" x14ac:dyDescent="0.3">
      <c r="A1082" s="80">
        <v>45673</v>
      </c>
      <c r="B1082">
        <v>1010100</v>
      </c>
      <c r="C1082">
        <v>29990</v>
      </c>
      <c r="E1082" s="80">
        <v>45665</v>
      </c>
      <c r="F1082">
        <v>1010900</v>
      </c>
      <c r="G1082">
        <v>5000</v>
      </c>
    </row>
    <row r="1083" spans="1:7" x14ac:dyDescent="0.3">
      <c r="A1083" s="80">
        <v>45673</v>
      </c>
      <c r="B1083">
        <v>1010100</v>
      </c>
      <c r="C1083">
        <v>29990</v>
      </c>
      <c r="E1083" s="80">
        <v>45665</v>
      </c>
      <c r="F1083">
        <v>1010900</v>
      </c>
      <c r="G1083">
        <v>5000</v>
      </c>
    </row>
    <row r="1084" spans="1:7" x14ac:dyDescent="0.3">
      <c r="A1084" s="80">
        <v>45673</v>
      </c>
      <c r="B1084">
        <v>1010100</v>
      </c>
      <c r="C1084">
        <v>29990</v>
      </c>
      <c r="E1084" s="80">
        <v>45665</v>
      </c>
      <c r="F1084">
        <v>1010900</v>
      </c>
      <c r="G1084">
        <v>5000</v>
      </c>
    </row>
    <row r="1085" spans="1:7" x14ac:dyDescent="0.3">
      <c r="A1085" s="80">
        <v>45673</v>
      </c>
      <c r="B1085">
        <v>1010100</v>
      </c>
      <c r="C1085">
        <v>29990</v>
      </c>
      <c r="E1085" s="80">
        <v>45665</v>
      </c>
      <c r="F1085">
        <v>1010900</v>
      </c>
      <c r="G1085">
        <v>5000</v>
      </c>
    </row>
    <row r="1086" spans="1:7" x14ac:dyDescent="0.3">
      <c r="A1086" s="80">
        <v>45673</v>
      </c>
      <c r="B1086">
        <v>1010100</v>
      </c>
      <c r="C1086">
        <v>32990</v>
      </c>
      <c r="E1086" s="80">
        <v>45665</v>
      </c>
      <c r="F1086">
        <v>1010900</v>
      </c>
      <c r="G1086">
        <v>5000</v>
      </c>
    </row>
    <row r="1087" spans="1:7" x14ac:dyDescent="0.3">
      <c r="A1087" s="80">
        <v>45672</v>
      </c>
      <c r="B1087">
        <v>1010100</v>
      </c>
      <c r="C1087">
        <v>26991</v>
      </c>
      <c r="E1087" s="80">
        <v>45665</v>
      </c>
      <c r="F1087">
        <v>1010900</v>
      </c>
      <c r="G1087">
        <v>5000</v>
      </c>
    </row>
    <row r="1088" spans="1:7" x14ac:dyDescent="0.3">
      <c r="A1088" s="80">
        <v>45672</v>
      </c>
      <c r="B1088">
        <v>1010100</v>
      </c>
      <c r="C1088">
        <v>29990</v>
      </c>
      <c r="E1088" s="80">
        <v>45665</v>
      </c>
      <c r="F1088">
        <v>1010900</v>
      </c>
      <c r="G1088">
        <v>5000</v>
      </c>
    </row>
    <row r="1089" spans="1:7" x14ac:dyDescent="0.3">
      <c r="A1089" s="80">
        <v>45672</v>
      </c>
      <c r="B1089">
        <v>1010100</v>
      </c>
      <c r="C1089">
        <v>29990</v>
      </c>
      <c r="E1089" s="80">
        <v>45665</v>
      </c>
      <c r="F1089">
        <v>1010900</v>
      </c>
      <c r="G1089">
        <v>5000</v>
      </c>
    </row>
    <row r="1090" spans="1:7" x14ac:dyDescent="0.3">
      <c r="A1090" s="80">
        <v>45672</v>
      </c>
      <c r="B1090">
        <v>1010100</v>
      </c>
      <c r="C1090">
        <v>29990</v>
      </c>
      <c r="E1090" s="80">
        <v>45665</v>
      </c>
      <c r="F1090">
        <v>1010900</v>
      </c>
      <c r="G1090">
        <v>5000</v>
      </c>
    </row>
    <row r="1091" spans="1:7" x14ac:dyDescent="0.3">
      <c r="A1091" s="80">
        <v>45672</v>
      </c>
      <c r="B1091">
        <v>1010100</v>
      </c>
      <c r="C1091">
        <v>29990</v>
      </c>
      <c r="E1091" s="80">
        <v>45665</v>
      </c>
      <c r="F1091">
        <v>1010900</v>
      </c>
      <c r="G1091">
        <v>5000</v>
      </c>
    </row>
    <row r="1092" spans="1:7" x14ac:dyDescent="0.3">
      <c r="A1092" s="80">
        <v>45672</v>
      </c>
      <c r="B1092">
        <v>1010100</v>
      </c>
      <c r="C1092">
        <v>29990</v>
      </c>
      <c r="E1092" s="80">
        <v>45665</v>
      </c>
      <c r="F1092">
        <v>1010900</v>
      </c>
      <c r="G1092">
        <v>5000</v>
      </c>
    </row>
    <row r="1093" spans="1:7" x14ac:dyDescent="0.3">
      <c r="A1093" s="80">
        <v>45672</v>
      </c>
      <c r="B1093">
        <v>1010100</v>
      </c>
      <c r="C1093">
        <v>29990</v>
      </c>
      <c r="E1093" s="80">
        <v>45665</v>
      </c>
      <c r="F1093">
        <v>1010900</v>
      </c>
      <c r="G1093">
        <v>5000</v>
      </c>
    </row>
    <row r="1094" spans="1:7" x14ac:dyDescent="0.3">
      <c r="A1094" s="80">
        <v>45672</v>
      </c>
      <c r="B1094">
        <v>1010100</v>
      </c>
      <c r="C1094">
        <v>29990</v>
      </c>
      <c r="E1094" s="80">
        <v>45665</v>
      </c>
      <c r="F1094">
        <v>1010900</v>
      </c>
      <c r="G1094">
        <v>5000</v>
      </c>
    </row>
    <row r="1095" spans="1:7" x14ac:dyDescent="0.3">
      <c r="A1095" s="80">
        <v>45672</v>
      </c>
      <c r="B1095">
        <v>1010100</v>
      </c>
      <c r="C1095">
        <v>29990</v>
      </c>
      <c r="E1095" s="80">
        <v>45665</v>
      </c>
      <c r="F1095">
        <v>1010900</v>
      </c>
      <c r="G1095">
        <v>5000</v>
      </c>
    </row>
    <row r="1096" spans="1:7" x14ac:dyDescent="0.3">
      <c r="A1096" s="80">
        <v>45672</v>
      </c>
      <c r="B1096">
        <v>1010100</v>
      </c>
      <c r="C1096">
        <v>29990</v>
      </c>
      <c r="E1096" s="80">
        <v>45665</v>
      </c>
      <c r="F1096">
        <v>1010900</v>
      </c>
      <c r="G1096">
        <v>5000</v>
      </c>
    </row>
    <row r="1097" spans="1:7" x14ac:dyDescent="0.3">
      <c r="A1097" s="80">
        <v>45672</v>
      </c>
      <c r="B1097">
        <v>1010100</v>
      </c>
      <c r="C1097">
        <v>29990</v>
      </c>
      <c r="E1097" s="80">
        <v>45665</v>
      </c>
      <c r="F1097">
        <v>1010900</v>
      </c>
      <c r="G1097">
        <v>5000</v>
      </c>
    </row>
    <row r="1098" spans="1:7" x14ac:dyDescent="0.3">
      <c r="A1098" s="80">
        <v>45672</v>
      </c>
      <c r="B1098">
        <v>1010100</v>
      </c>
      <c r="C1098">
        <v>29990</v>
      </c>
      <c r="E1098" s="80">
        <v>45665</v>
      </c>
      <c r="F1098">
        <v>1010900</v>
      </c>
      <c r="G1098">
        <v>5000</v>
      </c>
    </row>
    <row r="1099" spans="1:7" x14ac:dyDescent="0.3">
      <c r="A1099" s="80">
        <v>45672</v>
      </c>
      <c r="B1099">
        <v>1010100</v>
      </c>
      <c r="C1099">
        <v>29990</v>
      </c>
      <c r="E1099" s="80">
        <v>45665</v>
      </c>
      <c r="F1099">
        <v>1010900</v>
      </c>
      <c r="G1099">
        <v>5000</v>
      </c>
    </row>
    <row r="1100" spans="1:7" x14ac:dyDescent="0.3">
      <c r="A1100" s="80">
        <v>45671</v>
      </c>
      <c r="B1100">
        <v>1010100</v>
      </c>
      <c r="C1100">
        <v>29990</v>
      </c>
      <c r="E1100" s="80">
        <v>45665</v>
      </c>
      <c r="F1100">
        <v>1010900</v>
      </c>
      <c r="G1100">
        <v>5000</v>
      </c>
    </row>
    <row r="1101" spans="1:7" x14ac:dyDescent="0.3">
      <c r="A1101" s="80">
        <v>45671</v>
      </c>
      <c r="B1101">
        <v>1010100</v>
      </c>
      <c r="C1101">
        <v>29990</v>
      </c>
      <c r="E1101" s="80">
        <v>45665</v>
      </c>
      <c r="F1101">
        <v>1010900</v>
      </c>
      <c r="G1101">
        <v>5000</v>
      </c>
    </row>
    <row r="1102" spans="1:7" x14ac:dyDescent="0.3">
      <c r="A1102" s="80">
        <v>45671</v>
      </c>
      <c r="B1102">
        <v>1010100</v>
      </c>
      <c r="C1102">
        <v>29990</v>
      </c>
      <c r="E1102" s="80">
        <v>45665</v>
      </c>
      <c r="F1102">
        <v>1010900</v>
      </c>
      <c r="G1102">
        <v>5000</v>
      </c>
    </row>
    <row r="1103" spans="1:7" x14ac:dyDescent="0.3">
      <c r="A1103" s="80">
        <v>45671</v>
      </c>
      <c r="B1103">
        <v>1010100</v>
      </c>
      <c r="C1103">
        <v>29990</v>
      </c>
      <c r="E1103" s="80">
        <v>45664</v>
      </c>
      <c r="F1103">
        <v>1010900</v>
      </c>
      <c r="G1103">
        <v>5000</v>
      </c>
    </row>
    <row r="1104" spans="1:7" x14ac:dyDescent="0.3">
      <c r="A1104" s="80">
        <v>45671</v>
      </c>
      <c r="B1104">
        <v>1010100</v>
      </c>
      <c r="C1104">
        <v>9990</v>
      </c>
      <c r="E1104" s="80">
        <v>45664</v>
      </c>
      <c r="F1104">
        <v>1010900</v>
      </c>
      <c r="G1104">
        <v>5000</v>
      </c>
    </row>
    <row r="1105" spans="1:7" x14ac:dyDescent="0.3">
      <c r="A1105" s="80">
        <v>45671</v>
      </c>
      <c r="B1105">
        <v>1010100</v>
      </c>
      <c r="C1105">
        <v>29990</v>
      </c>
      <c r="E1105" s="80">
        <v>45664</v>
      </c>
      <c r="F1105">
        <v>1010900</v>
      </c>
      <c r="G1105">
        <v>5000</v>
      </c>
    </row>
    <row r="1106" spans="1:7" x14ac:dyDescent="0.3">
      <c r="A1106" s="80">
        <v>45671</v>
      </c>
      <c r="B1106">
        <v>1010100</v>
      </c>
      <c r="C1106">
        <v>29990</v>
      </c>
      <c r="E1106" s="80">
        <v>45664</v>
      </c>
      <c r="F1106">
        <v>1010900</v>
      </c>
      <c r="G1106">
        <v>5000</v>
      </c>
    </row>
    <row r="1107" spans="1:7" x14ac:dyDescent="0.3">
      <c r="A1107" s="80">
        <v>45671</v>
      </c>
      <c r="B1107">
        <v>1010100</v>
      </c>
      <c r="C1107">
        <v>32990</v>
      </c>
      <c r="E1107" s="80">
        <v>45664</v>
      </c>
      <c r="F1107">
        <v>1010900</v>
      </c>
      <c r="G1107">
        <v>5000</v>
      </c>
    </row>
    <row r="1108" spans="1:7" x14ac:dyDescent="0.3">
      <c r="A1108" s="80">
        <v>45671</v>
      </c>
      <c r="B1108">
        <v>1010100</v>
      </c>
      <c r="C1108">
        <v>32990</v>
      </c>
      <c r="E1108" s="80">
        <v>45664</v>
      </c>
      <c r="F1108">
        <v>1010900</v>
      </c>
      <c r="G1108">
        <v>5000</v>
      </c>
    </row>
    <row r="1109" spans="1:7" x14ac:dyDescent="0.3">
      <c r="A1109" s="80">
        <v>45670</v>
      </c>
      <c r="B1109">
        <v>1010100</v>
      </c>
      <c r="C1109">
        <v>29990</v>
      </c>
      <c r="E1109" s="80">
        <v>45664</v>
      </c>
      <c r="F1109">
        <v>1010900</v>
      </c>
      <c r="G1109">
        <v>5000</v>
      </c>
    </row>
    <row r="1110" spans="1:7" x14ac:dyDescent="0.3">
      <c r="A1110" s="80">
        <v>45670</v>
      </c>
      <c r="B1110">
        <v>1010100</v>
      </c>
      <c r="C1110">
        <v>29990</v>
      </c>
      <c r="E1110" s="80">
        <v>45664</v>
      </c>
      <c r="F1110">
        <v>1010900</v>
      </c>
      <c r="G1110">
        <v>10000</v>
      </c>
    </row>
    <row r="1111" spans="1:7" x14ac:dyDescent="0.3">
      <c r="A1111" s="80">
        <v>45670</v>
      </c>
      <c r="B1111">
        <v>1010100</v>
      </c>
      <c r="C1111">
        <v>29990</v>
      </c>
      <c r="E1111" s="80">
        <v>45664</v>
      </c>
      <c r="F1111">
        <v>1010900</v>
      </c>
      <c r="G1111">
        <v>10000</v>
      </c>
    </row>
    <row r="1112" spans="1:7" x14ac:dyDescent="0.3">
      <c r="A1112" s="80">
        <v>45670</v>
      </c>
      <c r="B1112">
        <v>1010100</v>
      </c>
      <c r="C1112">
        <v>29990</v>
      </c>
      <c r="E1112" s="80">
        <v>45664</v>
      </c>
      <c r="F1112">
        <v>1010900</v>
      </c>
      <c r="G1112">
        <v>5000</v>
      </c>
    </row>
    <row r="1113" spans="1:7" x14ac:dyDescent="0.3">
      <c r="A1113" s="80">
        <v>45670</v>
      </c>
      <c r="B1113">
        <v>1010100</v>
      </c>
      <c r="C1113">
        <v>29990</v>
      </c>
      <c r="E1113" s="80">
        <v>45664</v>
      </c>
      <c r="F1113">
        <v>1010900</v>
      </c>
      <c r="G1113">
        <v>5000</v>
      </c>
    </row>
    <row r="1114" spans="1:7" x14ac:dyDescent="0.3">
      <c r="A1114" s="80">
        <v>45670</v>
      </c>
      <c r="B1114">
        <v>1010100</v>
      </c>
      <c r="C1114">
        <v>26991</v>
      </c>
      <c r="E1114" s="80">
        <v>45664</v>
      </c>
      <c r="F1114">
        <v>1010900</v>
      </c>
      <c r="G1114">
        <v>5000</v>
      </c>
    </row>
    <row r="1115" spans="1:7" x14ac:dyDescent="0.3">
      <c r="A1115" s="80">
        <v>45669</v>
      </c>
      <c r="B1115">
        <v>1010100</v>
      </c>
      <c r="C1115">
        <v>32990</v>
      </c>
      <c r="E1115" s="80">
        <v>45664</v>
      </c>
      <c r="F1115">
        <v>1010900</v>
      </c>
      <c r="G1115">
        <v>5000</v>
      </c>
    </row>
    <row r="1116" spans="1:7" x14ac:dyDescent="0.3">
      <c r="A1116" s="80">
        <v>45669</v>
      </c>
      <c r="B1116">
        <v>1010100</v>
      </c>
      <c r="C1116">
        <v>32990</v>
      </c>
      <c r="E1116" s="80">
        <v>45664</v>
      </c>
      <c r="F1116">
        <v>1010900</v>
      </c>
      <c r="G1116">
        <v>5000</v>
      </c>
    </row>
    <row r="1117" spans="1:7" x14ac:dyDescent="0.3">
      <c r="A1117" s="80">
        <v>45669</v>
      </c>
      <c r="B1117">
        <v>1010100</v>
      </c>
      <c r="C1117">
        <v>32990</v>
      </c>
      <c r="E1117" s="80">
        <v>45664</v>
      </c>
      <c r="F1117">
        <v>1010900</v>
      </c>
      <c r="G1117">
        <v>5000</v>
      </c>
    </row>
    <row r="1118" spans="1:7" x14ac:dyDescent="0.3">
      <c r="A1118" s="80">
        <v>45669</v>
      </c>
      <c r="B1118">
        <v>1010100</v>
      </c>
      <c r="C1118">
        <v>32990</v>
      </c>
      <c r="E1118" s="80">
        <v>45664</v>
      </c>
      <c r="F1118">
        <v>1010900</v>
      </c>
      <c r="G1118">
        <v>5000</v>
      </c>
    </row>
    <row r="1119" spans="1:7" x14ac:dyDescent="0.3">
      <c r="A1119" s="80">
        <v>45669</v>
      </c>
      <c r="B1119">
        <v>1010100</v>
      </c>
      <c r="C1119">
        <v>32990</v>
      </c>
      <c r="E1119" s="80">
        <v>45664</v>
      </c>
      <c r="F1119">
        <v>1010900</v>
      </c>
      <c r="G1119">
        <v>5000</v>
      </c>
    </row>
    <row r="1120" spans="1:7" x14ac:dyDescent="0.3">
      <c r="A1120" s="80">
        <v>45669</v>
      </c>
      <c r="B1120">
        <v>1010100</v>
      </c>
      <c r="C1120">
        <v>32990</v>
      </c>
      <c r="E1120" s="80">
        <v>45663</v>
      </c>
      <c r="F1120">
        <v>1010900</v>
      </c>
      <c r="G1120">
        <v>5000</v>
      </c>
    </row>
    <row r="1121" spans="1:7" x14ac:dyDescent="0.3">
      <c r="A1121" s="80">
        <v>45669</v>
      </c>
      <c r="B1121">
        <v>1010100</v>
      </c>
      <c r="C1121">
        <v>32990</v>
      </c>
      <c r="E1121" s="80">
        <v>45663</v>
      </c>
      <c r="F1121">
        <v>1010900</v>
      </c>
      <c r="G1121">
        <v>5000</v>
      </c>
    </row>
    <row r="1122" spans="1:7" x14ac:dyDescent="0.3">
      <c r="A1122" s="80">
        <v>45669</v>
      </c>
      <c r="B1122">
        <v>1010100</v>
      </c>
      <c r="C1122">
        <v>32990</v>
      </c>
      <c r="E1122" s="80">
        <v>45663</v>
      </c>
      <c r="F1122">
        <v>1010900</v>
      </c>
      <c r="G1122">
        <v>5000</v>
      </c>
    </row>
    <row r="1123" spans="1:7" x14ac:dyDescent="0.3">
      <c r="A1123" s="80">
        <v>45668</v>
      </c>
      <c r="B1123">
        <v>1010100</v>
      </c>
      <c r="C1123">
        <v>29990</v>
      </c>
      <c r="E1123" s="80">
        <v>45663</v>
      </c>
      <c r="F1123">
        <v>1010900</v>
      </c>
      <c r="G1123">
        <v>5000</v>
      </c>
    </row>
    <row r="1124" spans="1:7" x14ac:dyDescent="0.3">
      <c r="A1124" s="80">
        <v>45668</v>
      </c>
      <c r="B1124">
        <v>1010100</v>
      </c>
      <c r="C1124">
        <v>29990</v>
      </c>
      <c r="E1124" s="80">
        <v>45663</v>
      </c>
      <c r="F1124">
        <v>1010900</v>
      </c>
      <c r="G1124">
        <v>5000</v>
      </c>
    </row>
    <row r="1125" spans="1:7" x14ac:dyDescent="0.3">
      <c r="A1125" s="80">
        <v>45668</v>
      </c>
      <c r="B1125">
        <v>1010100</v>
      </c>
      <c r="C1125">
        <v>29990</v>
      </c>
      <c r="E1125" s="80">
        <v>45663</v>
      </c>
      <c r="F1125">
        <v>1010900</v>
      </c>
      <c r="G1125">
        <v>5000</v>
      </c>
    </row>
    <row r="1126" spans="1:7" x14ac:dyDescent="0.3">
      <c r="A1126" s="80">
        <v>45668</v>
      </c>
      <c r="B1126">
        <v>1010100</v>
      </c>
      <c r="C1126">
        <v>29990</v>
      </c>
      <c r="E1126" s="80">
        <v>45663</v>
      </c>
      <c r="F1126">
        <v>1010900</v>
      </c>
      <c r="G1126">
        <v>5000</v>
      </c>
    </row>
    <row r="1127" spans="1:7" x14ac:dyDescent="0.3">
      <c r="A1127" s="80">
        <v>45668</v>
      </c>
      <c r="B1127">
        <v>1010100</v>
      </c>
      <c r="C1127">
        <v>29990</v>
      </c>
      <c r="E1127" s="80">
        <v>45663</v>
      </c>
      <c r="F1127">
        <v>1010900</v>
      </c>
      <c r="G1127">
        <v>5000</v>
      </c>
    </row>
    <row r="1128" spans="1:7" x14ac:dyDescent="0.3">
      <c r="A1128" s="80">
        <v>45668</v>
      </c>
      <c r="B1128">
        <v>1010100</v>
      </c>
      <c r="C1128">
        <v>29990</v>
      </c>
      <c r="E1128" s="80">
        <v>45663</v>
      </c>
      <c r="F1128">
        <v>1010900</v>
      </c>
      <c r="G1128">
        <v>5000</v>
      </c>
    </row>
    <row r="1129" spans="1:7" x14ac:dyDescent="0.3">
      <c r="A1129" s="80">
        <v>45668</v>
      </c>
      <c r="B1129">
        <v>1010100</v>
      </c>
      <c r="C1129">
        <v>29990</v>
      </c>
      <c r="E1129" s="80">
        <v>45663</v>
      </c>
      <c r="F1129">
        <v>1010900</v>
      </c>
      <c r="G1129">
        <v>5000</v>
      </c>
    </row>
    <row r="1130" spans="1:7" x14ac:dyDescent="0.3">
      <c r="A1130" s="80">
        <v>45668</v>
      </c>
      <c r="B1130">
        <v>1010100</v>
      </c>
      <c r="C1130">
        <v>29990</v>
      </c>
      <c r="E1130" s="80">
        <v>45663</v>
      </c>
      <c r="F1130">
        <v>1010900</v>
      </c>
      <c r="G1130">
        <v>5000</v>
      </c>
    </row>
    <row r="1131" spans="1:7" x14ac:dyDescent="0.3">
      <c r="A1131" s="80">
        <v>45668</v>
      </c>
      <c r="B1131">
        <v>1010100</v>
      </c>
      <c r="C1131">
        <v>29990</v>
      </c>
      <c r="E1131" s="80">
        <v>45663</v>
      </c>
      <c r="F1131">
        <v>1010900</v>
      </c>
      <c r="G1131">
        <v>5000</v>
      </c>
    </row>
    <row r="1132" spans="1:7" x14ac:dyDescent="0.3">
      <c r="A1132" s="80">
        <v>45668</v>
      </c>
      <c r="B1132">
        <v>1010100</v>
      </c>
      <c r="C1132">
        <v>29990</v>
      </c>
      <c r="E1132" s="80">
        <v>45663</v>
      </c>
      <c r="F1132">
        <v>1010900</v>
      </c>
      <c r="G1132">
        <v>5000</v>
      </c>
    </row>
    <row r="1133" spans="1:7" x14ac:dyDescent="0.3">
      <c r="A1133" s="80">
        <v>45668</v>
      </c>
      <c r="B1133">
        <v>1010100</v>
      </c>
      <c r="C1133">
        <v>29990</v>
      </c>
      <c r="E1133" s="80">
        <v>45663</v>
      </c>
      <c r="F1133">
        <v>1010900</v>
      </c>
      <c r="G1133">
        <v>5000</v>
      </c>
    </row>
    <row r="1134" spans="1:7" x14ac:dyDescent="0.3">
      <c r="A1134" s="80">
        <v>45668</v>
      </c>
      <c r="B1134">
        <v>1010100</v>
      </c>
      <c r="C1134">
        <v>29990</v>
      </c>
      <c r="E1134" s="80">
        <v>45663</v>
      </c>
      <c r="F1134">
        <v>1010900</v>
      </c>
      <c r="G1134">
        <v>5000</v>
      </c>
    </row>
    <row r="1135" spans="1:7" x14ac:dyDescent="0.3">
      <c r="A1135" s="80">
        <v>45668</v>
      </c>
      <c r="B1135">
        <v>1010100</v>
      </c>
      <c r="C1135">
        <v>29990</v>
      </c>
      <c r="E1135" s="80">
        <v>45663</v>
      </c>
      <c r="F1135">
        <v>1010900</v>
      </c>
      <c r="G1135">
        <v>5000</v>
      </c>
    </row>
    <row r="1136" spans="1:7" x14ac:dyDescent="0.3">
      <c r="A1136" s="80">
        <v>45668</v>
      </c>
      <c r="B1136">
        <v>1010100</v>
      </c>
      <c r="C1136">
        <v>29990</v>
      </c>
      <c r="E1136" s="80">
        <v>45663</v>
      </c>
      <c r="F1136">
        <v>1010900</v>
      </c>
      <c r="G1136">
        <v>5000</v>
      </c>
    </row>
    <row r="1137" spans="1:7" x14ac:dyDescent="0.3">
      <c r="A1137" s="80">
        <v>45668</v>
      </c>
      <c r="B1137">
        <v>1010100</v>
      </c>
      <c r="C1137">
        <v>29990</v>
      </c>
      <c r="E1137" s="80">
        <v>45663</v>
      </c>
      <c r="F1137">
        <v>1010900</v>
      </c>
      <c r="G1137">
        <v>5000</v>
      </c>
    </row>
    <row r="1138" spans="1:7" x14ac:dyDescent="0.3">
      <c r="A1138" s="80">
        <v>45667</v>
      </c>
      <c r="B1138">
        <v>1010100</v>
      </c>
      <c r="C1138">
        <v>29990</v>
      </c>
      <c r="E1138" s="80">
        <v>45663</v>
      </c>
      <c r="F1138">
        <v>1010900</v>
      </c>
      <c r="G1138">
        <v>5000</v>
      </c>
    </row>
    <row r="1139" spans="1:7" x14ac:dyDescent="0.3">
      <c r="A1139" s="80">
        <v>45667</v>
      </c>
      <c r="B1139">
        <v>1010100</v>
      </c>
      <c r="C1139">
        <v>29990</v>
      </c>
      <c r="E1139" s="80">
        <v>45663</v>
      </c>
      <c r="F1139">
        <v>1010900</v>
      </c>
      <c r="G1139">
        <v>5000</v>
      </c>
    </row>
    <row r="1140" spans="1:7" x14ac:dyDescent="0.3">
      <c r="A1140" s="80">
        <v>45667</v>
      </c>
      <c r="B1140">
        <v>1010100</v>
      </c>
      <c r="C1140">
        <v>29990</v>
      </c>
      <c r="E1140" s="80">
        <v>45663</v>
      </c>
      <c r="F1140">
        <v>1010900</v>
      </c>
      <c r="G1140">
        <v>500</v>
      </c>
    </row>
    <row r="1141" spans="1:7" x14ac:dyDescent="0.3">
      <c r="A1141" s="80">
        <v>45667</v>
      </c>
      <c r="B1141">
        <v>1010100</v>
      </c>
      <c r="C1141">
        <v>29990</v>
      </c>
      <c r="E1141" s="80">
        <v>45663</v>
      </c>
      <c r="F1141">
        <v>1010900</v>
      </c>
      <c r="G1141">
        <v>5000</v>
      </c>
    </row>
    <row r="1142" spans="1:7" x14ac:dyDescent="0.3">
      <c r="A1142" s="80">
        <v>45667</v>
      </c>
      <c r="B1142">
        <v>1010100</v>
      </c>
      <c r="C1142">
        <v>29990</v>
      </c>
      <c r="E1142" s="80">
        <v>45663</v>
      </c>
      <c r="F1142">
        <v>1010900</v>
      </c>
      <c r="G1142">
        <v>5000</v>
      </c>
    </row>
    <row r="1143" spans="1:7" x14ac:dyDescent="0.3">
      <c r="A1143" s="80">
        <v>45667</v>
      </c>
      <c r="B1143">
        <v>1010100</v>
      </c>
      <c r="C1143">
        <v>29990</v>
      </c>
      <c r="E1143" s="80">
        <v>45663</v>
      </c>
      <c r="F1143">
        <v>1010900</v>
      </c>
      <c r="G1143">
        <v>5000</v>
      </c>
    </row>
    <row r="1144" spans="1:7" x14ac:dyDescent="0.3">
      <c r="A1144" s="80">
        <v>45667</v>
      </c>
      <c r="B1144">
        <v>1010100</v>
      </c>
      <c r="C1144">
        <v>29990</v>
      </c>
      <c r="E1144" s="80">
        <v>45663</v>
      </c>
      <c r="F1144">
        <v>1010900</v>
      </c>
      <c r="G1144">
        <v>5000</v>
      </c>
    </row>
    <row r="1145" spans="1:7" x14ac:dyDescent="0.3">
      <c r="A1145" s="80">
        <v>45667</v>
      </c>
      <c r="B1145">
        <v>1010100</v>
      </c>
      <c r="C1145">
        <v>29990</v>
      </c>
      <c r="E1145" s="80">
        <v>45662</v>
      </c>
      <c r="F1145">
        <v>1010900</v>
      </c>
      <c r="G1145">
        <v>5000</v>
      </c>
    </row>
    <row r="1146" spans="1:7" x14ac:dyDescent="0.3">
      <c r="A1146" s="80">
        <v>45667</v>
      </c>
      <c r="B1146">
        <v>1010100</v>
      </c>
      <c r="C1146">
        <v>29990</v>
      </c>
      <c r="E1146" s="80">
        <v>45662</v>
      </c>
      <c r="F1146">
        <v>1010900</v>
      </c>
      <c r="G1146">
        <v>5000</v>
      </c>
    </row>
    <row r="1147" spans="1:7" x14ac:dyDescent="0.3">
      <c r="A1147" s="80">
        <v>45667</v>
      </c>
      <c r="B1147">
        <v>1010100</v>
      </c>
      <c r="C1147">
        <v>29990</v>
      </c>
      <c r="E1147" s="80">
        <v>45662</v>
      </c>
      <c r="F1147">
        <v>1010900</v>
      </c>
      <c r="G1147">
        <v>5000</v>
      </c>
    </row>
    <row r="1148" spans="1:7" x14ac:dyDescent="0.3">
      <c r="A1148" s="80">
        <v>45667</v>
      </c>
      <c r="B1148">
        <v>1010100</v>
      </c>
      <c r="C1148">
        <v>29990</v>
      </c>
      <c r="E1148" s="80">
        <v>45662</v>
      </c>
      <c r="F1148">
        <v>1010900</v>
      </c>
      <c r="G1148">
        <v>5000</v>
      </c>
    </row>
    <row r="1149" spans="1:7" x14ac:dyDescent="0.3">
      <c r="A1149" s="80">
        <v>45667</v>
      </c>
      <c r="B1149">
        <v>1010100</v>
      </c>
      <c r="C1149">
        <v>29990</v>
      </c>
      <c r="E1149" s="80">
        <v>45662</v>
      </c>
      <c r="F1149">
        <v>1010900</v>
      </c>
      <c r="G1149">
        <v>5000</v>
      </c>
    </row>
    <row r="1150" spans="1:7" x14ac:dyDescent="0.3">
      <c r="A1150" s="80">
        <v>45667</v>
      </c>
      <c r="B1150">
        <v>1010100</v>
      </c>
      <c r="C1150">
        <v>29990</v>
      </c>
      <c r="E1150" s="80">
        <v>45662</v>
      </c>
      <c r="F1150">
        <v>1010900</v>
      </c>
      <c r="G1150">
        <v>5000</v>
      </c>
    </row>
    <row r="1151" spans="1:7" x14ac:dyDescent="0.3">
      <c r="A1151" s="80">
        <v>45667</v>
      </c>
      <c r="B1151">
        <v>1010100</v>
      </c>
      <c r="C1151">
        <v>29990</v>
      </c>
      <c r="E1151" s="80">
        <v>45662</v>
      </c>
      <c r="F1151">
        <v>1010900</v>
      </c>
      <c r="G1151">
        <v>5000</v>
      </c>
    </row>
    <row r="1152" spans="1:7" x14ac:dyDescent="0.3">
      <c r="A1152" s="80">
        <v>45667</v>
      </c>
      <c r="B1152">
        <v>1010100</v>
      </c>
      <c r="C1152">
        <v>29990</v>
      </c>
      <c r="E1152" s="80">
        <v>45662</v>
      </c>
      <c r="F1152">
        <v>1010900</v>
      </c>
      <c r="G1152">
        <v>5000</v>
      </c>
    </row>
    <row r="1153" spans="1:7" x14ac:dyDescent="0.3">
      <c r="A1153" s="80">
        <v>45666</v>
      </c>
      <c r="B1153">
        <v>1010100</v>
      </c>
      <c r="C1153">
        <v>29990</v>
      </c>
      <c r="E1153" s="80">
        <v>45662</v>
      </c>
      <c r="F1153">
        <v>1010900</v>
      </c>
      <c r="G1153">
        <v>5000</v>
      </c>
    </row>
    <row r="1154" spans="1:7" x14ac:dyDescent="0.3">
      <c r="A1154" s="80">
        <v>45666</v>
      </c>
      <c r="B1154">
        <v>1010100</v>
      </c>
      <c r="C1154">
        <v>29990</v>
      </c>
      <c r="E1154" s="80">
        <v>45662</v>
      </c>
      <c r="F1154">
        <v>1010900</v>
      </c>
      <c r="G1154">
        <v>5000</v>
      </c>
    </row>
    <row r="1155" spans="1:7" x14ac:dyDescent="0.3">
      <c r="A1155" s="80">
        <v>45666</v>
      </c>
      <c r="B1155">
        <v>1010100</v>
      </c>
      <c r="C1155">
        <v>29990</v>
      </c>
      <c r="E1155" s="80">
        <v>45662</v>
      </c>
      <c r="F1155">
        <v>1010900</v>
      </c>
      <c r="G1155">
        <v>5000</v>
      </c>
    </row>
    <row r="1156" spans="1:7" x14ac:dyDescent="0.3">
      <c r="A1156" s="80">
        <v>45666</v>
      </c>
      <c r="B1156">
        <v>1010100</v>
      </c>
      <c r="C1156">
        <v>29990</v>
      </c>
      <c r="E1156" s="80">
        <v>45662</v>
      </c>
      <c r="F1156">
        <v>1010900</v>
      </c>
      <c r="G1156">
        <v>5000</v>
      </c>
    </row>
    <row r="1157" spans="1:7" x14ac:dyDescent="0.3">
      <c r="A1157" s="80">
        <v>45666</v>
      </c>
      <c r="B1157">
        <v>1010100</v>
      </c>
      <c r="C1157">
        <v>29990</v>
      </c>
      <c r="E1157" s="80">
        <v>45662</v>
      </c>
      <c r="F1157">
        <v>1010900</v>
      </c>
      <c r="G1157">
        <v>5000</v>
      </c>
    </row>
    <row r="1158" spans="1:7" x14ac:dyDescent="0.3">
      <c r="A1158" s="80">
        <v>45666</v>
      </c>
      <c r="B1158">
        <v>1010100</v>
      </c>
      <c r="C1158">
        <v>29990</v>
      </c>
      <c r="E1158" s="80">
        <v>45662</v>
      </c>
      <c r="F1158">
        <v>1010900</v>
      </c>
      <c r="G1158">
        <v>2630</v>
      </c>
    </row>
    <row r="1159" spans="1:7" x14ac:dyDescent="0.3">
      <c r="A1159" s="80">
        <v>45666</v>
      </c>
      <c r="B1159">
        <v>1010100</v>
      </c>
      <c r="C1159">
        <v>29990</v>
      </c>
      <c r="E1159" s="80">
        <v>45662</v>
      </c>
      <c r="F1159">
        <v>1010900</v>
      </c>
      <c r="G1159">
        <v>5000</v>
      </c>
    </row>
    <row r="1160" spans="1:7" x14ac:dyDescent="0.3">
      <c r="A1160" s="80">
        <v>45666</v>
      </c>
      <c r="B1160">
        <v>1010100</v>
      </c>
      <c r="C1160">
        <v>29990</v>
      </c>
      <c r="E1160" s="80">
        <v>45662</v>
      </c>
      <c r="F1160">
        <v>1010900</v>
      </c>
      <c r="G1160">
        <v>5000</v>
      </c>
    </row>
    <row r="1161" spans="1:7" x14ac:dyDescent="0.3">
      <c r="A1161" s="80">
        <v>45666</v>
      </c>
      <c r="B1161">
        <v>1010100</v>
      </c>
      <c r="C1161">
        <v>29990</v>
      </c>
      <c r="E1161" s="80">
        <v>45662</v>
      </c>
      <c r="F1161">
        <v>1010900</v>
      </c>
      <c r="G1161">
        <v>10000</v>
      </c>
    </row>
    <row r="1162" spans="1:7" x14ac:dyDescent="0.3">
      <c r="A1162" s="80">
        <v>45666</v>
      </c>
      <c r="B1162">
        <v>1010100</v>
      </c>
      <c r="C1162">
        <v>29990</v>
      </c>
      <c r="E1162" s="80">
        <v>45662</v>
      </c>
      <c r="F1162">
        <v>1010900</v>
      </c>
      <c r="G1162">
        <v>5000</v>
      </c>
    </row>
    <row r="1163" spans="1:7" x14ac:dyDescent="0.3">
      <c r="A1163" s="80">
        <v>45666</v>
      </c>
      <c r="B1163">
        <v>1010100</v>
      </c>
      <c r="C1163">
        <v>29990</v>
      </c>
      <c r="E1163" s="80">
        <v>45662</v>
      </c>
      <c r="F1163">
        <v>1010900</v>
      </c>
      <c r="G1163">
        <v>5000</v>
      </c>
    </row>
    <row r="1164" spans="1:7" x14ac:dyDescent="0.3">
      <c r="A1164" s="80">
        <v>45666</v>
      </c>
      <c r="B1164">
        <v>1010100</v>
      </c>
      <c r="C1164">
        <v>29990</v>
      </c>
      <c r="E1164" s="80">
        <v>45662</v>
      </c>
      <c r="F1164">
        <v>1010900</v>
      </c>
      <c r="G1164">
        <v>5000</v>
      </c>
    </row>
    <row r="1165" spans="1:7" x14ac:dyDescent="0.3">
      <c r="A1165" s="80">
        <v>45666</v>
      </c>
      <c r="B1165">
        <v>1010100</v>
      </c>
      <c r="C1165">
        <v>29990</v>
      </c>
      <c r="E1165" s="80">
        <v>45662</v>
      </c>
      <c r="F1165">
        <v>1010900</v>
      </c>
      <c r="G1165">
        <v>5000</v>
      </c>
    </row>
    <row r="1166" spans="1:7" x14ac:dyDescent="0.3">
      <c r="A1166" s="80">
        <v>45666</v>
      </c>
      <c r="B1166">
        <v>1010100</v>
      </c>
      <c r="C1166">
        <v>29990</v>
      </c>
      <c r="E1166" s="80">
        <v>45662</v>
      </c>
      <c r="F1166">
        <v>1010900</v>
      </c>
      <c r="G1166">
        <v>5000</v>
      </c>
    </row>
    <row r="1167" spans="1:7" x14ac:dyDescent="0.3">
      <c r="A1167" s="80">
        <v>45666</v>
      </c>
      <c r="B1167">
        <v>1010100</v>
      </c>
      <c r="C1167">
        <v>29990</v>
      </c>
      <c r="E1167" s="80">
        <v>45662</v>
      </c>
      <c r="F1167">
        <v>1010900</v>
      </c>
      <c r="G1167">
        <v>5000</v>
      </c>
    </row>
    <row r="1168" spans="1:7" x14ac:dyDescent="0.3">
      <c r="A1168" s="80">
        <v>45666</v>
      </c>
      <c r="B1168">
        <v>1010100</v>
      </c>
      <c r="C1168">
        <v>29990</v>
      </c>
      <c r="E1168" s="80">
        <v>45662</v>
      </c>
      <c r="F1168">
        <v>1010900</v>
      </c>
      <c r="G1168">
        <v>5000</v>
      </c>
    </row>
    <row r="1169" spans="1:7" x14ac:dyDescent="0.3">
      <c r="A1169" s="80">
        <v>45666</v>
      </c>
      <c r="B1169">
        <v>1010100</v>
      </c>
      <c r="C1169">
        <v>29990</v>
      </c>
      <c r="E1169" s="80">
        <v>45661</v>
      </c>
      <c r="F1169">
        <v>1010900</v>
      </c>
      <c r="G1169">
        <v>5000</v>
      </c>
    </row>
    <row r="1170" spans="1:7" x14ac:dyDescent="0.3">
      <c r="A1170" s="80">
        <v>45666</v>
      </c>
      <c r="B1170">
        <v>1010100</v>
      </c>
      <c r="C1170">
        <v>29990</v>
      </c>
      <c r="E1170" s="80">
        <v>45661</v>
      </c>
      <c r="F1170">
        <v>1010900</v>
      </c>
      <c r="G1170">
        <v>5000</v>
      </c>
    </row>
    <row r="1171" spans="1:7" x14ac:dyDescent="0.3">
      <c r="A1171" s="80">
        <v>45665</v>
      </c>
      <c r="B1171">
        <v>1010100</v>
      </c>
      <c r="C1171">
        <v>29990</v>
      </c>
      <c r="E1171" s="80">
        <v>45661</v>
      </c>
      <c r="F1171">
        <v>1010900</v>
      </c>
      <c r="G1171">
        <v>5000</v>
      </c>
    </row>
    <row r="1172" spans="1:7" x14ac:dyDescent="0.3">
      <c r="A1172" s="80">
        <v>45665</v>
      </c>
      <c r="B1172">
        <v>1010100</v>
      </c>
      <c r="C1172">
        <v>29990</v>
      </c>
      <c r="E1172" s="80">
        <v>45661</v>
      </c>
      <c r="F1172">
        <v>1010900</v>
      </c>
      <c r="G1172">
        <v>5000</v>
      </c>
    </row>
    <row r="1173" spans="1:7" x14ac:dyDescent="0.3">
      <c r="A1173" s="80">
        <v>45665</v>
      </c>
      <c r="B1173">
        <v>1010100</v>
      </c>
      <c r="C1173">
        <v>29990</v>
      </c>
      <c r="E1173" s="80">
        <v>45661</v>
      </c>
      <c r="F1173">
        <v>1010900</v>
      </c>
      <c r="G1173">
        <v>5000</v>
      </c>
    </row>
    <row r="1174" spans="1:7" x14ac:dyDescent="0.3">
      <c r="A1174" s="80">
        <v>45665</v>
      </c>
      <c r="B1174">
        <v>1010100</v>
      </c>
      <c r="C1174">
        <v>29990</v>
      </c>
      <c r="E1174" s="80">
        <v>45661</v>
      </c>
      <c r="F1174">
        <v>1010900</v>
      </c>
      <c r="G1174">
        <v>5000</v>
      </c>
    </row>
    <row r="1175" spans="1:7" x14ac:dyDescent="0.3">
      <c r="A1175" s="80">
        <v>45665</v>
      </c>
      <c r="B1175">
        <v>1010100</v>
      </c>
      <c r="C1175">
        <v>29990</v>
      </c>
      <c r="E1175" s="80">
        <v>45661</v>
      </c>
      <c r="F1175">
        <v>1010900</v>
      </c>
      <c r="G1175">
        <v>5000</v>
      </c>
    </row>
    <row r="1176" spans="1:7" x14ac:dyDescent="0.3">
      <c r="A1176" s="80">
        <v>45665</v>
      </c>
      <c r="B1176">
        <v>1010100</v>
      </c>
      <c r="C1176">
        <v>29990</v>
      </c>
      <c r="E1176" s="80">
        <v>45661</v>
      </c>
      <c r="F1176">
        <v>1010900</v>
      </c>
      <c r="G1176">
        <v>5000</v>
      </c>
    </row>
    <row r="1177" spans="1:7" x14ac:dyDescent="0.3">
      <c r="A1177" s="80">
        <v>45665</v>
      </c>
      <c r="B1177">
        <v>1010100</v>
      </c>
      <c r="C1177">
        <v>29990</v>
      </c>
      <c r="E1177" s="80">
        <v>45661</v>
      </c>
      <c r="F1177">
        <v>1010900</v>
      </c>
      <c r="G1177">
        <v>5000</v>
      </c>
    </row>
    <row r="1178" spans="1:7" x14ac:dyDescent="0.3">
      <c r="A1178" s="80">
        <v>45665</v>
      </c>
      <c r="B1178">
        <v>1010100</v>
      </c>
      <c r="C1178">
        <v>29990</v>
      </c>
      <c r="E1178" s="80">
        <v>45661</v>
      </c>
      <c r="F1178">
        <v>1010900</v>
      </c>
      <c r="G1178">
        <v>500</v>
      </c>
    </row>
    <row r="1179" spans="1:7" x14ac:dyDescent="0.3">
      <c r="A1179" s="80">
        <v>45665</v>
      </c>
      <c r="B1179">
        <v>1010100</v>
      </c>
      <c r="C1179">
        <v>29990</v>
      </c>
      <c r="E1179" s="80">
        <v>45661</v>
      </c>
      <c r="F1179">
        <v>1010900</v>
      </c>
      <c r="G1179">
        <v>5000</v>
      </c>
    </row>
    <row r="1180" spans="1:7" x14ac:dyDescent="0.3">
      <c r="A1180" s="80">
        <v>45665</v>
      </c>
      <c r="B1180">
        <v>1010100</v>
      </c>
      <c r="C1180">
        <v>29990</v>
      </c>
      <c r="E1180" s="80">
        <v>45661</v>
      </c>
      <c r="F1180">
        <v>1010900</v>
      </c>
      <c r="G1180">
        <v>5000</v>
      </c>
    </row>
    <row r="1181" spans="1:7" x14ac:dyDescent="0.3">
      <c r="A1181" s="80">
        <v>45665</v>
      </c>
      <c r="B1181">
        <v>1010100</v>
      </c>
      <c r="C1181">
        <v>29990</v>
      </c>
      <c r="E1181" s="80">
        <v>45661</v>
      </c>
      <c r="F1181">
        <v>1010900</v>
      </c>
      <c r="G1181">
        <v>5000</v>
      </c>
    </row>
    <row r="1182" spans="1:7" x14ac:dyDescent="0.3">
      <c r="A1182" s="80">
        <v>45665</v>
      </c>
      <c r="B1182">
        <v>1010100</v>
      </c>
      <c r="C1182">
        <v>29990</v>
      </c>
      <c r="E1182" s="80">
        <v>45661</v>
      </c>
      <c r="F1182">
        <v>1010900</v>
      </c>
      <c r="G1182">
        <v>5000</v>
      </c>
    </row>
    <row r="1183" spans="1:7" x14ac:dyDescent="0.3">
      <c r="A1183" s="80">
        <v>45665</v>
      </c>
      <c r="B1183">
        <v>1010100</v>
      </c>
      <c r="C1183">
        <v>29990</v>
      </c>
      <c r="E1183" s="80">
        <v>45661</v>
      </c>
      <c r="F1183">
        <v>1010900</v>
      </c>
      <c r="G1183">
        <v>5000</v>
      </c>
    </row>
    <row r="1184" spans="1:7" x14ac:dyDescent="0.3">
      <c r="A1184" s="80">
        <v>45665</v>
      </c>
      <c r="B1184">
        <v>1010100</v>
      </c>
      <c r="C1184">
        <v>29990</v>
      </c>
      <c r="E1184" s="80">
        <v>45661</v>
      </c>
      <c r="F1184">
        <v>1010900</v>
      </c>
      <c r="G1184">
        <v>5000</v>
      </c>
    </row>
    <row r="1185" spans="1:7" x14ac:dyDescent="0.3">
      <c r="A1185" s="80">
        <v>45665</v>
      </c>
      <c r="B1185">
        <v>1010100</v>
      </c>
      <c r="C1185">
        <v>29990</v>
      </c>
      <c r="E1185" s="80">
        <v>45661</v>
      </c>
      <c r="F1185">
        <v>1010900</v>
      </c>
      <c r="G1185">
        <v>5000</v>
      </c>
    </row>
    <row r="1186" spans="1:7" x14ac:dyDescent="0.3">
      <c r="A1186" s="80">
        <v>45665</v>
      </c>
      <c r="B1186">
        <v>1010100</v>
      </c>
      <c r="C1186">
        <v>29990</v>
      </c>
      <c r="E1186" s="80">
        <v>45661</v>
      </c>
      <c r="F1186">
        <v>1010900</v>
      </c>
      <c r="G1186">
        <v>5000</v>
      </c>
    </row>
    <row r="1187" spans="1:7" x14ac:dyDescent="0.3">
      <c r="A1187" s="80">
        <v>45665</v>
      </c>
      <c r="B1187">
        <v>1010100</v>
      </c>
      <c r="C1187">
        <v>29990</v>
      </c>
      <c r="E1187" s="80">
        <v>45661</v>
      </c>
      <c r="F1187">
        <v>1010900</v>
      </c>
      <c r="G1187">
        <v>5000</v>
      </c>
    </row>
    <row r="1188" spans="1:7" x14ac:dyDescent="0.3">
      <c r="A1188" s="80">
        <v>45665</v>
      </c>
      <c r="B1188">
        <v>1010100</v>
      </c>
      <c r="C1188">
        <v>29990</v>
      </c>
      <c r="E1188" s="80">
        <v>45660</v>
      </c>
      <c r="F1188">
        <v>1010900</v>
      </c>
      <c r="G1188">
        <v>5000</v>
      </c>
    </row>
    <row r="1189" spans="1:7" x14ac:dyDescent="0.3">
      <c r="A1189" s="80">
        <v>45665</v>
      </c>
      <c r="B1189">
        <v>1010100</v>
      </c>
      <c r="C1189">
        <v>29990</v>
      </c>
      <c r="E1189" s="80">
        <v>45660</v>
      </c>
      <c r="F1189">
        <v>1010900</v>
      </c>
      <c r="G1189">
        <v>5000</v>
      </c>
    </row>
    <row r="1190" spans="1:7" x14ac:dyDescent="0.3">
      <c r="A1190" s="80">
        <v>45665</v>
      </c>
      <c r="B1190">
        <v>1010100</v>
      </c>
      <c r="C1190">
        <v>29990</v>
      </c>
      <c r="E1190" s="80">
        <v>45660</v>
      </c>
      <c r="F1190">
        <v>1010900</v>
      </c>
      <c r="G1190">
        <v>5000</v>
      </c>
    </row>
    <row r="1191" spans="1:7" x14ac:dyDescent="0.3">
      <c r="A1191" s="80">
        <v>45665</v>
      </c>
      <c r="B1191">
        <v>1010100</v>
      </c>
      <c r="C1191">
        <v>29990</v>
      </c>
      <c r="E1191" s="80">
        <v>45660</v>
      </c>
      <c r="F1191">
        <v>1010900</v>
      </c>
      <c r="G1191">
        <v>5000</v>
      </c>
    </row>
    <row r="1192" spans="1:7" x14ac:dyDescent="0.3">
      <c r="A1192" s="80">
        <v>45665</v>
      </c>
      <c r="B1192">
        <v>1010100</v>
      </c>
      <c r="C1192">
        <v>29990</v>
      </c>
      <c r="E1192" s="80">
        <v>45660</v>
      </c>
      <c r="F1192">
        <v>1010900</v>
      </c>
      <c r="G1192">
        <v>5000</v>
      </c>
    </row>
    <row r="1193" spans="1:7" x14ac:dyDescent="0.3">
      <c r="A1193" s="80">
        <v>45665</v>
      </c>
      <c r="B1193">
        <v>1010100</v>
      </c>
      <c r="C1193">
        <v>29990</v>
      </c>
      <c r="E1193" s="80">
        <v>45660</v>
      </c>
      <c r="F1193">
        <v>1010900</v>
      </c>
      <c r="G1193">
        <v>5000</v>
      </c>
    </row>
    <row r="1194" spans="1:7" x14ac:dyDescent="0.3">
      <c r="A1194" s="80">
        <v>45665</v>
      </c>
      <c r="B1194">
        <v>1010100</v>
      </c>
      <c r="C1194">
        <v>29990</v>
      </c>
      <c r="E1194" s="80">
        <v>45660</v>
      </c>
      <c r="F1194">
        <v>1010900</v>
      </c>
      <c r="G1194">
        <v>5000</v>
      </c>
    </row>
    <row r="1195" spans="1:7" x14ac:dyDescent="0.3">
      <c r="A1195" s="80">
        <v>45664</v>
      </c>
      <c r="B1195">
        <v>1010100</v>
      </c>
      <c r="C1195">
        <v>29990</v>
      </c>
      <c r="E1195" s="80">
        <v>45660</v>
      </c>
      <c r="F1195">
        <v>1010900</v>
      </c>
      <c r="G1195">
        <v>5000</v>
      </c>
    </row>
    <row r="1196" spans="1:7" x14ac:dyDescent="0.3">
      <c r="A1196" s="80">
        <v>45664</v>
      </c>
      <c r="B1196">
        <v>1010100</v>
      </c>
      <c r="C1196">
        <v>29990</v>
      </c>
      <c r="E1196" s="80">
        <v>45660</v>
      </c>
      <c r="F1196">
        <v>1010900</v>
      </c>
      <c r="G1196">
        <v>5000</v>
      </c>
    </row>
    <row r="1197" spans="1:7" x14ac:dyDescent="0.3">
      <c r="A1197" s="80">
        <v>45664</v>
      </c>
      <c r="B1197">
        <v>1010100</v>
      </c>
      <c r="C1197">
        <v>29990</v>
      </c>
      <c r="E1197" s="80">
        <v>45660</v>
      </c>
      <c r="F1197">
        <v>1010900</v>
      </c>
      <c r="G1197">
        <v>5000</v>
      </c>
    </row>
    <row r="1198" spans="1:7" x14ac:dyDescent="0.3">
      <c r="A1198" s="80">
        <v>45664</v>
      </c>
      <c r="B1198">
        <v>1010100</v>
      </c>
      <c r="C1198">
        <v>29990</v>
      </c>
      <c r="E1198" s="80">
        <v>45660</v>
      </c>
      <c r="F1198">
        <v>1010900</v>
      </c>
      <c r="G1198">
        <v>5000</v>
      </c>
    </row>
    <row r="1199" spans="1:7" x14ac:dyDescent="0.3">
      <c r="A1199" s="80">
        <v>45664</v>
      </c>
      <c r="B1199">
        <v>1010100</v>
      </c>
      <c r="C1199">
        <v>29990</v>
      </c>
      <c r="E1199" s="80">
        <v>45660</v>
      </c>
      <c r="F1199">
        <v>1010900</v>
      </c>
      <c r="G1199">
        <v>5000</v>
      </c>
    </row>
    <row r="1200" spans="1:7" x14ac:dyDescent="0.3">
      <c r="A1200" s="80">
        <v>45664</v>
      </c>
      <c r="B1200">
        <v>1010100</v>
      </c>
      <c r="C1200">
        <v>29990</v>
      </c>
      <c r="E1200" s="80">
        <v>45660</v>
      </c>
      <c r="F1200">
        <v>1010900</v>
      </c>
      <c r="G1200">
        <v>5000</v>
      </c>
    </row>
    <row r="1201" spans="1:7" x14ac:dyDescent="0.3">
      <c r="A1201" s="80">
        <v>45664</v>
      </c>
      <c r="B1201">
        <v>1010100</v>
      </c>
      <c r="C1201">
        <v>29990</v>
      </c>
      <c r="E1201" s="80">
        <v>45660</v>
      </c>
      <c r="F1201">
        <v>1010900</v>
      </c>
      <c r="G1201">
        <v>5000</v>
      </c>
    </row>
    <row r="1202" spans="1:7" x14ac:dyDescent="0.3">
      <c r="A1202" s="80">
        <v>45664</v>
      </c>
      <c r="B1202">
        <v>1010100</v>
      </c>
      <c r="C1202">
        <v>59980</v>
      </c>
      <c r="E1202" s="80">
        <v>45660</v>
      </c>
      <c r="F1202">
        <v>1010900</v>
      </c>
      <c r="G1202">
        <v>5000</v>
      </c>
    </row>
    <row r="1203" spans="1:7" x14ac:dyDescent="0.3">
      <c r="A1203" s="80">
        <v>45664</v>
      </c>
      <c r="B1203">
        <v>1010100</v>
      </c>
      <c r="C1203">
        <v>59980</v>
      </c>
      <c r="E1203" s="80">
        <v>45660</v>
      </c>
      <c r="F1203">
        <v>1010900</v>
      </c>
      <c r="G1203">
        <v>2630</v>
      </c>
    </row>
    <row r="1204" spans="1:7" x14ac:dyDescent="0.3">
      <c r="A1204" s="80">
        <v>45664</v>
      </c>
      <c r="B1204">
        <v>1010100</v>
      </c>
      <c r="C1204">
        <v>29990</v>
      </c>
      <c r="E1204" s="80">
        <v>45660</v>
      </c>
      <c r="F1204">
        <v>1010900</v>
      </c>
      <c r="G1204">
        <v>5000</v>
      </c>
    </row>
    <row r="1205" spans="1:7" x14ac:dyDescent="0.3">
      <c r="A1205" s="80">
        <v>45664</v>
      </c>
      <c r="B1205">
        <v>1010100</v>
      </c>
      <c r="C1205">
        <v>29990</v>
      </c>
      <c r="E1205" s="80">
        <v>45659</v>
      </c>
      <c r="F1205">
        <v>1010900</v>
      </c>
      <c r="G1205">
        <v>5000</v>
      </c>
    </row>
    <row r="1206" spans="1:7" x14ac:dyDescent="0.3">
      <c r="A1206" s="80">
        <v>45664</v>
      </c>
      <c r="B1206">
        <v>1010100</v>
      </c>
      <c r="C1206">
        <v>29990</v>
      </c>
      <c r="E1206" s="80">
        <v>45659</v>
      </c>
      <c r="F1206">
        <v>1010900</v>
      </c>
      <c r="G1206">
        <v>5000</v>
      </c>
    </row>
    <row r="1207" spans="1:7" x14ac:dyDescent="0.3">
      <c r="A1207" s="80">
        <v>45664</v>
      </c>
      <c r="B1207">
        <v>1010100</v>
      </c>
      <c r="C1207">
        <v>29990</v>
      </c>
      <c r="E1207" s="80">
        <v>45659</v>
      </c>
      <c r="F1207">
        <v>1010900</v>
      </c>
      <c r="G1207">
        <v>5000</v>
      </c>
    </row>
    <row r="1208" spans="1:7" x14ac:dyDescent="0.3">
      <c r="A1208" s="80">
        <v>45664</v>
      </c>
      <c r="B1208">
        <v>1010100</v>
      </c>
      <c r="C1208">
        <v>29990</v>
      </c>
      <c r="E1208" s="80">
        <v>45659</v>
      </c>
      <c r="F1208">
        <v>1010900</v>
      </c>
      <c r="G1208">
        <v>5000</v>
      </c>
    </row>
    <row r="1209" spans="1:7" x14ac:dyDescent="0.3">
      <c r="A1209" s="80">
        <v>45664</v>
      </c>
      <c r="B1209">
        <v>1010100</v>
      </c>
      <c r="C1209">
        <v>29990</v>
      </c>
      <c r="E1209" s="80">
        <v>45659</v>
      </c>
      <c r="F1209">
        <v>1010900</v>
      </c>
      <c r="G1209">
        <v>5000</v>
      </c>
    </row>
    <row r="1210" spans="1:7" x14ac:dyDescent="0.3">
      <c r="A1210" s="80">
        <v>45664</v>
      </c>
      <c r="B1210">
        <v>1010100</v>
      </c>
      <c r="C1210">
        <v>29990</v>
      </c>
      <c r="E1210" s="80">
        <v>45659</v>
      </c>
      <c r="F1210">
        <v>1010900</v>
      </c>
      <c r="G1210">
        <v>5000</v>
      </c>
    </row>
    <row r="1211" spans="1:7" x14ac:dyDescent="0.3">
      <c r="A1211" s="80">
        <v>45664</v>
      </c>
      <c r="B1211">
        <v>1010100</v>
      </c>
      <c r="C1211">
        <v>29990</v>
      </c>
      <c r="E1211" s="80">
        <v>45659</v>
      </c>
      <c r="F1211">
        <v>1010900</v>
      </c>
      <c r="G1211">
        <v>5000</v>
      </c>
    </row>
    <row r="1212" spans="1:7" x14ac:dyDescent="0.3">
      <c r="A1212" s="80">
        <v>45663</v>
      </c>
      <c r="B1212">
        <v>1010100</v>
      </c>
      <c r="C1212">
        <v>29990</v>
      </c>
      <c r="E1212" s="80">
        <v>45659</v>
      </c>
      <c r="F1212">
        <v>1010900</v>
      </c>
      <c r="G1212">
        <v>5000</v>
      </c>
    </row>
    <row r="1213" spans="1:7" x14ac:dyDescent="0.3">
      <c r="A1213" s="80">
        <v>45663</v>
      </c>
      <c r="B1213">
        <v>1010100</v>
      </c>
      <c r="C1213">
        <v>29990</v>
      </c>
      <c r="E1213" s="80">
        <v>45659</v>
      </c>
      <c r="F1213">
        <v>1010900</v>
      </c>
      <c r="G1213">
        <v>5000</v>
      </c>
    </row>
    <row r="1214" spans="1:7" x14ac:dyDescent="0.3">
      <c r="A1214" s="80">
        <v>45663</v>
      </c>
      <c r="B1214">
        <v>1010100</v>
      </c>
      <c r="C1214">
        <v>29990</v>
      </c>
      <c r="E1214" s="80">
        <v>45659</v>
      </c>
      <c r="F1214">
        <v>1010900</v>
      </c>
      <c r="G1214">
        <v>10000</v>
      </c>
    </row>
    <row r="1215" spans="1:7" x14ac:dyDescent="0.3">
      <c r="A1215" s="80">
        <v>45663</v>
      </c>
      <c r="B1215">
        <v>1010100</v>
      </c>
      <c r="C1215">
        <v>29990</v>
      </c>
      <c r="E1215" s="80">
        <v>45659</v>
      </c>
      <c r="F1215">
        <v>1010900</v>
      </c>
      <c r="G1215">
        <v>5000</v>
      </c>
    </row>
    <row r="1216" spans="1:7" x14ac:dyDescent="0.3">
      <c r="A1216" s="80">
        <v>45663</v>
      </c>
      <c r="B1216">
        <v>1010100</v>
      </c>
      <c r="C1216">
        <v>26991</v>
      </c>
      <c r="E1216" s="80">
        <v>45659</v>
      </c>
      <c r="F1216">
        <v>1010900</v>
      </c>
      <c r="G1216">
        <v>5000</v>
      </c>
    </row>
    <row r="1217" spans="1:7" x14ac:dyDescent="0.3">
      <c r="A1217" s="80">
        <v>45663</v>
      </c>
      <c r="B1217">
        <v>1010100</v>
      </c>
      <c r="C1217">
        <v>29990</v>
      </c>
      <c r="E1217" s="80">
        <v>45659</v>
      </c>
      <c r="F1217">
        <v>1010900</v>
      </c>
      <c r="G1217">
        <v>5000</v>
      </c>
    </row>
    <row r="1218" spans="1:7" x14ac:dyDescent="0.3">
      <c r="A1218" s="80">
        <v>45663</v>
      </c>
      <c r="B1218">
        <v>1010100</v>
      </c>
      <c r="C1218">
        <v>29990</v>
      </c>
      <c r="E1218" s="80">
        <v>45659</v>
      </c>
      <c r="F1218">
        <v>1010900</v>
      </c>
      <c r="G1218">
        <v>5000</v>
      </c>
    </row>
    <row r="1219" spans="1:7" x14ac:dyDescent="0.3">
      <c r="A1219" s="80">
        <v>45663</v>
      </c>
      <c r="B1219">
        <v>1010100</v>
      </c>
      <c r="C1219">
        <v>29990</v>
      </c>
      <c r="E1219" s="80">
        <v>45659</v>
      </c>
      <c r="F1219">
        <v>1010900</v>
      </c>
      <c r="G1219">
        <v>5000</v>
      </c>
    </row>
    <row r="1220" spans="1:7" x14ac:dyDescent="0.3">
      <c r="A1220" s="80">
        <v>45663</v>
      </c>
      <c r="B1220">
        <v>1010100</v>
      </c>
      <c r="C1220">
        <v>29990</v>
      </c>
      <c r="E1220" s="80">
        <v>45659</v>
      </c>
      <c r="F1220">
        <v>1010900</v>
      </c>
      <c r="G1220">
        <v>5000</v>
      </c>
    </row>
    <row r="1221" spans="1:7" x14ac:dyDescent="0.3">
      <c r="A1221" s="80">
        <v>45663</v>
      </c>
      <c r="B1221">
        <v>1010100</v>
      </c>
      <c r="C1221">
        <v>29990</v>
      </c>
      <c r="E1221" s="80">
        <v>45659</v>
      </c>
      <c r="F1221">
        <v>1010900</v>
      </c>
      <c r="G1221">
        <v>5000</v>
      </c>
    </row>
    <row r="1222" spans="1:7" x14ac:dyDescent="0.3">
      <c r="A1222" s="80">
        <v>45663</v>
      </c>
      <c r="B1222">
        <v>1010100</v>
      </c>
      <c r="C1222">
        <v>29990</v>
      </c>
      <c r="E1222" s="80">
        <v>45659</v>
      </c>
      <c r="F1222">
        <v>1010900</v>
      </c>
      <c r="G1222">
        <v>5000</v>
      </c>
    </row>
    <row r="1223" spans="1:7" x14ac:dyDescent="0.3">
      <c r="A1223" s="80">
        <v>45663</v>
      </c>
      <c r="B1223">
        <v>1010100</v>
      </c>
      <c r="C1223">
        <v>29990</v>
      </c>
      <c r="E1223" s="80">
        <v>45659</v>
      </c>
      <c r="F1223">
        <v>1010900</v>
      </c>
      <c r="G1223">
        <v>5000</v>
      </c>
    </row>
    <row r="1224" spans="1:7" x14ac:dyDescent="0.3">
      <c r="A1224" s="80">
        <v>45663</v>
      </c>
      <c r="B1224">
        <v>1010100</v>
      </c>
      <c r="C1224">
        <v>29990</v>
      </c>
      <c r="E1224" s="80">
        <v>45659</v>
      </c>
      <c r="F1224">
        <v>1010900</v>
      </c>
      <c r="G1224">
        <v>5000</v>
      </c>
    </row>
    <row r="1225" spans="1:7" x14ac:dyDescent="0.3">
      <c r="A1225" s="80">
        <v>45663</v>
      </c>
      <c r="B1225">
        <v>1010100</v>
      </c>
      <c r="C1225">
        <v>1000</v>
      </c>
      <c r="E1225" s="80">
        <v>45659</v>
      </c>
      <c r="F1225">
        <v>1010900</v>
      </c>
      <c r="G1225">
        <v>5000</v>
      </c>
    </row>
    <row r="1226" spans="1:7" x14ac:dyDescent="0.3">
      <c r="A1226" s="80">
        <v>45663</v>
      </c>
      <c r="B1226">
        <v>1010100</v>
      </c>
      <c r="C1226">
        <v>26991</v>
      </c>
      <c r="E1226" s="80">
        <v>45659</v>
      </c>
      <c r="F1226">
        <v>1010900</v>
      </c>
      <c r="G1226">
        <v>5000</v>
      </c>
    </row>
    <row r="1227" spans="1:7" x14ac:dyDescent="0.3">
      <c r="A1227" s="80">
        <v>45663</v>
      </c>
      <c r="B1227">
        <v>1010100</v>
      </c>
      <c r="C1227">
        <v>29990</v>
      </c>
      <c r="E1227" s="80">
        <v>45659</v>
      </c>
      <c r="F1227">
        <v>1010900</v>
      </c>
      <c r="G1227">
        <v>5000</v>
      </c>
    </row>
    <row r="1228" spans="1:7" x14ac:dyDescent="0.3">
      <c r="A1228" s="80">
        <v>45663</v>
      </c>
      <c r="B1228">
        <v>1010100</v>
      </c>
      <c r="C1228">
        <v>29990</v>
      </c>
      <c r="E1228" s="80">
        <v>45658</v>
      </c>
      <c r="F1228">
        <v>1010900</v>
      </c>
      <c r="G1228">
        <v>5000</v>
      </c>
    </row>
    <row r="1229" spans="1:7" x14ac:dyDescent="0.3">
      <c r="A1229" s="80">
        <v>45663</v>
      </c>
      <c r="B1229">
        <v>1010100</v>
      </c>
      <c r="C1229">
        <v>29990</v>
      </c>
      <c r="E1229" s="80">
        <v>45658</v>
      </c>
      <c r="F1229">
        <v>1010900</v>
      </c>
      <c r="G1229">
        <v>5000</v>
      </c>
    </row>
    <row r="1230" spans="1:7" x14ac:dyDescent="0.3">
      <c r="A1230" s="80">
        <v>45663</v>
      </c>
      <c r="B1230">
        <v>1010100</v>
      </c>
      <c r="C1230">
        <v>29990</v>
      </c>
      <c r="E1230" s="80">
        <v>45658</v>
      </c>
      <c r="F1230">
        <v>1010900</v>
      </c>
      <c r="G1230">
        <v>5000</v>
      </c>
    </row>
    <row r="1231" spans="1:7" x14ac:dyDescent="0.3">
      <c r="A1231" s="80">
        <v>45663</v>
      </c>
      <c r="B1231">
        <v>1010100</v>
      </c>
      <c r="C1231">
        <v>29990</v>
      </c>
      <c r="E1231" s="80">
        <v>45658</v>
      </c>
      <c r="F1231">
        <v>1010900</v>
      </c>
      <c r="G1231">
        <v>5000</v>
      </c>
    </row>
    <row r="1232" spans="1:7" x14ac:dyDescent="0.3">
      <c r="A1232" s="80">
        <v>45663</v>
      </c>
      <c r="B1232">
        <v>1010100</v>
      </c>
      <c r="C1232">
        <v>9990</v>
      </c>
      <c r="E1232" s="80">
        <v>45658</v>
      </c>
      <c r="F1232">
        <v>1010900</v>
      </c>
      <c r="G1232">
        <v>5000</v>
      </c>
    </row>
    <row r="1233" spans="1:7" x14ac:dyDescent="0.3">
      <c r="A1233" s="80">
        <v>45663</v>
      </c>
      <c r="B1233">
        <v>1010100</v>
      </c>
      <c r="C1233">
        <v>29990</v>
      </c>
      <c r="E1233" s="80">
        <v>45658</v>
      </c>
      <c r="F1233">
        <v>1010900</v>
      </c>
      <c r="G1233">
        <v>5000</v>
      </c>
    </row>
    <row r="1234" spans="1:7" x14ac:dyDescent="0.3">
      <c r="A1234" s="80">
        <v>45663</v>
      </c>
      <c r="B1234">
        <v>1010100</v>
      </c>
      <c r="C1234">
        <v>29990</v>
      </c>
      <c r="E1234" s="80">
        <v>45658</v>
      </c>
      <c r="F1234">
        <v>1010900</v>
      </c>
      <c r="G1234">
        <v>5000</v>
      </c>
    </row>
    <row r="1235" spans="1:7" x14ac:dyDescent="0.3">
      <c r="A1235" s="80">
        <v>45663</v>
      </c>
      <c r="B1235">
        <v>1010100</v>
      </c>
      <c r="C1235">
        <v>29990</v>
      </c>
      <c r="E1235" s="80">
        <v>45658</v>
      </c>
      <c r="F1235">
        <v>1010900</v>
      </c>
      <c r="G1235">
        <v>5000</v>
      </c>
    </row>
    <row r="1236" spans="1:7" x14ac:dyDescent="0.3">
      <c r="A1236" s="80">
        <v>45663</v>
      </c>
      <c r="B1236">
        <v>1010100</v>
      </c>
      <c r="C1236">
        <v>29990</v>
      </c>
      <c r="E1236" s="80">
        <v>45658</v>
      </c>
      <c r="F1236">
        <v>1010900</v>
      </c>
      <c r="G1236">
        <v>5000</v>
      </c>
    </row>
    <row r="1237" spans="1:7" x14ac:dyDescent="0.3">
      <c r="A1237" s="80">
        <v>45662</v>
      </c>
      <c r="B1237">
        <v>1010100</v>
      </c>
      <c r="C1237">
        <v>29990</v>
      </c>
      <c r="E1237" s="80">
        <v>45658</v>
      </c>
      <c r="F1237">
        <v>1010900</v>
      </c>
      <c r="G1237">
        <v>2630</v>
      </c>
    </row>
    <row r="1238" spans="1:7" x14ac:dyDescent="0.3">
      <c r="A1238" s="80">
        <v>45662</v>
      </c>
      <c r="B1238">
        <v>1010100</v>
      </c>
      <c r="C1238">
        <v>29990</v>
      </c>
      <c r="E1238" s="80">
        <v>45658</v>
      </c>
      <c r="F1238">
        <v>1010900</v>
      </c>
      <c r="G1238">
        <v>5000</v>
      </c>
    </row>
    <row r="1239" spans="1:7" x14ac:dyDescent="0.3">
      <c r="A1239" s="80">
        <v>45662</v>
      </c>
      <c r="B1239">
        <v>1010100</v>
      </c>
      <c r="C1239">
        <v>29990</v>
      </c>
      <c r="E1239" s="80">
        <v>45658</v>
      </c>
      <c r="F1239">
        <v>1010900</v>
      </c>
      <c r="G1239">
        <v>5000</v>
      </c>
    </row>
    <row r="1240" spans="1:7" x14ac:dyDescent="0.3">
      <c r="A1240" s="80">
        <v>45662</v>
      </c>
      <c r="B1240">
        <v>1010100</v>
      </c>
      <c r="C1240">
        <v>29990</v>
      </c>
      <c r="E1240" s="80">
        <v>45658</v>
      </c>
      <c r="F1240">
        <v>1010900</v>
      </c>
      <c r="G1240">
        <v>5000</v>
      </c>
    </row>
    <row r="1241" spans="1:7" x14ac:dyDescent="0.3">
      <c r="A1241" s="80">
        <v>45662</v>
      </c>
      <c r="B1241">
        <v>1010100</v>
      </c>
      <c r="C1241">
        <v>29990</v>
      </c>
      <c r="E1241" s="80">
        <v>45658</v>
      </c>
      <c r="F1241">
        <v>1010900</v>
      </c>
      <c r="G1241">
        <v>5000</v>
      </c>
    </row>
    <row r="1242" spans="1:7" x14ac:dyDescent="0.3">
      <c r="A1242" s="80">
        <v>45662</v>
      </c>
      <c r="B1242">
        <v>1010100</v>
      </c>
      <c r="C1242">
        <v>29990</v>
      </c>
      <c r="E1242" s="80">
        <v>45658</v>
      </c>
      <c r="F1242">
        <v>1010900</v>
      </c>
      <c r="G1242">
        <v>5000</v>
      </c>
    </row>
    <row r="1243" spans="1:7" x14ac:dyDescent="0.3">
      <c r="A1243" s="80">
        <v>45662</v>
      </c>
      <c r="B1243">
        <v>1010100</v>
      </c>
      <c r="C1243">
        <v>26991</v>
      </c>
      <c r="E1243" s="80">
        <v>45838</v>
      </c>
      <c r="F1243">
        <v>1010900</v>
      </c>
      <c r="G1243">
        <v>5000</v>
      </c>
    </row>
    <row r="1244" spans="1:7" x14ac:dyDescent="0.3">
      <c r="A1244" s="80">
        <v>45662</v>
      </c>
      <c r="B1244">
        <v>1010100</v>
      </c>
      <c r="C1244">
        <v>29990</v>
      </c>
      <c r="E1244" s="80">
        <v>45844</v>
      </c>
      <c r="F1244">
        <v>1010900</v>
      </c>
      <c r="G1244">
        <v>5000</v>
      </c>
    </row>
    <row r="1245" spans="1:7" x14ac:dyDescent="0.3">
      <c r="A1245" s="80">
        <v>45662</v>
      </c>
      <c r="B1245">
        <v>1010100</v>
      </c>
      <c r="C1245">
        <v>29990</v>
      </c>
      <c r="E1245" s="80">
        <v>45835</v>
      </c>
      <c r="F1245">
        <v>1010900</v>
      </c>
      <c r="G1245">
        <v>5000</v>
      </c>
    </row>
    <row r="1246" spans="1:7" x14ac:dyDescent="0.3">
      <c r="A1246" s="80">
        <v>45662</v>
      </c>
      <c r="B1246">
        <v>1010100</v>
      </c>
      <c r="C1246">
        <v>29990</v>
      </c>
      <c r="E1246" s="80">
        <v>45844</v>
      </c>
      <c r="F1246">
        <v>1010900</v>
      </c>
      <c r="G1246">
        <v>5000</v>
      </c>
    </row>
    <row r="1247" spans="1:7" x14ac:dyDescent="0.3">
      <c r="A1247" s="80">
        <v>45662</v>
      </c>
      <c r="B1247">
        <v>1010100</v>
      </c>
      <c r="C1247">
        <v>29990</v>
      </c>
      <c r="E1247" s="80">
        <v>45841</v>
      </c>
      <c r="F1247">
        <v>1010900</v>
      </c>
      <c r="G1247">
        <v>5000</v>
      </c>
    </row>
    <row r="1248" spans="1:7" x14ac:dyDescent="0.3">
      <c r="A1248" s="80">
        <v>45662</v>
      </c>
      <c r="B1248">
        <v>1010100</v>
      </c>
      <c r="C1248">
        <v>29990</v>
      </c>
      <c r="E1248" s="80">
        <v>45833</v>
      </c>
      <c r="F1248">
        <v>1010900</v>
      </c>
      <c r="G1248">
        <v>5000</v>
      </c>
    </row>
    <row r="1249" spans="1:7" x14ac:dyDescent="0.3">
      <c r="A1249" s="80">
        <v>45662</v>
      </c>
      <c r="B1249">
        <v>1010100</v>
      </c>
      <c r="C1249">
        <v>29990</v>
      </c>
      <c r="E1249" s="80">
        <v>45833</v>
      </c>
      <c r="F1249">
        <v>1010900</v>
      </c>
      <c r="G1249">
        <v>5000</v>
      </c>
    </row>
    <row r="1250" spans="1:7" x14ac:dyDescent="0.3">
      <c r="A1250" s="80">
        <v>45662</v>
      </c>
      <c r="B1250">
        <v>1010100</v>
      </c>
      <c r="C1250">
        <v>9990</v>
      </c>
      <c r="E1250" s="80">
        <v>45833</v>
      </c>
      <c r="F1250">
        <v>1010900</v>
      </c>
      <c r="G1250">
        <v>5000</v>
      </c>
    </row>
    <row r="1251" spans="1:7" x14ac:dyDescent="0.3">
      <c r="A1251" s="80">
        <v>45662</v>
      </c>
      <c r="B1251">
        <v>1010100</v>
      </c>
      <c r="C1251">
        <v>29990</v>
      </c>
      <c r="E1251" s="80">
        <v>45838</v>
      </c>
      <c r="F1251">
        <v>1010900</v>
      </c>
      <c r="G1251">
        <v>5000</v>
      </c>
    </row>
    <row r="1252" spans="1:7" x14ac:dyDescent="0.3">
      <c r="A1252" s="80">
        <v>45662</v>
      </c>
      <c r="B1252">
        <v>1010100</v>
      </c>
      <c r="C1252">
        <v>29990</v>
      </c>
      <c r="E1252" s="80">
        <v>45828</v>
      </c>
      <c r="F1252">
        <v>1010900</v>
      </c>
      <c r="G1252">
        <v>5000</v>
      </c>
    </row>
    <row r="1253" spans="1:7" x14ac:dyDescent="0.3">
      <c r="A1253" s="80">
        <v>45662</v>
      </c>
      <c r="B1253">
        <v>1010100</v>
      </c>
      <c r="C1253">
        <v>59980</v>
      </c>
      <c r="E1253" s="80">
        <v>45828</v>
      </c>
      <c r="F1253">
        <v>1010900</v>
      </c>
      <c r="G1253">
        <v>5000</v>
      </c>
    </row>
    <row r="1254" spans="1:7" x14ac:dyDescent="0.3">
      <c r="A1254" s="80">
        <v>45662</v>
      </c>
      <c r="B1254">
        <v>1010100</v>
      </c>
      <c r="C1254">
        <v>29990</v>
      </c>
      <c r="E1254" s="80">
        <v>45832</v>
      </c>
      <c r="F1254">
        <v>1010900</v>
      </c>
      <c r="G1254">
        <v>5000</v>
      </c>
    </row>
    <row r="1255" spans="1:7" x14ac:dyDescent="0.3">
      <c r="A1255" s="80">
        <v>45662</v>
      </c>
      <c r="B1255">
        <v>1010100</v>
      </c>
      <c r="C1255">
        <v>29990</v>
      </c>
      <c r="E1255" s="80">
        <v>45832</v>
      </c>
      <c r="F1255">
        <v>1010900</v>
      </c>
      <c r="G1255">
        <v>5000</v>
      </c>
    </row>
    <row r="1256" spans="1:7" x14ac:dyDescent="0.3">
      <c r="A1256" s="80">
        <v>45662</v>
      </c>
      <c r="B1256">
        <v>1010100</v>
      </c>
      <c r="C1256">
        <v>29990</v>
      </c>
      <c r="E1256" s="80">
        <v>45834</v>
      </c>
      <c r="F1256">
        <v>1010900</v>
      </c>
      <c r="G1256">
        <v>5000</v>
      </c>
    </row>
    <row r="1257" spans="1:7" x14ac:dyDescent="0.3">
      <c r="A1257" s="80">
        <v>45662</v>
      </c>
      <c r="B1257">
        <v>1010100</v>
      </c>
      <c r="C1257">
        <v>29990</v>
      </c>
      <c r="E1257" s="80">
        <v>45838</v>
      </c>
      <c r="F1257">
        <v>1010900</v>
      </c>
      <c r="G1257">
        <v>5000</v>
      </c>
    </row>
    <row r="1258" spans="1:7" x14ac:dyDescent="0.3">
      <c r="A1258" s="80">
        <v>45662</v>
      </c>
      <c r="B1258">
        <v>1010100</v>
      </c>
      <c r="C1258">
        <v>29990</v>
      </c>
      <c r="E1258" s="80">
        <v>45840</v>
      </c>
      <c r="F1258">
        <v>1010900</v>
      </c>
      <c r="G1258">
        <v>5000</v>
      </c>
    </row>
    <row r="1259" spans="1:7" x14ac:dyDescent="0.3">
      <c r="A1259" s="80">
        <v>45662</v>
      </c>
      <c r="B1259">
        <v>1010100</v>
      </c>
      <c r="C1259">
        <v>29990</v>
      </c>
      <c r="E1259" s="80">
        <v>45840</v>
      </c>
      <c r="F1259">
        <v>1010900</v>
      </c>
      <c r="G1259">
        <v>5000</v>
      </c>
    </row>
    <row r="1260" spans="1:7" x14ac:dyDescent="0.3">
      <c r="A1260" s="80">
        <v>45662</v>
      </c>
      <c r="B1260">
        <v>1010100</v>
      </c>
      <c r="C1260">
        <v>29990</v>
      </c>
      <c r="E1260" s="80">
        <v>45841</v>
      </c>
      <c r="F1260">
        <v>1010900</v>
      </c>
      <c r="G1260">
        <v>5000</v>
      </c>
    </row>
    <row r="1261" spans="1:7" x14ac:dyDescent="0.3">
      <c r="A1261" s="80">
        <v>45661</v>
      </c>
      <c r="B1261">
        <v>1010100</v>
      </c>
      <c r="C1261">
        <v>29990</v>
      </c>
      <c r="E1261" s="80">
        <v>45841</v>
      </c>
      <c r="F1261">
        <v>1010900</v>
      </c>
      <c r="G1261">
        <v>5000</v>
      </c>
    </row>
    <row r="1262" spans="1:7" x14ac:dyDescent="0.3">
      <c r="A1262" s="80">
        <v>45661</v>
      </c>
      <c r="B1262">
        <v>1010100</v>
      </c>
      <c r="C1262">
        <v>29990</v>
      </c>
      <c r="E1262" s="80">
        <v>45830</v>
      </c>
      <c r="F1262">
        <v>1010900</v>
      </c>
      <c r="G1262">
        <v>500</v>
      </c>
    </row>
    <row r="1263" spans="1:7" x14ac:dyDescent="0.3">
      <c r="A1263" s="80">
        <v>45661</v>
      </c>
      <c r="B1263">
        <v>1010100</v>
      </c>
      <c r="C1263">
        <v>29990</v>
      </c>
      <c r="E1263" s="80">
        <v>45830</v>
      </c>
      <c r="F1263">
        <v>1010900</v>
      </c>
      <c r="G1263">
        <v>2630</v>
      </c>
    </row>
    <row r="1264" spans="1:7" x14ac:dyDescent="0.3">
      <c r="A1264" s="80">
        <v>45661</v>
      </c>
      <c r="B1264">
        <v>1010100</v>
      </c>
      <c r="C1264">
        <v>29990</v>
      </c>
      <c r="E1264" s="80">
        <v>45830</v>
      </c>
      <c r="F1264">
        <v>1010900</v>
      </c>
      <c r="G1264">
        <v>5000</v>
      </c>
    </row>
    <row r="1265" spans="1:7" x14ac:dyDescent="0.3">
      <c r="A1265" s="80">
        <v>45661</v>
      </c>
      <c r="B1265">
        <v>1010100</v>
      </c>
      <c r="C1265">
        <v>29990</v>
      </c>
      <c r="E1265" s="80">
        <v>45830</v>
      </c>
      <c r="F1265">
        <v>1010900</v>
      </c>
      <c r="G1265">
        <v>4500</v>
      </c>
    </row>
    <row r="1266" spans="1:7" x14ac:dyDescent="0.3">
      <c r="A1266" s="80">
        <v>45661</v>
      </c>
      <c r="B1266">
        <v>1010100</v>
      </c>
      <c r="C1266">
        <v>29990</v>
      </c>
      <c r="E1266" s="80">
        <v>45832</v>
      </c>
      <c r="F1266">
        <v>1010900</v>
      </c>
      <c r="G1266">
        <v>5000</v>
      </c>
    </row>
    <row r="1267" spans="1:7" x14ac:dyDescent="0.3">
      <c r="A1267" s="80">
        <v>45661</v>
      </c>
      <c r="B1267">
        <v>1010100</v>
      </c>
      <c r="C1267">
        <v>29990</v>
      </c>
      <c r="E1267" s="80">
        <v>45832</v>
      </c>
      <c r="F1267">
        <v>1010900</v>
      </c>
      <c r="G1267">
        <v>9000</v>
      </c>
    </row>
    <row r="1268" spans="1:7" x14ac:dyDescent="0.3">
      <c r="A1268" s="80">
        <v>45661</v>
      </c>
      <c r="B1268">
        <v>1010100</v>
      </c>
      <c r="C1268">
        <v>29990</v>
      </c>
      <c r="E1268" s="80">
        <v>45834</v>
      </c>
      <c r="F1268">
        <v>1010900</v>
      </c>
      <c r="G1268">
        <v>5000</v>
      </c>
    </row>
    <row r="1269" spans="1:7" x14ac:dyDescent="0.3">
      <c r="A1269" s="80">
        <v>45661</v>
      </c>
      <c r="B1269">
        <v>1010100</v>
      </c>
      <c r="C1269">
        <v>29990</v>
      </c>
      <c r="E1269" s="80">
        <v>45834</v>
      </c>
      <c r="F1269">
        <v>1010900</v>
      </c>
      <c r="G1269">
        <v>5000</v>
      </c>
    </row>
    <row r="1270" spans="1:7" x14ac:dyDescent="0.3">
      <c r="A1270" s="80">
        <v>45661</v>
      </c>
      <c r="B1270">
        <v>1010100</v>
      </c>
      <c r="C1270">
        <v>9990</v>
      </c>
      <c r="E1270" s="80">
        <v>45835</v>
      </c>
      <c r="F1270">
        <v>1010900</v>
      </c>
      <c r="G1270">
        <v>5000</v>
      </c>
    </row>
    <row r="1271" spans="1:7" x14ac:dyDescent="0.3">
      <c r="A1271" s="80">
        <v>45661</v>
      </c>
      <c r="B1271">
        <v>1010100</v>
      </c>
      <c r="C1271">
        <v>29990</v>
      </c>
      <c r="E1271" s="80">
        <v>45835</v>
      </c>
      <c r="F1271">
        <v>1010900</v>
      </c>
      <c r="G1271">
        <v>2630</v>
      </c>
    </row>
    <row r="1272" spans="1:7" x14ac:dyDescent="0.3">
      <c r="A1272" s="80">
        <v>45661</v>
      </c>
      <c r="B1272">
        <v>1010100</v>
      </c>
      <c r="C1272">
        <v>29990</v>
      </c>
      <c r="E1272" s="80">
        <v>45836</v>
      </c>
      <c r="F1272">
        <v>1010900</v>
      </c>
      <c r="G1272">
        <v>5000</v>
      </c>
    </row>
    <row r="1273" spans="1:7" x14ac:dyDescent="0.3">
      <c r="A1273" s="80">
        <v>45661</v>
      </c>
      <c r="B1273">
        <v>1010100</v>
      </c>
      <c r="C1273">
        <v>29990</v>
      </c>
      <c r="E1273" s="80">
        <v>45837</v>
      </c>
      <c r="F1273">
        <v>1010900</v>
      </c>
      <c r="G1273">
        <v>5000</v>
      </c>
    </row>
    <row r="1274" spans="1:7" x14ac:dyDescent="0.3">
      <c r="A1274" s="80">
        <v>45661</v>
      </c>
      <c r="B1274">
        <v>1010100</v>
      </c>
      <c r="C1274">
        <v>29990</v>
      </c>
      <c r="E1274" s="80">
        <v>45837</v>
      </c>
      <c r="F1274">
        <v>1010900</v>
      </c>
      <c r="G1274">
        <v>5000</v>
      </c>
    </row>
    <row r="1275" spans="1:7" x14ac:dyDescent="0.3">
      <c r="A1275" s="80">
        <v>45661</v>
      </c>
      <c r="B1275">
        <v>1010100</v>
      </c>
      <c r="C1275">
        <v>29990</v>
      </c>
      <c r="E1275" s="80">
        <v>45838</v>
      </c>
      <c r="F1275">
        <v>1010900</v>
      </c>
      <c r="G1275">
        <v>5000</v>
      </c>
    </row>
    <row r="1276" spans="1:7" x14ac:dyDescent="0.3">
      <c r="A1276" s="80">
        <v>45661</v>
      </c>
      <c r="B1276">
        <v>1010100</v>
      </c>
      <c r="C1276">
        <v>29990</v>
      </c>
      <c r="E1276" s="80">
        <v>45838</v>
      </c>
      <c r="F1276">
        <v>1010900</v>
      </c>
      <c r="G1276">
        <v>5000</v>
      </c>
    </row>
    <row r="1277" spans="1:7" x14ac:dyDescent="0.3">
      <c r="A1277" s="80">
        <v>45661</v>
      </c>
      <c r="B1277">
        <v>1010100</v>
      </c>
      <c r="C1277">
        <v>29990</v>
      </c>
      <c r="E1277" s="80">
        <v>45839</v>
      </c>
      <c r="F1277">
        <v>1010900</v>
      </c>
      <c r="G1277">
        <v>5000</v>
      </c>
    </row>
    <row r="1278" spans="1:7" x14ac:dyDescent="0.3">
      <c r="A1278" s="80">
        <v>45661</v>
      </c>
      <c r="B1278">
        <v>1010100</v>
      </c>
      <c r="C1278">
        <v>29990</v>
      </c>
      <c r="E1278" s="80">
        <v>45839</v>
      </c>
      <c r="F1278">
        <v>1010900</v>
      </c>
      <c r="G1278">
        <v>5000</v>
      </c>
    </row>
    <row r="1279" spans="1:7" x14ac:dyDescent="0.3">
      <c r="A1279" s="80">
        <v>45661</v>
      </c>
      <c r="B1279">
        <v>1010100</v>
      </c>
      <c r="C1279">
        <v>29990</v>
      </c>
      <c r="E1279" s="80">
        <v>45840</v>
      </c>
      <c r="F1279">
        <v>1010900</v>
      </c>
      <c r="G1279">
        <v>5000</v>
      </c>
    </row>
    <row r="1280" spans="1:7" x14ac:dyDescent="0.3">
      <c r="A1280" s="80">
        <v>45660</v>
      </c>
      <c r="B1280">
        <v>1010100</v>
      </c>
      <c r="C1280">
        <v>29990</v>
      </c>
      <c r="E1280" s="80">
        <v>45840</v>
      </c>
      <c r="F1280">
        <v>1010900</v>
      </c>
      <c r="G1280">
        <v>5000</v>
      </c>
    </row>
    <row r="1281" spans="1:7" x14ac:dyDescent="0.3">
      <c r="A1281" s="80">
        <v>45660</v>
      </c>
      <c r="B1281">
        <v>1010100</v>
      </c>
      <c r="C1281">
        <v>29990</v>
      </c>
      <c r="E1281" s="80">
        <v>45841</v>
      </c>
      <c r="F1281">
        <v>1010900</v>
      </c>
      <c r="G1281">
        <v>5000</v>
      </c>
    </row>
    <row r="1282" spans="1:7" x14ac:dyDescent="0.3">
      <c r="A1282" s="80">
        <v>45660</v>
      </c>
      <c r="B1282">
        <v>1010100</v>
      </c>
      <c r="C1282">
        <v>29990</v>
      </c>
      <c r="E1282" s="80">
        <v>45841</v>
      </c>
      <c r="F1282">
        <v>1010900</v>
      </c>
      <c r="G1282">
        <v>5000</v>
      </c>
    </row>
    <row r="1283" spans="1:7" x14ac:dyDescent="0.3">
      <c r="A1283" s="80">
        <v>45660</v>
      </c>
      <c r="B1283">
        <v>1010100</v>
      </c>
      <c r="C1283">
        <v>29990</v>
      </c>
      <c r="E1283" s="80">
        <v>45842</v>
      </c>
      <c r="F1283">
        <v>1010900</v>
      </c>
      <c r="G1283">
        <v>500</v>
      </c>
    </row>
    <row r="1284" spans="1:7" x14ac:dyDescent="0.3">
      <c r="A1284" s="80">
        <v>45660</v>
      </c>
      <c r="B1284">
        <v>1010100</v>
      </c>
      <c r="C1284">
        <v>29990</v>
      </c>
      <c r="E1284" s="80">
        <v>45842</v>
      </c>
      <c r="F1284">
        <v>1010900</v>
      </c>
      <c r="G1284">
        <v>5000</v>
      </c>
    </row>
    <row r="1285" spans="1:7" x14ac:dyDescent="0.3">
      <c r="A1285" s="80">
        <v>45660</v>
      </c>
      <c r="B1285">
        <v>1010100</v>
      </c>
      <c r="C1285">
        <v>29990</v>
      </c>
      <c r="E1285" s="80">
        <v>45844</v>
      </c>
      <c r="F1285">
        <v>1010900</v>
      </c>
      <c r="G1285">
        <v>5000</v>
      </c>
    </row>
    <row r="1286" spans="1:7" x14ac:dyDescent="0.3">
      <c r="A1286" s="80">
        <v>45660</v>
      </c>
      <c r="B1286">
        <v>1010100</v>
      </c>
      <c r="C1286">
        <v>29990</v>
      </c>
      <c r="E1286" s="80">
        <v>45844</v>
      </c>
      <c r="F1286">
        <v>1010900</v>
      </c>
      <c r="G1286">
        <v>5000</v>
      </c>
    </row>
    <row r="1287" spans="1:7" x14ac:dyDescent="0.3">
      <c r="A1287" s="80">
        <v>45660</v>
      </c>
      <c r="B1287">
        <v>1010100</v>
      </c>
      <c r="C1287">
        <v>29990</v>
      </c>
      <c r="E1287" s="80">
        <v>45828</v>
      </c>
      <c r="F1287">
        <v>3010101</v>
      </c>
      <c r="G1287">
        <v>25201</v>
      </c>
    </row>
    <row r="1288" spans="1:7" x14ac:dyDescent="0.3">
      <c r="A1288" s="80">
        <v>45660</v>
      </c>
      <c r="B1288">
        <v>1010100</v>
      </c>
      <c r="C1288">
        <v>29990</v>
      </c>
      <c r="E1288" s="80">
        <v>45827</v>
      </c>
      <c r="F1288">
        <v>3010101</v>
      </c>
      <c r="G1288">
        <v>27722</v>
      </c>
    </row>
    <row r="1289" spans="1:7" x14ac:dyDescent="0.3">
      <c r="A1289" s="80">
        <v>45660</v>
      </c>
      <c r="B1289">
        <v>1010100</v>
      </c>
      <c r="C1289">
        <v>29990</v>
      </c>
      <c r="E1289" s="80">
        <v>45827</v>
      </c>
      <c r="F1289">
        <v>3010101</v>
      </c>
      <c r="G1289">
        <v>27722</v>
      </c>
    </row>
    <row r="1290" spans="1:7" x14ac:dyDescent="0.3">
      <c r="A1290" s="80">
        <v>45660</v>
      </c>
      <c r="B1290">
        <v>1010100</v>
      </c>
      <c r="C1290">
        <v>29990</v>
      </c>
      <c r="E1290" s="80">
        <v>45826</v>
      </c>
      <c r="F1290">
        <v>3010101</v>
      </c>
      <c r="G1290">
        <v>25201</v>
      </c>
    </row>
    <row r="1291" spans="1:7" x14ac:dyDescent="0.3">
      <c r="A1291" s="80">
        <v>45660</v>
      </c>
      <c r="B1291">
        <v>1010100</v>
      </c>
      <c r="C1291">
        <v>29990</v>
      </c>
      <c r="E1291" s="80">
        <v>45826</v>
      </c>
      <c r="F1291">
        <v>3010101</v>
      </c>
      <c r="G1291">
        <v>25201</v>
      </c>
    </row>
    <row r="1292" spans="1:7" x14ac:dyDescent="0.3">
      <c r="A1292" s="80">
        <v>45660</v>
      </c>
      <c r="B1292">
        <v>1010100</v>
      </c>
      <c r="C1292">
        <v>29990</v>
      </c>
      <c r="E1292" s="80">
        <v>45826</v>
      </c>
      <c r="F1292">
        <v>3010101</v>
      </c>
      <c r="G1292">
        <v>25201</v>
      </c>
    </row>
    <row r="1293" spans="1:7" x14ac:dyDescent="0.3">
      <c r="A1293" s="80">
        <v>45660</v>
      </c>
      <c r="B1293">
        <v>1010100</v>
      </c>
      <c r="C1293">
        <v>29990</v>
      </c>
      <c r="E1293" s="80">
        <v>45825</v>
      </c>
      <c r="F1293">
        <v>3010101</v>
      </c>
      <c r="G1293">
        <v>27722</v>
      </c>
    </row>
    <row r="1294" spans="1:7" x14ac:dyDescent="0.3">
      <c r="A1294" s="80">
        <v>45660</v>
      </c>
      <c r="B1294">
        <v>1010100</v>
      </c>
      <c r="C1294">
        <v>29990</v>
      </c>
      <c r="E1294" s="80">
        <v>45825</v>
      </c>
      <c r="F1294">
        <v>3010101</v>
      </c>
      <c r="G1294">
        <v>4197</v>
      </c>
    </row>
    <row r="1295" spans="1:7" x14ac:dyDescent="0.3">
      <c r="A1295" s="80">
        <v>45660</v>
      </c>
      <c r="B1295">
        <v>1010100</v>
      </c>
      <c r="C1295">
        <v>9990</v>
      </c>
      <c r="E1295" s="80">
        <v>45825</v>
      </c>
      <c r="F1295">
        <v>3010101</v>
      </c>
      <c r="G1295">
        <v>25201</v>
      </c>
    </row>
    <row r="1296" spans="1:7" x14ac:dyDescent="0.3">
      <c r="A1296" s="80">
        <v>45660</v>
      </c>
      <c r="B1296">
        <v>1010100</v>
      </c>
      <c r="C1296">
        <v>29990</v>
      </c>
      <c r="E1296" s="80">
        <v>45825</v>
      </c>
      <c r="F1296">
        <v>3010101</v>
      </c>
      <c r="G1296">
        <v>27722</v>
      </c>
    </row>
    <row r="1297" spans="1:7" x14ac:dyDescent="0.3">
      <c r="A1297" s="80">
        <v>45659</v>
      </c>
      <c r="B1297">
        <v>1010100</v>
      </c>
      <c r="C1297">
        <v>29990</v>
      </c>
      <c r="E1297" s="80">
        <v>45824</v>
      </c>
      <c r="F1297">
        <v>3010101</v>
      </c>
      <c r="G1297">
        <v>25201</v>
      </c>
    </row>
    <row r="1298" spans="1:7" x14ac:dyDescent="0.3">
      <c r="A1298" s="80">
        <v>45659</v>
      </c>
      <c r="B1298">
        <v>1010100</v>
      </c>
      <c r="C1298">
        <v>29990</v>
      </c>
      <c r="E1298" s="80">
        <v>45824</v>
      </c>
      <c r="F1298">
        <v>3010101</v>
      </c>
      <c r="G1298">
        <v>27722</v>
      </c>
    </row>
    <row r="1299" spans="1:7" x14ac:dyDescent="0.3">
      <c r="A1299" s="80">
        <v>45659</v>
      </c>
      <c r="B1299">
        <v>1010100</v>
      </c>
      <c r="C1299">
        <v>29990</v>
      </c>
      <c r="E1299" s="80">
        <v>45823</v>
      </c>
      <c r="F1299">
        <v>3010101</v>
      </c>
      <c r="G1299">
        <v>27722</v>
      </c>
    </row>
    <row r="1300" spans="1:7" x14ac:dyDescent="0.3">
      <c r="A1300" s="80">
        <v>45659</v>
      </c>
      <c r="B1300">
        <v>1010100</v>
      </c>
      <c r="C1300">
        <v>29990</v>
      </c>
      <c r="E1300" s="80">
        <v>45823</v>
      </c>
      <c r="F1300">
        <v>3010101</v>
      </c>
      <c r="G1300">
        <v>19405</v>
      </c>
    </row>
    <row r="1301" spans="1:7" x14ac:dyDescent="0.3">
      <c r="A1301" s="80">
        <v>45659</v>
      </c>
      <c r="B1301">
        <v>1010100</v>
      </c>
      <c r="C1301">
        <v>29990</v>
      </c>
      <c r="E1301" s="80">
        <v>45823</v>
      </c>
      <c r="F1301">
        <v>3010101</v>
      </c>
      <c r="G1301">
        <v>19405</v>
      </c>
    </row>
    <row r="1302" spans="1:7" x14ac:dyDescent="0.3">
      <c r="A1302" s="80">
        <v>45659</v>
      </c>
      <c r="B1302">
        <v>1010100</v>
      </c>
      <c r="C1302">
        <v>29990</v>
      </c>
      <c r="E1302" s="80">
        <v>45823</v>
      </c>
      <c r="F1302">
        <v>3010101</v>
      </c>
      <c r="G1302">
        <v>27722</v>
      </c>
    </row>
    <row r="1303" spans="1:7" x14ac:dyDescent="0.3">
      <c r="A1303" s="80">
        <v>45659</v>
      </c>
      <c r="B1303">
        <v>1010100</v>
      </c>
      <c r="C1303">
        <v>29990</v>
      </c>
      <c r="E1303" s="80">
        <v>45822</v>
      </c>
      <c r="F1303">
        <v>3010101</v>
      </c>
      <c r="G1303">
        <v>27722</v>
      </c>
    </row>
    <row r="1304" spans="1:7" x14ac:dyDescent="0.3">
      <c r="A1304" s="80">
        <v>45659</v>
      </c>
      <c r="B1304">
        <v>1010100</v>
      </c>
      <c r="C1304">
        <v>29990</v>
      </c>
      <c r="E1304" s="80">
        <v>45822</v>
      </c>
      <c r="F1304">
        <v>3010101</v>
      </c>
      <c r="G1304">
        <v>27722</v>
      </c>
    </row>
    <row r="1305" spans="1:7" x14ac:dyDescent="0.3">
      <c r="A1305" s="80">
        <v>45659</v>
      </c>
      <c r="B1305">
        <v>1010100</v>
      </c>
      <c r="C1305">
        <v>29990</v>
      </c>
      <c r="E1305" s="80">
        <v>45822</v>
      </c>
      <c r="F1305">
        <v>3010101</v>
      </c>
      <c r="G1305">
        <v>25201</v>
      </c>
    </row>
    <row r="1306" spans="1:7" x14ac:dyDescent="0.3">
      <c r="A1306" s="80">
        <v>45659</v>
      </c>
      <c r="B1306">
        <v>1010100</v>
      </c>
      <c r="C1306">
        <v>59980</v>
      </c>
      <c r="E1306" s="80">
        <v>45820</v>
      </c>
      <c r="F1306">
        <v>3010101</v>
      </c>
      <c r="G1306">
        <v>25201</v>
      </c>
    </row>
    <row r="1307" spans="1:7" x14ac:dyDescent="0.3">
      <c r="A1307" s="80">
        <v>45659</v>
      </c>
      <c r="B1307">
        <v>1010100</v>
      </c>
      <c r="C1307">
        <v>29990</v>
      </c>
      <c r="E1307" s="80">
        <v>45819</v>
      </c>
      <c r="F1307">
        <v>3010101</v>
      </c>
      <c r="G1307">
        <v>27722</v>
      </c>
    </row>
    <row r="1308" spans="1:7" x14ac:dyDescent="0.3">
      <c r="A1308" s="80">
        <v>45659</v>
      </c>
      <c r="B1308">
        <v>1010100</v>
      </c>
      <c r="C1308">
        <v>29990</v>
      </c>
      <c r="E1308" s="80">
        <v>45819</v>
      </c>
      <c r="F1308">
        <v>3010101</v>
      </c>
      <c r="G1308">
        <v>27722</v>
      </c>
    </row>
    <row r="1309" spans="1:7" x14ac:dyDescent="0.3">
      <c r="A1309" s="80">
        <v>45659</v>
      </c>
      <c r="B1309">
        <v>1010100</v>
      </c>
      <c r="C1309">
        <v>29990</v>
      </c>
      <c r="E1309" s="80">
        <v>45819</v>
      </c>
      <c r="F1309">
        <v>3010101</v>
      </c>
      <c r="G1309">
        <v>8394</v>
      </c>
    </row>
    <row r="1310" spans="1:7" x14ac:dyDescent="0.3">
      <c r="A1310" s="80">
        <v>45659</v>
      </c>
      <c r="B1310">
        <v>1010100</v>
      </c>
      <c r="C1310">
        <v>29990</v>
      </c>
      <c r="E1310" s="80">
        <v>45819</v>
      </c>
      <c r="F1310">
        <v>3010101</v>
      </c>
      <c r="G1310">
        <v>25201</v>
      </c>
    </row>
    <row r="1311" spans="1:7" x14ac:dyDescent="0.3">
      <c r="A1311" s="80">
        <v>45659</v>
      </c>
      <c r="B1311">
        <v>1010100</v>
      </c>
      <c r="C1311">
        <v>29990</v>
      </c>
      <c r="E1311" s="80">
        <v>45818</v>
      </c>
      <c r="F1311">
        <v>3010101</v>
      </c>
      <c r="G1311">
        <v>27722</v>
      </c>
    </row>
    <row r="1312" spans="1:7" x14ac:dyDescent="0.3">
      <c r="A1312" s="80">
        <v>45659</v>
      </c>
      <c r="B1312">
        <v>1010100</v>
      </c>
      <c r="C1312">
        <v>29990</v>
      </c>
      <c r="E1312" s="80">
        <v>45818</v>
      </c>
      <c r="F1312">
        <v>3010101</v>
      </c>
      <c r="G1312">
        <v>27722</v>
      </c>
    </row>
    <row r="1313" spans="1:7" x14ac:dyDescent="0.3">
      <c r="A1313" s="80">
        <v>45659</v>
      </c>
      <c r="B1313">
        <v>1010100</v>
      </c>
      <c r="C1313">
        <v>29990</v>
      </c>
      <c r="E1313" s="80">
        <v>45818</v>
      </c>
      <c r="F1313">
        <v>3010101</v>
      </c>
      <c r="G1313">
        <v>27722</v>
      </c>
    </row>
    <row r="1314" spans="1:7" x14ac:dyDescent="0.3">
      <c r="A1314" s="80">
        <v>45659</v>
      </c>
      <c r="B1314">
        <v>1010100</v>
      </c>
      <c r="C1314">
        <v>29990</v>
      </c>
      <c r="E1314" s="80">
        <v>45818</v>
      </c>
      <c r="F1314">
        <v>3010101</v>
      </c>
      <c r="G1314">
        <v>25201</v>
      </c>
    </row>
    <row r="1315" spans="1:7" x14ac:dyDescent="0.3">
      <c r="A1315" s="80">
        <v>45659</v>
      </c>
      <c r="B1315">
        <v>1010100</v>
      </c>
      <c r="C1315">
        <v>29990</v>
      </c>
      <c r="E1315" s="80">
        <v>45817</v>
      </c>
      <c r="F1315">
        <v>3010101</v>
      </c>
      <c r="G1315">
        <v>25201</v>
      </c>
    </row>
    <row r="1316" spans="1:7" x14ac:dyDescent="0.3">
      <c r="A1316" s="80">
        <v>45659</v>
      </c>
      <c r="B1316">
        <v>1010100</v>
      </c>
      <c r="C1316">
        <v>29990</v>
      </c>
      <c r="E1316" s="80">
        <v>45817</v>
      </c>
      <c r="F1316">
        <v>3010101</v>
      </c>
      <c r="G1316">
        <v>25201</v>
      </c>
    </row>
    <row r="1317" spans="1:7" x14ac:dyDescent="0.3">
      <c r="A1317" s="80">
        <v>45659</v>
      </c>
      <c r="B1317">
        <v>1010100</v>
      </c>
      <c r="C1317">
        <v>29990</v>
      </c>
      <c r="E1317" s="80">
        <v>45817</v>
      </c>
      <c r="F1317">
        <v>3010101</v>
      </c>
      <c r="G1317">
        <v>25201</v>
      </c>
    </row>
    <row r="1318" spans="1:7" x14ac:dyDescent="0.3">
      <c r="A1318" s="80">
        <v>45659</v>
      </c>
      <c r="B1318">
        <v>1010100</v>
      </c>
      <c r="C1318">
        <v>29990</v>
      </c>
      <c r="E1318" s="80">
        <v>45817</v>
      </c>
      <c r="F1318">
        <v>3010101</v>
      </c>
      <c r="G1318">
        <v>27722</v>
      </c>
    </row>
    <row r="1319" spans="1:7" x14ac:dyDescent="0.3">
      <c r="A1319" s="80">
        <v>45659</v>
      </c>
      <c r="B1319">
        <v>1010100</v>
      </c>
      <c r="C1319">
        <v>29990</v>
      </c>
      <c r="E1319" s="80">
        <v>45817</v>
      </c>
      <c r="F1319">
        <v>3010101</v>
      </c>
      <c r="G1319">
        <v>27722</v>
      </c>
    </row>
    <row r="1320" spans="1:7" x14ac:dyDescent="0.3">
      <c r="A1320" s="80">
        <v>45658</v>
      </c>
      <c r="B1320">
        <v>1010100</v>
      </c>
      <c r="C1320">
        <v>29990</v>
      </c>
      <c r="E1320" s="80">
        <v>45816</v>
      </c>
      <c r="F1320">
        <v>3010101</v>
      </c>
      <c r="G1320">
        <v>25201</v>
      </c>
    </row>
    <row r="1321" spans="1:7" x14ac:dyDescent="0.3">
      <c r="A1321" s="80">
        <v>45658</v>
      </c>
      <c r="B1321">
        <v>1010100</v>
      </c>
      <c r="C1321">
        <v>29990</v>
      </c>
      <c r="E1321" s="80">
        <v>45816</v>
      </c>
      <c r="F1321">
        <v>3010101</v>
      </c>
      <c r="G1321">
        <v>27722</v>
      </c>
    </row>
    <row r="1322" spans="1:7" x14ac:dyDescent="0.3">
      <c r="A1322" s="80">
        <v>45658</v>
      </c>
      <c r="B1322">
        <v>1010100</v>
      </c>
      <c r="C1322">
        <v>29990</v>
      </c>
      <c r="E1322" s="80">
        <v>45816</v>
      </c>
      <c r="F1322">
        <v>3010101</v>
      </c>
      <c r="G1322">
        <v>8394</v>
      </c>
    </row>
    <row r="1323" spans="1:7" x14ac:dyDescent="0.3">
      <c r="A1323" s="80">
        <v>45658</v>
      </c>
      <c r="B1323">
        <v>1010100</v>
      </c>
      <c r="C1323">
        <v>29990</v>
      </c>
      <c r="E1323" s="80">
        <v>45816</v>
      </c>
      <c r="F1323">
        <v>3010101</v>
      </c>
      <c r="G1323">
        <v>27722</v>
      </c>
    </row>
    <row r="1324" spans="1:7" x14ac:dyDescent="0.3">
      <c r="A1324" s="80">
        <v>45658</v>
      </c>
      <c r="B1324">
        <v>1010100</v>
      </c>
      <c r="C1324">
        <v>29990</v>
      </c>
      <c r="E1324" s="80">
        <v>45815</v>
      </c>
      <c r="F1324">
        <v>3010101</v>
      </c>
      <c r="G1324">
        <v>27722</v>
      </c>
    </row>
    <row r="1325" spans="1:7" x14ac:dyDescent="0.3">
      <c r="A1325" s="80">
        <v>45658</v>
      </c>
      <c r="B1325">
        <v>1010100</v>
      </c>
      <c r="C1325">
        <v>29990</v>
      </c>
      <c r="E1325" s="80">
        <v>45814</v>
      </c>
      <c r="F1325">
        <v>3010101</v>
      </c>
      <c r="G1325">
        <v>19405</v>
      </c>
    </row>
    <row r="1326" spans="1:7" x14ac:dyDescent="0.3">
      <c r="A1326" s="80">
        <v>45658</v>
      </c>
      <c r="B1326">
        <v>1010100</v>
      </c>
      <c r="C1326">
        <v>29990</v>
      </c>
      <c r="E1326" s="80">
        <v>45814</v>
      </c>
      <c r="F1326">
        <v>3010101</v>
      </c>
      <c r="G1326">
        <v>27722</v>
      </c>
    </row>
    <row r="1327" spans="1:7" x14ac:dyDescent="0.3">
      <c r="A1327" s="80">
        <v>45658</v>
      </c>
      <c r="B1327">
        <v>1010100</v>
      </c>
      <c r="C1327">
        <v>29990</v>
      </c>
      <c r="E1327" s="80">
        <v>45814</v>
      </c>
      <c r="F1327">
        <v>3010101</v>
      </c>
      <c r="G1327">
        <v>25201</v>
      </c>
    </row>
    <row r="1328" spans="1:7" x14ac:dyDescent="0.3">
      <c r="A1328" s="80">
        <v>45658</v>
      </c>
      <c r="B1328">
        <v>1010100</v>
      </c>
      <c r="C1328">
        <v>29990</v>
      </c>
      <c r="E1328" s="80">
        <v>45814</v>
      </c>
      <c r="F1328">
        <v>3010101</v>
      </c>
      <c r="G1328">
        <v>38811</v>
      </c>
    </row>
    <row r="1329" spans="1:7" x14ac:dyDescent="0.3">
      <c r="A1329" s="80">
        <v>45658</v>
      </c>
      <c r="B1329">
        <v>1010100</v>
      </c>
      <c r="C1329">
        <v>9990</v>
      </c>
      <c r="E1329" s="80">
        <v>45813</v>
      </c>
      <c r="F1329">
        <v>3010101</v>
      </c>
      <c r="G1329">
        <v>19405</v>
      </c>
    </row>
    <row r="1330" spans="1:7" x14ac:dyDescent="0.3">
      <c r="A1330" s="80">
        <v>45658</v>
      </c>
      <c r="B1330">
        <v>1010100</v>
      </c>
      <c r="C1330">
        <v>29990</v>
      </c>
      <c r="E1330" s="80">
        <v>45813</v>
      </c>
      <c r="F1330">
        <v>3010101</v>
      </c>
      <c r="G1330">
        <v>19405</v>
      </c>
    </row>
    <row r="1331" spans="1:7" x14ac:dyDescent="0.3">
      <c r="A1331" s="80">
        <v>45658</v>
      </c>
      <c r="B1331">
        <v>1010100</v>
      </c>
      <c r="C1331">
        <v>29990</v>
      </c>
      <c r="E1331" s="80">
        <v>45813</v>
      </c>
      <c r="F1331">
        <v>3010101</v>
      </c>
      <c r="G1331">
        <v>19405</v>
      </c>
    </row>
    <row r="1332" spans="1:7" x14ac:dyDescent="0.3">
      <c r="A1332" s="80">
        <v>45658</v>
      </c>
      <c r="B1332">
        <v>1010100</v>
      </c>
      <c r="C1332">
        <v>26991</v>
      </c>
      <c r="E1332" s="80">
        <v>45813</v>
      </c>
      <c r="F1332">
        <v>3010101</v>
      </c>
      <c r="G1332">
        <v>3773</v>
      </c>
    </row>
    <row r="1333" spans="1:7" x14ac:dyDescent="0.3">
      <c r="A1333" s="80">
        <v>45658</v>
      </c>
      <c r="B1333">
        <v>1010100</v>
      </c>
      <c r="C1333">
        <v>29990</v>
      </c>
      <c r="E1333" s="80">
        <v>45813</v>
      </c>
      <c r="F1333">
        <v>3010101</v>
      </c>
      <c r="G1333">
        <v>3773</v>
      </c>
    </row>
    <row r="1334" spans="1:7" x14ac:dyDescent="0.3">
      <c r="A1334" s="80">
        <v>45658</v>
      </c>
      <c r="B1334">
        <v>1010100</v>
      </c>
      <c r="C1334">
        <v>26991</v>
      </c>
      <c r="E1334" s="80">
        <v>45813</v>
      </c>
      <c r="F1334">
        <v>3010101</v>
      </c>
      <c r="G1334">
        <v>19405</v>
      </c>
    </row>
    <row r="1335" spans="1:7" x14ac:dyDescent="0.3">
      <c r="A1335" s="80">
        <v>45838</v>
      </c>
      <c r="B1335">
        <v>1010100</v>
      </c>
      <c r="C1335">
        <v>29990</v>
      </c>
      <c r="E1335" s="80">
        <v>45813</v>
      </c>
      <c r="F1335">
        <v>3010101</v>
      </c>
      <c r="G1335">
        <v>25201</v>
      </c>
    </row>
    <row r="1336" spans="1:7" x14ac:dyDescent="0.3">
      <c r="A1336" s="80">
        <v>45844</v>
      </c>
      <c r="B1336">
        <v>1010100</v>
      </c>
      <c r="C1336">
        <v>29990</v>
      </c>
      <c r="E1336" s="80">
        <v>45813</v>
      </c>
      <c r="F1336">
        <v>3010101</v>
      </c>
      <c r="G1336">
        <v>41168</v>
      </c>
    </row>
    <row r="1337" spans="1:7" x14ac:dyDescent="0.3">
      <c r="A1337" s="80">
        <v>45835</v>
      </c>
      <c r="B1337">
        <v>1010100</v>
      </c>
      <c r="C1337">
        <v>29990</v>
      </c>
      <c r="E1337" s="80">
        <v>45813</v>
      </c>
      <c r="F1337">
        <v>3010101</v>
      </c>
      <c r="G1337">
        <v>19405</v>
      </c>
    </row>
    <row r="1338" spans="1:7" x14ac:dyDescent="0.3">
      <c r="A1338" s="80">
        <v>45844</v>
      </c>
      <c r="B1338">
        <v>1010100</v>
      </c>
      <c r="C1338">
        <v>29990</v>
      </c>
      <c r="E1338" s="80">
        <v>45813</v>
      </c>
      <c r="F1338">
        <v>3010101</v>
      </c>
      <c r="G1338">
        <v>19405</v>
      </c>
    </row>
    <row r="1339" spans="1:7" x14ac:dyDescent="0.3">
      <c r="A1339" s="80">
        <v>45841</v>
      </c>
      <c r="B1339">
        <v>1010100</v>
      </c>
      <c r="C1339">
        <v>10</v>
      </c>
      <c r="E1339" s="80">
        <v>45813</v>
      </c>
      <c r="F1339">
        <v>3010101</v>
      </c>
      <c r="G1339">
        <v>19405</v>
      </c>
    </row>
    <row r="1340" spans="1:7" x14ac:dyDescent="0.3">
      <c r="A1340" s="80">
        <v>45833</v>
      </c>
      <c r="B1340">
        <v>1010100</v>
      </c>
      <c r="C1340">
        <v>29990</v>
      </c>
      <c r="E1340" s="80">
        <v>45813</v>
      </c>
      <c r="F1340">
        <v>3010101</v>
      </c>
      <c r="G1340">
        <v>19405</v>
      </c>
    </row>
    <row r="1341" spans="1:7" x14ac:dyDescent="0.3">
      <c r="A1341" s="80">
        <v>45833</v>
      </c>
      <c r="B1341">
        <v>1010100</v>
      </c>
      <c r="C1341">
        <v>29990</v>
      </c>
      <c r="E1341" s="80">
        <v>45813</v>
      </c>
      <c r="F1341">
        <v>3010101</v>
      </c>
      <c r="G1341">
        <v>19405</v>
      </c>
    </row>
    <row r="1342" spans="1:7" x14ac:dyDescent="0.3">
      <c r="A1342" s="80">
        <v>45833</v>
      </c>
      <c r="B1342">
        <v>1010100</v>
      </c>
      <c r="C1342">
        <v>29990</v>
      </c>
      <c r="E1342" s="80">
        <v>45813</v>
      </c>
      <c r="F1342">
        <v>3010101</v>
      </c>
      <c r="G1342">
        <v>19405</v>
      </c>
    </row>
    <row r="1343" spans="1:7" x14ac:dyDescent="0.3">
      <c r="A1343" s="80">
        <v>45838</v>
      </c>
      <c r="B1343">
        <v>1010100</v>
      </c>
      <c r="C1343">
        <v>29990</v>
      </c>
      <c r="E1343" s="80">
        <v>45812</v>
      </c>
      <c r="F1343">
        <v>3010101</v>
      </c>
      <c r="G1343">
        <v>19405</v>
      </c>
    </row>
    <row r="1344" spans="1:7" x14ac:dyDescent="0.3">
      <c r="A1344" s="80">
        <v>45828</v>
      </c>
      <c r="B1344">
        <v>1010100</v>
      </c>
      <c r="C1344">
        <v>29990</v>
      </c>
      <c r="E1344" s="80">
        <v>45812</v>
      </c>
      <c r="F1344">
        <v>3010101</v>
      </c>
      <c r="G1344">
        <v>19405</v>
      </c>
    </row>
    <row r="1345" spans="1:7" x14ac:dyDescent="0.3">
      <c r="A1345" s="80">
        <v>45828</v>
      </c>
      <c r="B1345">
        <v>1010100</v>
      </c>
      <c r="C1345">
        <v>29990</v>
      </c>
      <c r="E1345" s="80">
        <v>45812</v>
      </c>
      <c r="F1345">
        <v>3010101</v>
      </c>
      <c r="G1345">
        <v>41168</v>
      </c>
    </row>
    <row r="1346" spans="1:7" x14ac:dyDescent="0.3">
      <c r="A1346" s="80">
        <v>45832</v>
      </c>
      <c r="B1346">
        <v>1010100</v>
      </c>
      <c r="C1346">
        <v>29990</v>
      </c>
      <c r="E1346" s="80">
        <v>45812</v>
      </c>
      <c r="F1346">
        <v>3010101</v>
      </c>
      <c r="G1346">
        <v>25201</v>
      </c>
    </row>
    <row r="1347" spans="1:7" x14ac:dyDescent="0.3">
      <c r="A1347" s="80">
        <v>45832</v>
      </c>
      <c r="B1347">
        <v>1010100</v>
      </c>
      <c r="C1347">
        <v>29990</v>
      </c>
      <c r="E1347" s="80">
        <v>45812</v>
      </c>
      <c r="F1347">
        <v>3010101</v>
      </c>
      <c r="G1347">
        <v>25201</v>
      </c>
    </row>
    <row r="1348" spans="1:7" x14ac:dyDescent="0.3">
      <c r="A1348" s="80">
        <v>45834</v>
      </c>
      <c r="B1348">
        <v>1010100</v>
      </c>
      <c r="C1348">
        <v>29990</v>
      </c>
      <c r="E1348" s="80">
        <v>45812</v>
      </c>
      <c r="F1348">
        <v>3010101</v>
      </c>
      <c r="G1348">
        <v>19405</v>
      </c>
    </row>
    <row r="1349" spans="1:7" x14ac:dyDescent="0.3">
      <c r="A1349" s="80">
        <v>45838</v>
      </c>
      <c r="B1349">
        <v>1010100</v>
      </c>
      <c r="C1349">
        <v>29990</v>
      </c>
      <c r="E1349" s="80">
        <v>45812</v>
      </c>
      <c r="F1349">
        <v>3010101</v>
      </c>
      <c r="G1349">
        <v>19405</v>
      </c>
    </row>
    <row r="1350" spans="1:7" x14ac:dyDescent="0.3">
      <c r="A1350" s="80">
        <v>45840</v>
      </c>
      <c r="B1350">
        <v>1010100</v>
      </c>
      <c r="C1350">
        <v>29990</v>
      </c>
      <c r="E1350" s="80">
        <v>45812</v>
      </c>
      <c r="F1350">
        <v>3010101</v>
      </c>
      <c r="G1350">
        <v>19405</v>
      </c>
    </row>
    <row r="1351" spans="1:7" x14ac:dyDescent="0.3">
      <c r="A1351" s="80">
        <v>45840</v>
      </c>
      <c r="B1351">
        <v>1010100</v>
      </c>
      <c r="C1351">
        <v>29990</v>
      </c>
      <c r="E1351" s="80">
        <v>45812</v>
      </c>
      <c r="F1351">
        <v>3010101</v>
      </c>
      <c r="G1351">
        <v>19405</v>
      </c>
    </row>
    <row r="1352" spans="1:7" x14ac:dyDescent="0.3">
      <c r="A1352" s="80">
        <v>45841</v>
      </c>
      <c r="B1352">
        <v>1010100</v>
      </c>
      <c r="C1352">
        <v>29990</v>
      </c>
      <c r="E1352" s="80">
        <v>45812</v>
      </c>
      <c r="F1352">
        <v>3010101</v>
      </c>
      <c r="G1352">
        <v>19405</v>
      </c>
    </row>
    <row r="1353" spans="1:7" x14ac:dyDescent="0.3">
      <c r="A1353" s="80">
        <v>45841</v>
      </c>
      <c r="B1353">
        <v>1010100</v>
      </c>
      <c r="C1353">
        <v>29990</v>
      </c>
      <c r="E1353" s="80">
        <v>45812</v>
      </c>
      <c r="F1353">
        <v>3010101</v>
      </c>
      <c r="G1353">
        <v>19405</v>
      </c>
    </row>
    <row r="1354" spans="1:7" x14ac:dyDescent="0.3">
      <c r="A1354" s="80">
        <v>45830</v>
      </c>
      <c r="B1354">
        <v>1010100</v>
      </c>
      <c r="C1354">
        <v>9990</v>
      </c>
      <c r="E1354" s="80">
        <v>45812</v>
      </c>
      <c r="F1354">
        <v>3010101</v>
      </c>
      <c r="G1354">
        <v>19405</v>
      </c>
    </row>
    <row r="1355" spans="1:7" x14ac:dyDescent="0.3">
      <c r="A1355" s="80">
        <v>45830</v>
      </c>
      <c r="B1355">
        <v>1010100</v>
      </c>
      <c r="C1355">
        <v>9990</v>
      </c>
      <c r="E1355" s="80">
        <v>45812</v>
      </c>
      <c r="F1355">
        <v>3010101</v>
      </c>
      <c r="G1355">
        <v>1886</v>
      </c>
    </row>
    <row r="1356" spans="1:7" x14ac:dyDescent="0.3">
      <c r="A1356" s="80">
        <v>45830</v>
      </c>
      <c r="B1356">
        <v>1010100</v>
      </c>
      <c r="C1356">
        <v>32990</v>
      </c>
      <c r="E1356" s="80">
        <v>45812</v>
      </c>
      <c r="F1356">
        <v>3010101</v>
      </c>
      <c r="G1356">
        <v>19405</v>
      </c>
    </row>
    <row r="1357" spans="1:7" x14ac:dyDescent="0.3">
      <c r="A1357" s="80">
        <v>45830</v>
      </c>
      <c r="B1357">
        <v>1010100</v>
      </c>
      <c r="C1357">
        <v>32990</v>
      </c>
      <c r="E1357" s="80">
        <v>45812</v>
      </c>
      <c r="F1357">
        <v>3010101</v>
      </c>
      <c r="G1357">
        <v>19405</v>
      </c>
    </row>
    <row r="1358" spans="1:7" x14ac:dyDescent="0.3">
      <c r="A1358" s="80">
        <v>45832</v>
      </c>
      <c r="B1358">
        <v>1010100</v>
      </c>
      <c r="C1358">
        <v>32990</v>
      </c>
      <c r="E1358" s="80">
        <v>45812</v>
      </c>
      <c r="F1358">
        <v>3010101</v>
      </c>
      <c r="G1358">
        <v>41168</v>
      </c>
    </row>
    <row r="1359" spans="1:7" x14ac:dyDescent="0.3">
      <c r="A1359" s="80">
        <v>45832</v>
      </c>
      <c r="B1359">
        <v>1010100</v>
      </c>
      <c r="C1359">
        <v>65980</v>
      </c>
      <c r="E1359" s="80">
        <v>45812</v>
      </c>
      <c r="F1359">
        <v>3010101</v>
      </c>
      <c r="G1359">
        <v>3773</v>
      </c>
    </row>
    <row r="1360" spans="1:7" x14ac:dyDescent="0.3">
      <c r="A1360" s="80">
        <v>45834</v>
      </c>
      <c r="B1360">
        <v>1010100</v>
      </c>
      <c r="C1360">
        <v>29990</v>
      </c>
      <c r="E1360" s="80">
        <v>45812</v>
      </c>
      <c r="F1360">
        <v>3010101</v>
      </c>
      <c r="G1360">
        <v>19405</v>
      </c>
    </row>
    <row r="1361" spans="1:7" x14ac:dyDescent="0.3">
      <c r="A1361" s="80">
        <v>45834</v>
      </c>
      <c r="B1361">
        <v>1010100</v>
      </c>
      <c r="C1361">
        <v>29990</v>
      </c>
      <c r="E1361" s="80">
        <v>45812</v>
      </c>
      <c r="F1361">
        <v>3010101</v>
      </c>
      <c r="G1361">
        <v>19405</v>
      </c>
    </row>
    <row r="1362" spans="1:7" x14ac:dyDescent="0.3">
      <c r="A1362" s="80">
        <v>45835</v>
      </c>
      <c r="B1362">
        <v>1010100</v>
      </c>
      <c r="C1362">
        <v>29990</v>
      </c>
      <c r="E1362" s="80">
        <v>45812</v>
      </c>
      <c r="F1362">
        <v>3010101</v>
      </c>
      <c r="G1362">
        <v>19405</v>
      </c>
    </row>
    <row r="1363" spans="1:7" x14ac:dyDescent="0.3">
      <c r="A1363" s="80">
        <v>45835</v>
      </c>
      <c r="B1363">
        <v>1010100</v>
      </c>
      <c r="C1363">
        <v>9990</v>
      </c>
      <c r="E1363" s="80">
        <v>45812</v>
      </c>
      <c r="F1363">
        <v>3010101</v>
      </c>
      <c r="G1363">
        <v>19405</v>
      </c>
    </row>
    <row r="1364" spans="1:7" x14ac:dyDescent="0.3">
      <c r="A1364" s="80">
        <v>45836</v>
      </c>
      <c r="B1364">
        <v>1010100</v>
      </c>
      <c r="C1364">
        <v>29990</v>
      </c>
      <c r="E1364" s="80">
        <v>45812</v>
      </c>
      <c r="F1364">
        <v>3010101</v>
      </c>
      <c r="G1364">
        <v>19405</v>
      </c>
    </row>
    <row r="1365" spans="1:7" x14ac:dyDescent="0.3">
      <c r="A1365" s="80">
        <v>45837</v>
      </c>
      <c r="B1365">
        <v>1010100</v>
      </c>
      <c r="C1365">
        <v>29990</v>
      </c>
      <c r="E1365" s="80">
        <v>45812</v>
      </c>
      <c r="F1365">
        <v>3010101</v>
      </c>
      <c r="G1365">
        <v>19405</v>
      </c>
    </row>
    <row r="1366" spans="1:7" x14ac:dyDescent="0.3">
      <c r="A1366" s="80">
        <v>45837</v>
      </c>
      <c r="B1366">
        <v>1010100</v>
      </c>
      <c r="C1366">
        <v>29990</v>
      </c>
      <c r="E1366" s="80">
        <v>45811</v>
      </c>
      <c r="F1366">
        <v>3010101</v>
      </c>
      <c r="G1366">
        <v>19405</v>
      </c>
    </row>
    <row r="1367" spans="1:7" x14ac:dyDescent="0.3">
      <c r="A1367" s="80">
        <v>45838</v>
      </c>
      <c r="B1367">
        <v>1010100</v>
      </c>
      <c r="C1367">
        <v>29990</v>
      </c>
      <c r="E1367" s="80">
        <v>45811</v>
      </c>
      <c r="F1367">
        <v>3010101</v>
      </c>
      <c r="G1367">
        <v>19405</v>
      </c>
    </row>
    <row r="1368" spans="1:7" x14ac:dyDescent="0.3">
      <c r="A1368" s="80">
        <v>45838</v>
      </c>
      <c r="B1368">
        <v>1010100</v>
      </c>
      <c r="C1368">
        <v>29990</v>
      </c>
      <c r="E1368" s="80">
        <v>45811</v>
      </c>
      <c r="F1368">
        <v>3010101</v>
      </c>
      <c r="G1368">
        <v>19405</v>
      </c>
    </row>
    <row r="1369" spans="1:7" x14ac:dyDescent="0.3">
      <c r="A1369" s="80">
        <v>45839</v>
      </c>
      <c r="B1369">
        <v>1010100</v>
      </c>
      <c r="C1369">
        <v>29990</v>
      </c>
      <c r="E1369" s="80">
        <v>45811</v>
      </c>
      <c r="F1369">
        <v>3010101</v>
      </c>
      <c r="G1369">
        <v>41168</v>
      </c>
    </row>
    <row r="1370" spans="1:7" x14ac:dyDescent="0.3">
      <c r="A1370" s="80">
        <v>45839</v>
      </c>
      <c r="B1370">
        <v>1010100</v>
      </c>
      <c r="C1370">
        <v>29990</v>
      </c>
      <c r="E1370" s="80">
        <v>45811</v>
      </c>
      <c r="F1370">
        <v>3010101</v>
      </c>
      <c r="G1370">
        <v>19405</v>
      </c>
    </row>
    <row r="1371" spans="1:7" x14ac:dyDescent="0.3">
      <c r="A1371" s="80">
        <v>45840</v>
      </c>
      <c r="B1371">
        <v>1010100</v>
      </c>
      <c r="C1371">
        <v>29990</v>
      </c>
      <c r="E1371" s="80">
        <v>45811</v>
      </c>
      <c r="F1371">
        <v>3010101</v>
      </c>
      <c r="G1371">
        <v>19405</v>
      </c>
    </row>
    <row r="1372" spans="1:7" x14ac:dyDescent="0.3">
      <c r="A1372" s="80">
        <v>45840</v>
      </c>
      <c r="B1372">
        <v>1010100</v>
      </c>
      <c r="C1372">
        <v>29990</v>
      </c>
      <c r="E1372" s="80">
        <v>45811</v>
      </c>
      <c r="F1372">
        <v>3010101</v>
      </c>
      <c r="G1372">
        <v>19405</v>
      </c>
    </row>
    <row r="1373" spans="1:7" x14ac:dyDescent="0.3">
      <c r="A1373" s="80">
        <v>45841</v>
      </c>
      <c r="B1373">
        <v>1010100</v>
      </c>
      <c r="C1373">
        <v>29990</v>
      </c>
      <c r="E1373" s="80">
        <v>45811</v>
      </c>
      <c r="F1373">
        <v>3010101</v>
      </c>
      <c r="G1373">
        <v>19405</v>
      </c>
    </row>
    <row r="1374" spans="1:7" x14ac:dyDescent="0.3">
      <c r="A1374" s="80">
        <v>45841</v>
      </c>
      <c r="B1374">
        <v>1010100</v>
      </c>
      <c r="C1374">
        <v>29990</v>
      </c>
      <c r="E1374" s="80">
        <v>45811</v>
      </c>
      <c r="F1374">
        <v>3010101</v>
      </c>
      <c r="G1374">
        <v>19405</v>
      </c>
    </row>
    <row r="1375" spans="1:7" x14ac:dyDescent="0.3">
      <c r="A1375" s="80">
        <v>45842</v>
      </c>
      <c r="B1375">
        <v>1010100</v>
      </c>
      <c r="C1375">
        <v>9990</v>
      </c>
      <c r="E1375" s="80">
        <v>45811</v>
      </c>
      <c r="F1375">
        <v>3010101</v>
      </c>
      <c r="G1375">
        <v>19405</v>
      </c>
    </row>
    <row r="1376" spans="1:7" x14ac:dyDescent="0.3">
      <c r="A1376" s="80">
        <v>45842</v>
      </c>
      <c r="B1376">
        <v>1010100</v>
      </c>
      <c r="C1376">
        <v>29990</v>
      </c>
      <c r="E1376" s="80">
        <v>45811</v>
      </c>
      <c r="F1376">
        <v>3010101</v>
      </c>
      <c r="G1376">
        <v>38811</v>
      </c>
    </row>
    <row r="1377" spans="1:7" x14ac:dyDescent="0.3">
      <c r="A1377" s="80">
        <v>45844</v>
      </c>
      <c r="B1377">
        <v>1010100</v>
      </c>
      <c r="C1377">
        <v>29990</v>
      </c>
      <c r="E1377" s="80">
        <v>45811</v>
      </c>
      <c r="F1377">
        <v>3010101</v>
      </c>
      <c r="G1377">
        <v>19405</v>
      </c>
    </row>
    <row r="1378" spans="1:7" x14ac:dyDescent="0.3">
      <c r="A1378" s="80">
        <v>45844</v>
      </c>
      <c r="B1378">
        <v>1010100</v>
      </c>
      <c r="C1378">
        <v>29990</v>
      </c>
      <c r="E1378" s="80">
        <v>45810</v>
      </c>
      <c r="F1378">
        <v>3010101</v>
      </c>
      <c r="G1378">
        <v>19405</v>
      </c>
    </row>
    <row r="1379" spans="1:7" x14ac:dyDescent="0.3">
      <c r="A1379" s="80">
        <v>45828</v>
      </c>
      <c r="B1379">
        <v>1010100</v>
      </c>
      <c r="C1379">
        <v>0</v>
      </c>
      <c r="E1379" s="80">
        <v>45810</v>
      </c>
      <c r="F1379">
        <v>3010101</v>
      </c>
      <c r="G1379">
        <v>41168</v>
      </c>
    </row>
    <row r="1380" spans="1:7" x14ac:dyDescent="0.3">
      <c r="A1380" s="80">
        <v>45827</v>
      </c>
      <c r="B1380">
        <v>1010100</v>
      </c>
      <c r="C1380">
        <v>0</v>
      </c>
      <c r="E1380" s="80">
        <v>45810</v>
      </c>
      <c r="F1380">
        <v>3010101</v>
      </c>
      <c r="G1380">
        <v>19405</v>
      </c>
    </row>
    <row r="1381" spans="1:7" x14ac:dyDescent="0.3">
      <c r="A1381" s="80">
        <v>45827</v>
      </c>
      <c r="B1381">
        <v>1010100</v>
      </c>
      <c r="C1381">
        <v>3490</v>
      </c>
      <c r="E1381" s="80">
        <v>45810</v>
      </c>
      <c r="F1381">
        <v>3010101</v>
      </c>
      <c r="G1381">
        <v>19405</v>
      </c>
    </row>
    <row r="1382" spans="1:7" x14ac:dyDescent="0.3">
      <c r="A1382" s="80">
        <v>45826</v>
      </c>
      <c r="B1382">
        <v>1010100</v>
      </c>
      <c r="C1382">
        <v>0</v>
      </c>
      <c r="E1382" s="80">
        <v>45810</v>
      </c>
      <c r="F1382">
        <v>3010101</v>
      </c>
      <c r="G1382">
        <v>19405</v>
      </c>
    </row>
    <row r="1383" spans="1:7" x14ac:dyDescent="0.3">
      <c r="A1383" s="80">
        <v>45826</v>
      </c>
      <c r="B1383">
        <v>1010100</v>
      </c>
      <c r="C1383">
        <v>0</v>
      </c>
      <c r="E1383" s="80">
        <v>45810</v>
      </c>
      <c r="F1383">
        <v>3010101</v>
      </c>
      <c r="G1383">
        <v>19405</v>
      </c>
    </row>
    <row r="1384" spans="1:7" x14ac:dyDescent="0.3">
      <c r="A1384" s="80">
        <v>45826</v>
      </c>
      <c r="B1384">
        <v>1010100</v>
      </c>
      <c r="C1384">
        <v>0</v>
      </c>
      <c r="E1384" s="80">
        <v>45810</v>
      </c>
      <c r="F1384">
        <v>3010101</v>
      </c>
      <c r="G1384">
        <v>4197</v>
      </c>
    </row>
    <row r="1385" spans="1:7" x14ac:dyDescent="0.3">
      <c r="A1385" s="80">
        <v>45825</v>
      </c>
      <c r="B1385">
        <v>1010100</v>
      </c>
      <c r="C1385">
        <v>0</v>
      </c>
      <c r="E1385" s="80">
        <v>45810</v>
      </c>
      <c r="F1385">
        <v>3010101</v>
      </c>
      <c r="G1385">
        <v>19405</v>
      </c>
    </row>
    <row r="1386" spans="1:7" x14ac:dyDescent="0.3">
      <c r="A1386" s="80">
        <v>45825</v>
      </c>
      <c r="B1386">
        <v>1010100</v>
      </c>
      <c r="C1386">
        <v>0</v>
      </c>
      <c r="E1386" s="80">
        <v>45810</v>
      </c>
      <c r="F1386">
        <v>3010101</v>
      </c>
      <c r="G1386">
        <v>19405</v>
      </c>
    </row>
    <row r="1387" spans="1:7" x14ac:dyDescent="0.3">
      <c r="A1387" s="80">
        <v>45825</v>
      </c>
      <c r="B1387">
        <v>1010100</v>
      </c>
      <c r="C1387">
        <v>0</v>
      </c>
      <c r="E1387" s="80">
        <v>45810</v>
      </c>
      <c r="F1387">
        <v>3010101</v>
      </c>
      <c r="G1387">
        <v>19405</v>
      </c>
    </row>
    <row r="1388" spans="1:7" x14ac:dyDescent="0.3">
      <c r="A1388" s="80">
        <v>45825</v>
      </c>
      <c r="B1388">
        <v>1010100</v>
      </c>
      <c r="C1388">
        <v>1790</v>
      </c>
      <c r="E1388" s="80">
        <v>45809</v>
      </c>
      <c r="F1388">
        <v>3010101</v>
      </c>
      <c r="G1388">
        <v>19405</v>
      </c>
    </row>
    <row r="1389" spans="1:7" x14ac:dyDescent="0.3">
      <c r="A1389" s="80">
        <v>45824</v>
      </c>
      <c r="B1389">
        <v>1010100</v>
      </c>
      <c r="C1389">
        <v>0</v>
      </c>
      <c r="E1389" s="80">
        <v>45809</v>
      </c>
      <c r="F1389">
        <v>3010101</v>
      </c>
      <c r="G1389">
        <v>19405</v>
      </c>
    </row>
    <row r="1390" spans="1:7" x14ac:dyDescent="0.3">
      <c r="A1390" s="80">
        <v>45824</v>
      </c>
      <c r="B1390">
        <v>1010100</v>
      </c>
      <c r="C1390">
        <v>1790</v>
      </c>
      <c r="E1390" s="80">
        <v>45809</v>
      </c>
      <c r="F1390">
        <v>3010101</v>
      </c>
      <c r="G1390">
        <v>19405</v>
      </c>
    </row>
    <row r="1391" spans="1:7" x14ac:dyDescent="0.3">
      <c r="A1391" s="80">
        <v>45823</v>
      </c>
      <c r="B1391">
        <v>1010100</v>
      </c>
      <c r="C1391">
        <v>1790</v>
      </c>
      <c r="E1391" s="80">
        <v>45809</v>
      </c>
      <c r="F1391">
        <v>3010101</v>
      </c>
      <c r="G1391">
        <v>38811</v>
      </c>
    </row>
    <row r="1392" spans="1:7" x14ac:dyDescent="0.3">
      <c r="A1392" s="80">
        <v>45823</v>
      </c>
      <c r="B1392">
        <v>1010100</v>
      </c>
      <c r="C1392">
        <v>0</v>
      </c>
      <c r="E1392" s="80">
        <v>45809</v>
      </c>
      <c r="F1392">
        <v>3010101</v>
      </c>
      <c r="G1392">
        <v>19405</v>
      </c>
    </row>
    <row r="1393" spans="1:7" x14ac:dyDescent="0.3">
      <c r="A1393" s="80">
        <v>45823</v>
      </c>
      <c r="B1393">
        <v>1010100</v>
      </c>
      <c r="C1393">
        <v>0</v>
      </c>
      <c r="E1393" s="80">
        <v>45809</v>
      </c>
      <c r="F1393">
        <v>3010101</v>
      </c>
      <c r="G1393">
        <v>19405</v>
      </c>
    </row>
    <row r="1394" spans="1:7" x14ac:dyDescent="0.3">
      <c r="A1394" s="80">
        <v>45823</v>
      </c>
      <c r="B1394">
        <v>1010100</v>
      </c>
      <c r="C1394">
        <v>1790</v>
      </c>
      <c r="E1394" s="80">
        <v>45809</v>
      </c>
      <c r="F1394">
        <v>3010101</v>
      </c>
      <c r="G1394">
        <v>19405</v>
      </c>
    </row>
    <row r="1395" spans="1:7" x14ac:dyDescent="0.3">
      <c r="A1395" s="80">
        <v>45822</v>
      </c>
      <c r="B1395">
        <v>1010100</v>
      </c>
      <c r="C1395">
        <v>2790</v>
      </c>
      <c r="E1395" s="80">
        <v>45809</v>
      </c>
      <c r="F1395">
        <v>3010101</v>
      </c>
      <c r="G1395">
        <v>25201</v>
      </c>
    </row>
    <row r="1396" spans="1:7" x14ac:dyDescent="0.3">
      <c r="A1396" s="80">
        <v>45822</v>
      </c>
      <c r="B1396">
        <v>1010100</v>
      </c>
      <c r="C1396">
        <v>1790</v>
      </c>
      <c r="E1396" s="80">
        <v>45809</v>
      </c>
      <c r="F1396">
        <v>3010101</v>
      </c>
      <c r="G1396">
        <v>25201</v>
      </c>
    </row>
    <row r="1397" spans="1:7" x14ac:dyDescent="0.3">
      <c r="A1397" s="80">
        <v>45822</v>
      </c>
      <c r="B1397">
        <v>1010100</v>
      </c>
      <c r="C1397">
        <v>0</v>
      </c>
      <c r="E1397" s="80">
        <v>45809</v>
      </c>
      <c r="F1397">
        <v>3010101</v>
      </c>
      <c r="G1397">
        <v>25201</v>
      </c>
    </row>
    <row r="1398" spans="1:7" x14ac:dyDescent="0.3">
      <c r="A1398" s="80">
        <v>45820</v>
      </c>
      <c r="B1398">
        <v>1010100</v>
      </c>
      <c r="C1398">
        <v>0</v>
      </c>
      <c r="E1398" s="80">
        <v>45809</v>
      </c>
      <c r="F1398">
        <v>3010101</v>
      </c>
      <c r="G1398">
        <v>21000</v>
      </c>
    </row>
    <row r="1399" spans="1:7" x14ac:dyDescent="0.3">
      <c r="A1399" s="80">
        <v>45819</v>
      </c>
      <c r="B1399">
        <v>1010100</v>
      </c>
      <c r="C1399">
        <v>1790</v>
      </c>
      <c r="E1399" s="80">
        <v>45809</v>
      </c>
      <c r="F1399">
        <v>3010101</v>
      </c>
      <c r="G1399">
        <v>21000</v>
      </c>
    </row>
    <row r="1400" spans="1:7" x14ac:dyDescent="0.3">
      <c r="A1400" s="80">
        <v>45819</v>
      </c>
      <c r="B1400">
        <v>1010100</v>
      </c>
      <c r="C1400">
        <v>0</v>
      </c>
      <c r="E1400" s="80">
        <v>45809</v>
      </c>
      <c r="F1400">
        <v>3010101</v>
      </c>
      <c r="G1400">
        <v>21000</v>
      </c>
    </row>
    <row r="1401" spans="1:7" x14ac:dyDescent="0.3">
      <c r="A1401" s="80">
        <v>45819</v>
      </c>
      <c r="B1401">
        <v>1010100</v>
      </c>
      <c r="C1401">
        <v>0</v>
      </c>
      <c r="E1401" s="80">
        <v>45808</v>
      </c>
      <c r="F1401">
        <v>3010101</v>
      </c>
      <c r="G1401">
        <v>21000</v>
      </c>
    </row>
    <row r="1402" spans="1:7" x14ac:dyDescent="0.3">
      <c r="A1402" s="80">
        <v>45819</v>
      </c>
      <c r="B1402">
        <v>1010100</v>
      </c>
      <c r="C1402">
        <v>0</v>
      </c>
      <c r="E1402" s="80">
        <v>45808</v>
      </c>
      <c r="F1402">
        <v>3010101</v>
      </c>
      <c r="G1402">
        <v>25201</v>
      </c>
    </row>
    <row r="1403" spans="1:7" x14ac:dyDescent="0.3">
      <c r="A1403" s="80">
        <v>45818</v>
      </c>
      <c r="B1403">
        <v>1010100</v>
      </c>
      <c r="C1403">
        <v>1790</v>
      </c>
      <c r="E1403" s="80">
        <v>45808</v>
      </c>
      <c r="F1403">
        <v>3010101</v>
      </c>
      <c r="G1403">
        <v>41168</v>
      </c>
    </row>
    <row r="1404" spans="1:7" x14ac:dyDescent="0.3">
      <c r="A1404" s="80">
        <v>45818</v>
      </c>
      <c r="B1404">
        <v>1010100</v>
      </c>
      <c r="C1404">
        <v>1790</v>
      </c>
      <c r="E1404" s="80">
        <v>45808</v>
      </c>
      <c r="F1404">
        <v>3010101</v>
      </c>
      <c r="G1404">
        <v>41168</v>
      </c>
    </row>
    <row r="1405" spans="1:7" x14ac:dyDescent="0.3">
      <c r="A1405" s="80">
        <v>45818</v>
      </c>
      <c r="B1405">
        <v>1010100</v>
      </c>
      <c r="C1405">
        <v>1790</v>
      </c>
      <c r="E1405" s="80">
        <v>45807</v>
      </c>
      <c r="F1405">
        <v>3010101</v>
      </c>
      <c r="G1405">
        <v>21000</v>
      </c>
    </row>
    <row r="1406" spans="1:7" x14ac:dyDescent="0.3">
      <c r="A1406" s="80">
        <v>45818</v>
      </c>
      <c r="B1406">
        <v>1010100</v>
      </c>
      <c r="C1406">
        <v>0</v>
      </c>
      <c r="E1406" s="80">
        <v>45807</v>
      </c>
      <c r="F1406">
        <v>3010101</v>
      </c>
      <c r="G1406">
        <v>21000</v>
      </c>
    </row>
    <row r="1407" spans="1:7" x14ac:dyDescent="0.3">
      <c r="A1407" s="80">
        <v>45817</v>
      </c>
      <c r="B1407">
        <v>1010100</v>
      </c>
      <c r="C1407">
        <v>0</v>
      </c>
      <c r="E1407" s="80">
        <v>45806</v>
      </c>
      <c r="F1407">
        <v>3010101</v>
      </c>
      <c r="G1407">
        <v>25201</v>
      </c>
    </row>
    <row r="1408" spans="1:7" x14ac:dyDescent="0.3">
      <c r="A1408" s="80">
        <v>45817</v>
      </c>
      <c r="B1408">
        <v>1010100</v>
      </c>
      <c r="C1408">
        <v>0</v>
      </c>
      <c r="E1408" s="80">
        <v>45806</v>
      </c>
      <c r="F1408">
        <v>3010101</v>
      </c>
      <c r="G1408">
        <v>21000</v>
      </c>
    </row>
    <row r="1409" spans="1:7" x14ac:dyDescent="0.3">
      <c r="A1409" s="80">
        <v>45817</v>
      </c>
      <c r="B1409">
        <v>1010100</v>
      </c>
      <c r="C1409">
        <v>0</v>
      </c>
      <c r="E1409" s="80">
        <v>45805</v>
      </c>
      <c r="F1409">
        <v>3010101</v>
      </c>
      <c r="G1409">
        <v>21000</v>
      </c>
    </row>
    <row r="1410" spans="1:7" x14ac:dyDescent="0.3">
      <c r="A1410" s="80">
        <v>45817</v>
      </c>
      <c r="B1410">
        <v>1010100</v>
      </c>
      <c r="C1410">
        <v>1790</v>
      </c>
      <c r="E1410" s="80">
        <v>45805</v>
      </c>
      <c r="F1410">
        <v>3010101</v>
      </c>
      <c r="G1410">
        <v>41168</v>
      </c>
    </row>
    <row r="1411" spans="1:7" x14ac:dyDescent="0.3">
      <c r="A1411" s="80">
        <v>45817</v>
      </c>
      <c r="B1411">
        <v>1010100</v>
      </c>
      <c r="C1411">
        <v>1790</v>
      </c>
      <c r="E1411" s="80">
        <v>45805</v>
      </c>
      <c r="F1411">
        <v>3010101</v>
      </c>
      <c r="G1411">
        <v>8394</v>
      </c>
    </row>
    <row r="1412" spans="1:7" x14ac:dyDescent="0.3">
      <c r="A1412" s="80">
        <v>45816</v>
      </c>
      <c r="B1412">
        <v>1010100</v>
      </c>
      <c r="C1412">
        <v>0</v>
      </c>
      <c r="E1412" s="80">
        <v>45805</v>
      </c>
      <c r="F1412">
        <v>3010101</v>
      </c>
      <c r="G1412">
        <v>21000</v>
      </c>
    </row>
    <row r="1413" spans="1:7" x14ac:dyDescent="0.3">
      <c r="A1413" s="80">
        <v>45816</v>
      </c>
      <c r="B1413">
        <v>1010100</v>
      </c>
      <c r="C1413">
        <v>2490</v>
      </c>
      <c r="E1413" s="80">
        <v>45804</v>
      </c>
      <c r="F1413">
        <v>3010101</v>
      </c>
      <c r="G1413">
        <v>25201</v>
      </c>
    </row>
    <row r="1414" spans="1:7" x14ac:dyDescent="0.3">
      <c r="A1414" s="80">
        <v>45816</v>
      </c>
      <c r="B1414">
        <v>1010100</v>
      </c>
      <c r="C1414">
        <v>1790</v>
      </c>
      <c r="E1414" s="80">
        <v>45804</v>
      </c>
      <c r="F1414">
        <v>3010101</v>
      </c>
      <c r="G1414">
        <v>25201</v>
      </c>
    </row>
    <row r="1415" spans="1:7" x14ac:dyDescent="0.3">
      <c r="A1415" s="80">
        <v>45816</v>
      </c>
      <c r="B1415">
        <v>1010100</v>
      </c>
      <c r="C1415">
        <v>1790</v>
      </c>
      <c r="E1415" s="80">
        <v>45804</v>
      </c>
      <c r="F1415">
        <v>3010101</v>
      </c>
      <c r="G1415">
        <v>21000</v>
      </c>
    </row>
    <row r="1416" spans="1:7" x14ac:dyDescent="0.3">
      <c r="A1416" s="80">
        <v>45815</v>
      </c>
      <c r="B1416">
        <v>1010100</v>
      </c>
      <c r="C1416">
        <v>1790</v>
      </c>
      <c r="E1416" s="80">
        <v>45804</v>
      </c>
      <c r="F1416">
        <v>3010101</v>
      </c>
      <c r="G1416">
        <v>8</v>
      </c>
    </row>
    <row r="1417" spans="1:7" x14ac:dyDescent="0.3">
      <c r="A1417" s="80">
        <v>45814</v>
      </c>
      <c r="B1417">
        <v>1010100</v>
      </c>
      <c r="C1417">
        <v>2790</v>
      </c>
      <c r="E1417" s="80">
        <v>45804</v>
      </c>
      <c r="F1417">
        <v>3010101</v>
      </c>
      <c r="G1417">
        <v>8</v>
      </c>
    </row>
    <row r="1418" spans="1:7" x14ac:dyDescent="0.3">
      <c r="A1418" s="80">
        <v>45814</v>
      </c>
      <c r="B1418">
        <v>1010100</v>
      </c>
      <c r="C1418">
        <v>1790</v>
      </c>
      <c r="E1418" s="80">
        <v>45804</v>
      </c>
      <c r="F1418">
        <v>3010101</v>
      </c>
      <c r="G1418">
        <v>8</v>
      </c>
    </row>
    <row r="1419" spans="1:7" x14ac:dyDescent="0.3">
      <c r="A1419" s="80">
        <v>45814</v>
      </c>
      <c r="B1419">
        <v>1010100</v>
      </c>
      <c r="C1419">
        <v>0</v>
      </c>
      <c r="E1419" s="80">
        <v>45804</v>
      </c>
      <c r="F1419">
        <v>3010101</v>
      </c>
      <c r="G1419">
        <v>8</v>
      </c>
    </row>
    <row r="1420" spans="1:7" x14ac:dyDescent="0.3">
      <c r="A1420" s="80">
        <v>45814</v>
      </c>
      <c r="B1420">
        <v>1010100</v>
      </c>
      <c r="C1420">
        <v>6190</v>
      </c>
      <c r="E1420" s="80">
        <v>45804</v>
      </c>
      <c r="F1420">
        <v>3010101</v>
      </c>
      <c r="G1420">
        <v>8</v>
      </c>
    </row>
    <row r="1421" spans="1:7" x14ac:dyDescent="0.3">
      <c r="A1421" s="80">
        <v>45813</v>
      </c>
      <c r="B1421">
        <v>1010100</v>
      </c>
      <c r="C1421">
        <v>2390</v>
      </c>
      <c r="E1421" s="80">
        <v>45804</v>
      </c>
      <c r="F1421">
        <v>3010101</v>
      </c>
      <c r="G1421">
        <v>8</v>
      </c>
    </row>
    <row r="1422" spans="1:7" x14ac:dyDescent="0.3">
      <c r="A1422" s="80">
        <v>45813</v>
      </c>
      <c r="B1422">
        <v>1010100</v>
      </c>
      <c r="C1422">
        <v>1790</v>
      </c>
      <c r="E1422" s="80">
        <v>45804</v>
      </c>
      <c r="F1422">
        <v>3010101</v>
      </c>
      <c r="G1422">
        <v>21000</v>
      </c>
    </row>
    <row r="1423" spans="1:7" x14ac:dyDescent="0.3">
      <c r="A1423" s="80">
        <v>45813</v>
      </c>
      <c r="B1423">
        <v>1010100</v>
      </c>
      <c r="C1423">
        <v>0</v>
      </c>
      <c r="E1423" s="80">
        <v>45803</v>
      </c>
      <c r="F1423">
        <v>3010101</v>
      </c>
      <c r="G1423">
        <v>8</v>
      </c>
    </row>
    <row r="1424" spans="1:7" x14ac:dyDescent="0.3">
      <c r="A1424" s="80">
        <v>45813</v>
      </c>
      <c r="B1424">
        <v>1010100</v>
      </c>
      <c r="C1424">
        <v>2490</v>
      </c>
      <c r="E1424" s="80">
        <v>45803</v>
      </c>
      <c r="F1424">
        <v>3010101</v>
      </c>
      <c r="G1424">
        <v>42</v>
      </c>
    </row>
    <row r="1425" spans="1:7" x14ac:dyDescent="0.3">
      <c r="A1425" s="80">
        <v>45813</v>
      </c>
      <c r="B1425">
        <v>1010100</v>
      </c>
      <c r="C1425">
        <v>0</v>
      </c>
      <c r="E1425" s="80">
        <v>45803</v>
      </c>
      <c r="F1425">
        <v>3010101</v>
      </c>
      <c r="G1425">
        <v>25</v>
      </c>
    </row>
    <row r="1426" spans="1:7" x14ac:dyDescent="0.3">
      <c r="A1426" s="80">
        <v>45813</v>
      </c>
      <c r="B1426">
        <v>1010100</v>
      </c>
      <c r="C1426">
        <v>1790</v>
      </c>
      <c r="E1426" s="80">
        <v>45803</v>
      </c>
      <c r="F1426">
        <v>3010101</v>
      </c>
      <c r="G1426">
        <v>21000</v>
      </c>
    </row>
    <row r="1427" spans="1:7" x14ac:dyDescent="0.3">
      <c r="A1427" s="80">
        <v>45813</v>
      </c>
      <c r="B1427">
        <v>1010100</v>
      </c>
      <c r="C1427">
        <v>0</v>
      </c>
      <c r="E1427" s="80">
        <v>45803</v>
      </c>
      <c r="F1427">
        <v>3010101</v>
      </c>
      <c r="G1427">
        <v>21000</v>
      </c>
    </row>
    <row r="1428" spans="1:7" x14ac:dyDescent="0.3">
      <c r="A1428" s="80">
        <v>45813</v>
      </c>
      <c r="B1428">
        <v>1010100</v>
      </c>
      <c r="C1428">
        <v>6890</v>
      </c>
      <c r="E1428" s="80">
        <v>45803</v>
      </c>
      <c r="F1428">
        <v>3010101</v>
      </c>
      <c r="G1428">
        <v>25201</v>
      </c>
    </row>
    <row r="1429" spans="1:7" x14ac:dyDescent="0.3">
      <c r="A1429" s="80">
        <v>45813</v>
      </c>
      <c r="B1429">
        <v>1010100</v>
      </c>
      <c r="C1429">
        <v>2490</v>
      </c>
      <c r="E1429" s="80">
        <v>45803</v>
      </c>
      <c r="F1429">
        <v>3010101</v>
      </c>
      <c r="G1429">
        <v>21000</v>
      </c>
    </row>
    <row r="1430" spans="1:7" x14ac:dyDescent="0.3">
      <c r="A1430" s="80">
        <v>45813</v>
      </c>
      <c r="B1430">
        <v>1010100</v>
      </c>
      <c r="C1430">
        <v>1790</v>
      </c>
      <c r="E1430" s="80">
        <v>45802</v>
      </c>
      <c r="F1430">
        <v>3010101</v>
      </c>
      <c r="G1430">
        <v>25201</v>
      </c>
    </row>
    <row r="1431" spans="1:7" x14ac:dyDescent="0.3">
      <c r="A1431" s="80">
        <v>45813</v>
      </c>
      <c r="B1431">
        <v>1010100</v>
      </c>
      <c r="C1431">
        <v>2390</v>
      </c>
      <c r="E1431" s="80">
        <v>45802</v>
      </c>
      <c r="F1431">
        <v>3010101</v>
      </c>
      <c r="G1431">
        <v>21000</v>
      </c>
    </row>
    <row r="1432" spans="1:7" x14ac:dyDescent="0.3">
      <c r="A1432" s="80">
        <v>45813</v>
      </c>
      <c r="B1432">
        <v>1010100</v>
      </c>
      <c r="C1432">
        <v>0</v>
      </c>
      <c r="E1432" s="80">
        <v>45801</v>
      </c>
      <c r="F1432">
        <v>3010101</v>
      </c>
      <c r="G1432">
        <v>21000</v>
      </c>
    </row>
    <row r="1433" spans="1:7" x14ac:dyDescent="0.3">
      <c r="A1433" s="80">
        <v>45813</v>
      </c>
      <c r="B1433">
        <v>1010100</v>
      </c>
      <c r="C1433">
        <v>2190</v>
      </c>
      <c r="E1433" s="80">
        <v>45801</v>
      </c>
      <c r="F1433">
        <v>3010101</v>
      </c>
      <c r="G1433">
        <v>21000</v>
      </c>
    </row>
    <row r="1434" spans="1:7" x14ac:dyDescent="0.3">
      <c r="A1434" s="80">
        <v>45813</v>
      </c>
      <c r="B1434">
        <v>1010100</v>
      </c>
      <c r="C1434">
        <v>4390</v>
      </c>
      <c r="E1434" s="80">
        <v>45801</v>
      </c>
      <c r="F1434">
        <v>3010101</v>
      </c>
      <c r="G1434">
        <v>25201</v>
      </c>
    </row>
    <row r="1435" spans="1:7" x14ac:dyDescent="0.3">
      <c r="A1435" s="80">
        <v>45812</v>
      </c>
      <c r="B1435">
        <v>1010100</v>
      </c>
      <c r="C1435">
        <v>1790</v>
      </c>
      <c r="E1435" s="80">
        <v>45801</v>
      </c>
      <c r="F1435">
        <v>3010101</v>
      </c>
      <c r="G1435">
        <v>25201</v>
      </c>
    </row>
    <row r="1436" spans="1:7" x14ac:dyDescent="0.3">
      <c r="A1436" s="80">
        <v>45812</v>
      </c>
      <c r="B1436">
        <v>1010100</v>
      </c>
      <c r="C1436">
        <v>1790</v>
      </c>
      <c r="E1436" s="80">
        <v>45801</v>
      </c>
      <c r="F1436">
        <v>3010101</v>
      </c>
      <c r="G1436">
        <v>41168</v>
      </c>
    </row>
    <row r="1437" spans="1:7" x14ac:dyDescent="0.3">
      <c r="A1437" s="80">
        <v>45812</v>
      </c>
      <c r="B1437">
        <v>1010100</v>
      </c>
      <c r="C1437">
        <v>1790</v>
      </c>
      <c r="E1437" s="80">
        <v>45801</v>
      </c>
      <c r="F1437">
        <v>3010101</v>
      </c>
      <c r="G1437">
        <v>25201</v>
      </c>
    </row>
    <row r="1438" spans="1:7" x14ac:dyDescent="0.3">
      <c r="A1438" s="80">
        <v>45812</v>
      </c>
      <c r="B1438">
        <v>1010100</v>
      </c>
      <c r="C1438">
        <v>0</v>
      </c>
      <c r="E1438" s="80">
        <v>45801</v>
      </c>
      <c r="F1438">
        <v>3010101</v>
      </c>
      <c r="G1438">
        <v>21000</v>
      </c>
    </row>
    <row r="1439" spans="1:7" x14ac:dyDescent="0.3">
      <c r="A1439" s="80">
        <v>45812</v>
      </c>
      <c r="B1439">
        <v>1010100</v>
      </c>
      <c r="C1439">
        <v>0</v>
      </c>
      <c r="E1439" s="80">
        <v>45801</v>
      </c>
      <c r="F1439">
        <v>3010101</v>
      </c>
      <c r="G1439">
        <v>42000</v>
      </c>
    </row>
    <row r="1440" spans="1:7" x14ac:dyDescent="0.3">
      <c r="A1440" s="80">
        <v>45812</v>
      </c>
      <c r="B1440">
        <v>1010100</v>
      </c>
      <c r="C1440">
        <v>2390</v>
      </c>
      <c r="E1440" s="80">
        <v>45801</v>
      </c>
      <c r="F1440">
        <v>3010101</v>
      </c>
      <c r="G1440">
        <v>21000</v>
      </c>
    </row>
    <row r="1441" spans="1:7" x14ac:dyDescent="0.3">
      <c r="A1441" s="80">
        <v>45812</v>
      </c>
      <c r="B1441">
        <v>1010100</v>
      </c>
      <c r="C1441">
        <v>1790</v>
      </c>
      <c r="E1441" s="80">
        <v>45801</v>
      </c>
      <c r="F1441">
        <v>3010101</v>
      </c>
      <c r="G1441">
        <v>8394</v>
      </c>
    </row>
    <row r="1442" spans="1:7" x14ac:dyDescent="0.3">
      <c r="A1442" s="80">
        <v>45812</v>
      </c>
      <c r="B1442">
        <v>1010100</v>
      </c>
      <c r="C1442">
        <v>1790</v>
      </c>
      <c r="E1442" s="80">
        <v>45800</v>
      </c>
      <c r="F1442">
        <v>3010101</v>
      </c>
      <c r="G1442">
        <v>8394</v>
      </c>
    </row>
    <row r="1443" spans="1:7" x14ac:dyDescent="0.3">
      <c r="A1443" s="80">
        <v>45812</v>
      </c>
      <c r="B1443">
        <v>1010100</v>
      </c>
      <c r="C1443">
        <v>0</v>
      </c>
      <c r="E1443" s="80">
        <v>45800</v>
      </c>
      <c r="F1443">
        <v>3010101</v>
      </c>
      <c r="G1443">
        <v>21000</v>
      </c>
    </row>
    <row r="1444" spans="1:7" x14ac:dyDescent="0.3">
      <c r="A1444" s="80">
        <v>45812</v>
      </c>
      <c r="B1444">
        <v>1010100</v>
      </c>
      <c r="C1444">
        <v>0</v>
      </c>
      <c r="E1444" s="80">
        <v>45800</v>
      </c>
      <c r="F1444">
        <v>3010101</v>
      </c>
      <c r="G1444">
        <v>25201</v>
      </c>
    </row>
    <row r="1445" spans="1:7" x14ac:dyDescent="0.3">
      <c r="A1445" s="80">
        <v>45812</v>
      </c>
      <c r="B1445">
        <v>1010100</v>
      </c>
      <c r="C1445">
        <v>1790</v>
      </c>
      <c r="E1445" s="80">
        <v>45800</v>
      </c>
      <c r="F1445">
        <v>3010101</v>
      </c>
      <c r="G1445">
        <v>21000</v>
      </c>
    </row>
    <row r="1446" spans="1:7" x14ac:dyDescent="0.3">
      <c r="A1446" s="80">
        <v>45812</v>
      </c>
      <c r="B1446">
        <v>1010100</v>
      </c>
      <c r="C1446">
        <v>1790</v>
      </c>
      <c r="E1446" s="80">
        <v>45800</v>
      </c>
      <c r="F1446">
        <v>3010101</v>
      </c>
      <c r="G1446">
        <v>25201</v>
      </c>
    </row>
    <row r="1447" spans="1:7" x14ac:dyDescent="0.3">
      <c r="A1447" s="80">
        <v>45812</v>
      </c>
      <c r="B1447">
        <v>1010100</v>
      </c>
      <c r="C1447">
        <v>0</v>
      </c>
      <c r="E1447" s="80">
        <v>45800</v>
      </c>
      <c r="F1447">
        <v>3010101</v>
      </c>
      <c r="G1447">
        <v>21000</v>
      </c>
    </row>
    <row r="1448" spans="1:7" x14ac:dyDescent="0.3">
      <c r="A1448" s="80">
        <v>45812</v>
      </c>
      <c r="B1448">
        <v>1010100</v>
      </c>
      <c r="C1448">
        <v>1790</v>
      </c>
      <c r="E1448" s="80">
        <v>45800</v>
      </c>
      <c r="F1448">
        <v>3010101</v>
      </c>
      <c r="G1448">
        <v>41168</v>
      </c>
    </row>
    <row r="1449" spans="1:7" x14ac:dyDescent="0.3">
      <c r="A1449" s="80">
        <v>45812</v>
      </c>
      <c r="B1449">
        <v>1010100</v>
      </c>
      <c r="C1449">
        <v>0</v>
      </c>
      <c r="E1449" s="80">
        <v>45799</v>
      </c>
      <c r="F1449">
        <v>3010101</v>
      </c>
      <c r="G1449">
        <v>21000</v>
      </c>
    </row>
    <row r="1450" spans="1:7" x14ac:dyDescent="0.3">
      <c r="A1450" s="80">
        <v>45812</v>
      </c>
      <c r="B1450">
        <v>1010100</v>
      </c>
      <c r="C1450">
        <v>1790</v>
      </c>
      <c r="E1450" s="80">
        <v>45799</v>
      </c>
      <c r="F1450">
        <v>3010101</v>
      </c>
      <c r="G1450">
        <v>21000</v>
      </c>
    </row>
    <row r="1451" spans="1:7" x14ac:dyDescent="0.3">
      <c r="A1451" s="80">
        <v>45812</v>
      </c>
      <c r="B1451">
        <v>1010100</v>
      </c>
      <c r="C1451">
        <v>0</v>
      </c>
      <c r="E1451" s="80">
        <v>45799</v>
      </c>
      <c r="F1451">
        <v>3010101</v>
      </c>
      <c r="G1451">
        <v>21000</v>
      </c>
    </row>
    <row r="1452" spans="1:7" x14ac:dyDescent="0.3">
      <c r="A1452" s="80">
        <v>45812</v>
      </c>
      <c r="B1452">
        <v>1010100</v>
      </c>
      <c r="C1452">
        <v>4990</v>
      </c>
      <c r="E1452" s="80">
        <v>45799</v>
      </c>
      <c r="F1452">
        <v>3010101</v>
      </c>
      <c r="G1452">
        <v>21000</v>
      </c>
    </row>
    <row r="1453" spans="1:7" x14ac:dyDescent="0.3">
      <c r="A1453" s="80">
        <v>45812</v>
      </c>
      <c r="B1453">
        <v>1010100</v>
      </c>
      <c r="C1453">
        <v>2790</v>
      </c>
      <c r="E1453" s="80">
        <v>45798</v>
      </c>
      <c r="F1453">
        <v>3010101</v>
      </c>
      <c r="G1453">
        <v>4197</v>
      </c>
    </row>
    <row r="1454" spans="1:7" x14ac:dyDescent="0.3">
      <c r="A1454" s="80">
        <v>45812</v>
      </c>
      <c r="B1454">
        <v>1010100</v>
      </c>
      <c r="C1454">
        <v>1790</v>
      </c>
      <c r="E1454" s="80">
        <v>45798</v>
      </c>
      <c r="F1454">
        <v>3010101</v>
      </c>
      <c r="G1454">
        <v>42000</v>
      </c>
    </row>
    <row r="1455" spans="1:7" x14ac:dyDescent="0.3">
      <c r="A1455" s="80">
        <v>45812</v>
      </c>
      <c r="B1455">
        <v>1010100</v>
      </c>
      <c r="C1455">
        <v>3490</v>
      </c>
      <c r="E1455" s="80">
        <v>45798</v>
      </c>
      <c r="F1455">
        <v>3010101</v>
      </c>
      <c r="G1455">
        <v>21000</v>
      </c>
    </row>
    <row r="1456" spans="1:7" x14ac:dyDescent="0.3">
      <c r="A1456" s="80">
        <v>45812</v>
      </c>
      <c r="B1456">
        <v>1010100</v>
      </c>
      <c r="C1456">
        <v>2390</v>
      </c>
      <c r="E1456" s="80">
        <v>45798</v>
      </c>
      <c r="F1456">
        <v>3010101</v>
      </c>
      <c r="G1456">
        <v>41168</v>
      </c>
    </row>
    <row r="1457" spans="1:7" x14ac:dyDescent="0.3">
      <c r="A1457" s="80">
        <v>45812</v>
      </c>
      <c r="B1457">
        <v>1010100</v>
      </c>
      <c r="C1457">
        <v>1790</v>
      </c>
      <c r="E1457" s="80">
        <v>45798</v>
      </c>
      <c r="F1457">
        <v>3010101</v>
      </c>
      <c r="G1457">
        <v>41168</v>
      </c>
    </row>
    <row r="1458" spans="1:7" x14ac:dyDescent="0.3">
      <c r="A1458" s="80">
        <v>45811</v>
      </c>
      <c r="B1458">
        <v>1010100</v>
      </c>
      <c r="C1458">
        <v>1790</v>
      </c>
      <c r="E1458" s="80">
        <v>45798</v>
      </c>
      <c r="F1458">
        <v>3010101</v>
      </c>
      <c r="G1458">
        <v>21000</v>
      </c>
    </row>
    <row r="1459" spans="1:7" x14ac:dyDescent="0.3">
      <c r="A1459" s="80">
        <v>45811</v>
      </c>
      <c r="B1459">
        <v>1010100</v>
      </c>
      <c r="C1459">
        <v>1790</v>
      </c>
      <c r="E1459" s="80">
        <v>45798</v>
      </c>
      <c r="F1459">
        <v>3010101</v>
      </c>
      <c r="G1459">
        <v>21000</v>
      </c>
    </row>
    <row r="1460" spans="1:7" x14ac:dyDescent="0.3">
      <c r="A1460" s="80">
        <v>45811</v>
      </c>
      <c r="B1460">
        <v>1010100</v>
      </c>
      <c r="C1460">
        <v>1790</v>
      </c>
      <c r="E1460" s="80">
        <v>45797</v>
      </c>
      <c r="F1460">
        <v>3010101</v>
      </c>
      <c r="G1460">
        <v>21000</v>
      </c>
    </row>
    <row r="1461" spans="1:7" x14ac:dyDescent="0.3">
      <c r="A1461" s="80">
        <v>45811</v>
      </c>
      <c r="B1461">
        <v>1010100</v>
      </c>
      <c r="C1461">
        <v>1790</v>
      </c>
      <c r="E1461" s="80">
        <v>45797</v>
      </c>
      <c r="F1461">
        <v>3010101</v>
      </c>
      <c r="G1461">
        <v>25201</v>
      </c>
    </row>
    <row r="1462" spans="1:7" x14ac:dyDescent="0.3">
      <c r="A1462" s="80">
        <v>45811</v>
      </c>
      <c r="B1462">
        <v>1010100</v>
      </c>
      <c r="C1462">
        <v>3490</v>
      </c>
      <c r="E1462" s="80">
        <v>45797</v>
      </c>
      <c r="F1462">
        <v>3010101</v>
      </c>
      <c r="G1462">
        <v>21000</v>
      </c>
    </row>
    <row r="1463" spans="1:7" x14ac:dyDescent="0.3">
      <c r="A1463" s="80">
        <v>45811</v>
      </c>
      <c r="B1463">
        <v>1010100</v>
      </c>
      <c r="C1463">
        <v>1790</v>
      </c>
      <c r="E1463" s="80">
        <v>45797</v>
      </c>
      <c r="F1463">
        <v>3010101</v>
      </c>
      <c r="G1463">
        <v>21000</v>
      </c>
    </row>
    <row r="1464" spans="1:7" x14ac:dyDescent="0.3">
      <c r="A1464" s="80">
        <v>45811</v>
      </c>
      <c r="B1464">
        <v>1010100</v>
      </c>
      <c r="C1464">
        <v>1790</v>
      </c>
      <c r="E1464" s="80">
        <v>45797</v>
      </c>
      <c r="F1464">
        <v>3010101</v>
      </c>
      <c r="G1464">
        <v>21000</v>
      </c>
    </row>
    <row r="1465" spans="1:7" x14ac:dyDescent="0.3">
      <c r="A1465" s="80">
        <v>45811</v>
      </c>
      <c r="B1465">
        <v>1010100</v>
      </c>
      <c r="C1465">
        <v>1790</v>
      </c>
      <c r="E1465" s="80">
        <v>45797</v>
      </c>
      <c r="F1465">
        <v>3010101</v>
      </c>
      <c r="G1465">
        <v>21000</v>
      </c>
    </row>
    <row r="1466" spans="1:7" x14ac:dyDescent="0.3">
      <c r="A1466" s="80">
        <v>45811</v>
      </c>
      <c r="B1466">
        <v>1010100</v>
      </c>
      <c r="C1466">
        <v>2490</v>
      </c>
      <c r="E1466" s="80">
        <v>45796</v>
      </c>
      <c r="F1466">
        <v>3010101</v>
      </c>
      <c r="G1466">
        <v>25201</v>
      </c>
    </row>
    <row r="1467" spans="1:7" x14ac:dyDescent="0.3">
      <c r="A1467" s="80">
        <v>45811</v>
      </c>
      <c r="B1467">
        <v>1010100</v>
      </c>
      <c r="C1467">
        <v>1790</v>
      </c>
      <c r="E1467" s="80">
        <v>45796</v>
      </c>
      <c r="F1467">
        <v>3010101</v>
      </c>
      <c r="G1467">
        <v>25201</v>
      </c>
    </row>
    <row r="1468" spans="1:7" x14ac:dyDescent="0.3">
      <c r="A1468" s="80">
        <v>45811</v>
      </c>
      <c r="B1468">
        <v>1010100</v>
      </c>
      <c r="C1468">
        <v>1790</v>
      </c>
      <c r="E1468" s="80">
        <v>45796</v>
      </c>
      <c r="F1468">
        <v>3010101</v>
      </c>
      <c r="G1468">
        <v>21000</v>
      </c>
    </row>
    <row r="1469" spans="1:7" x14ac:dyDescent="0.3">
      <c r="A1469" s="80">
        <v>45811</v>
      </c>
      <c r="B1469">
        <v>1010100</v>
      </c>
      <c r="C1469">
        <v>4490</v>
      </c>
      <c r="E1469" s="80">
        <v>45795</v>
      </c>
      <c r="F1469">
        <v>3010101</v>
      </c>
      <c r="G1469">
        <v>21000</v>
      </c>
    </row>
    <row r="1470" spans="1:7" x14ac:dyDescent="0.3">
      <c r="A1470" s="80">
        <v>45810</v>
      </c>
      <c r="B1470">
        <v>1010100</v>
      </c>
      <c r="C1470">
        <v>1790</v>
      </c>
      <c r="E1470" s="80">
        <v>45795</v>
      </c>
      <c r="F1470">
        <v>3010101</v>
      </c>
      <c r="G1470">
        <v>21000</v>
      </c>
    </row>
    <row r="1471" spans="1:7" x14ac:dyDescent="0.3">
      <c r="A1471" s="80">
        <v>45810</v>
      </c>
      <c r="B1471">
        <v>1010100</v>
      </c>
      <c r="C1471">
        <v>1790</v>
      </c>
      <c r="E1471" s="80">
        <v>45795</v>
      </c>
      <c r="F1471">
        <v>3010101</v>
      </c>
      <c r="G1471">
        <v>41168</v>
      </c>
    </row>
    <row r="1472" spans="1:7" x14ac:dyDescent="0.3">
      <c r="A1472" s="80">
        <v>45810</v>
      </c>
      <c r="B1472">
        <v>1010100</v>
      </c>
      <c r="C1472">
        <v>3490</v>
      </c>
      <c r="E1472" s="80">
        <v>45795</v>
      </c>
      <c r="F1472">
        <v>3010101</v>
      </c>
      <c r="G1472">
        <v>21000</v>
      </c>
    </row>
    <row r="1473" spans="1:7" x14ac:dyDescent="0.3">
      <c r="A1473" s="80">
        <v>45810</v>
      </c>
      <c r="B1473">
        <v>1010100</v>
      </c>
      <c r="C1473">
        <v>1790</v>
      </c>
      <c r="E1473" s="80">
        <v>45794</v>
      </c>
      <c r="F1473">
        <v>3010101</v>
      </c>
      <c r="G1473">
        <v>21000</v>
      </c>
    </row>
    <row r="1474" spans="1:7" x14ac:dyDescent="0.3">
      <c r="A1474" s="80">
        <v>45810</v>
      </c>
      <c r="B1474">
        <v>1010100</v>
      </c>
      <c r="C1474">
        <v>1790</v>
      </c>
      <c r="E1474" s="80">
        <v>45794</v>
      </c>
      <c r="F1474">
        <v>3010101</v>
      </c>
      <c r="G1474">
        <v>21000</v>
      </c>
    </row>
    <row r="1475" spans="1:7" x14ac:dyDescent="0.3">
      <c r="A1475" s="80">
        <v>45810</v>
      </c>
      <c r="B1475">
        <v>1010100</v>
      </c>
      <c r="C1475">
        <v>0</v>
      </c>
      <c r="E1475" s="80">
        <v>45794</v>
      </c>
      <c r="F1475">
        <v>3010101</v>
      </c>
      <c r="G1475">
        <v>21000</v>
      </c>
    </row>
    <row r="1476" spans="1:7" x14ac:dyDescent="0.3">
      <c r="A1476" s="80">
        <v>45810</v>
      </c>
      <c r="B1476">
        <v>1010100</v>
      </c>
      <c r="C1476">
        <v>0</v>
      </c>
      <c r="E1476" s="80">
        <v>45793</v>
      </c>
      <c r="F1476">
        <v>3010101</v>
      </c>
      <c r="G1476">
        <v>21000</v>
      </c>
    </row>
    <row r="1477" spans="1:7" x14ac:dyDescent="0.3">
      <c r="A1477" s="80">
        <v>45810</v>
      </c>
      <c r="B1477">
        <v>1010100</v>
      </c>
      <c r="C1477">
        <v>6890</v>
      </c>
      <c r="E1477" s="80">
        <v>45792</v>
      </c>
      <c r="F1477">
        <v>3010101</v>
      </c>
      <c r="G1477">
        <v>25201</v>
      </c>
    </row>
    <row r="1478" spans="1:7" x14ac:dyDescent="0.3">
      <c r="A1478" s="80">
        <v>45810</v>
      </c>
      <c r="B1478">
        <v>1010100</v>
      </c>
      <c r="C1478">
        <v>1790</v>
      </c>
      <c r="E1478" s="80">
        <v>45792</v>
      </c>
      <c r="F1478">
        <v>3010101</v>
      </c>
      <c r="G1478">
        <v>21000</v>
      </c>
    </row>
    <row r="1479" spans="1:7" x14ac:dyDescent="0.3">
      <c r="A1479" s="80">
        <v>45810</v>
      </c>
      <c r="B1479">
        <v>1010100</v>
      </c>
      <c r="C1479">
        <v>1790</v>
      </c>
      <c r="E1479" s="80">
        <v>45792</v>
      </c>
      <c r="F1479">
        <v>3010101</v>
      </c>
      <c r="G1479">
        <v>8394</v>
      </c>
    </row>
    <row r="1480" spans="1:7" x14ac:dyDescent="0.3">
      <c r="A1480" s="80">
        <v>45809</v>
      </c>
      <c r="B1480">
        <v>1010100</v>
      </c>
      <c r="C1480">
        <v>1790</v>
      </c>
      <c r="E1480" s="80">
        <v>45792</v>
      </c>
      <c r="F1480">
        <v>3010101</v>
      </c>
      <c r="G1480">
        <v>21000</v>
      </c>
    </row>
    <row r="1481" spans="1:7" x14ac:dyDescent="0.3">
      <c r="A1481" s="80">
        <v>45809</v>
      </c>
      <c r="B1481">
        <v>1010100</v>
      </c>
      <c r="C1481">
        <v>1790</v>
      </c>
      <c r="E1481" s="80">
        <v>45791</v>
      </c>
      <c r="F1481">
        <v>3010101</v>
      </c>
      <c r="G1481">
        <v>21000</v>
      </c>
    </row>
    <row r="1482" spans="1:7" x14ac:dyDescent="0.3">
      <c r="A1482" s="80">
        <v>45809</v>
      </c>
      <c r="B1482">
        <v>1010100</v>
      </c>
      <c r="C1482">
        <v>1790</v>
      </c>
      <c r="E1482" s="80">
        <v>45791</v>
      </c>
      <c r="F1482">
        <v>3010101</v>
      </c>
      <c r="G1482">
        <v>25201</v>
      </c>
    </row>
    <row r="1483" spans="1:7" x14ac:dyDescent="0.3">
      <c r="A1483" s="80">
        <v>45809</v>
      </c>
      <c r="B1483">
        <v>1010100</v>
      </c>
      <c r="C1483">
        <v>2190</v>
      </c>
      <c r="E1483" s="80">
        <v>45791</v>
      </c>
      <c r="F1483">
        <v>3010101</v>
      </c>
      <c r="G1483">
        <v>21000</v>
      </c>
    </row>
    <row r="1484" spans="1:7" x14ac:dyDescent="0.3">
      <c r="A1484" s="80">
        <v>45809</v>
      </c>
      <c r="B1484">
        <v>1010100</v>
      </c>
      <c r="C1484">
        <v>1790</v>
      </c>
      <c r="E1484" s="80">
        <v>45791</v>
      </c>
      <c r="F1484">
        <v>3010101</v>
      </c>
      <c r="G1484">
        <v>25201</v>
      </c>
    </row>
    <row r="1485" spans="1:7" x14ac:dyDescent="0.3">
      <c r="A1485" s="80">
        <v>45809</v>
      </c>
      <c r="B1485">
        <v>1010100</v>
      </c>
      <c r="C1485">
        <v>0</v>
      </c>
      <c r="E1485" s="80">
        <v>45790</v>
      </c>
      <c r="F1485">
        <v>3010101</v>
      </c>
      <c r="G1485">
        <v>21000</v>
      </c>
    </row>
    <row r="1486" spans="1:7" x14ac:dyDescent="0.3">
      <c r="A1486" s="80">
        <v>45809</v>
      </c>
      <c r="B1486">
        <v>1010100</v>
      </c>
      <c r="C1486">
        <v>2290</v>
      </c>
      <c r="E1486" s="80">
        <v>45789</v>
      </c>
      <c r="F1486">
        <v>3010101</v>
      </c>
      <c r="G1486">
        <v>21000</v>
      </c>
    </row>
    <row r="1487" spans="1:7" x14ac:dyDescent="0.3">
      <c r="A1487" s="80">
        <v>45809</v>
      </c>
      <c r="B1487">
        <v>1010100</v>
      </c>
      <c r="C1487">
        <v>0</v>
      </c>
      <c r="E1487" s="80">
        <v>45789</v>
      </c>
      <c r="F1487">
        <v>3010101</v>
      </c>
      <c r="G1487">
        <v>21000</v>
      </c>
    </row>
    <row r="1488" spans="1:7" x14ac:dyDescent="0.3">
      <c r="A1488" s="80">
        <v>45809</v>
      </c>
      <c r="B1488">
        <v>1010100</v>
      </c>
      <c r="C1488">
        <v>0</v>
      </c>
      <c r="E1488" s="80">
        <v>45789</v>
      </c>
      <c r="F1488">
        <v>3010101</v>
      </c>
      <c r="G1488">
        <v>21000</v>
      </c>
    </row>
    <row r="1489" spans="1:7" x14ac:dyDescent="0.3">
      <c r="A1489" s="80">
        <v>45809</v>
      </c>
      <c r="B1489">
        <v>1010100</v>
      </c>
      <c r="C1489">
        <v>0</v>
      </c>
      <c r="E1489" s="80">
        <v>45788</v>
      </c>
      <c r="F1489">
        <v>3010101</v>
      </c>
      <c r="G1489">
        <v>21000</v>
      </c>
    </row>
    <row r="1490" spans="1:7" x14ac:dyDescent="0.3">
      <c r="A1490" s="80">
        <v>45809</v>
      </c>
      <c r="B1490">
        <v>1010100</v>
      </c>
      <c r="C1490">
        <v>6090</v>
      </c>
      <c r="E1490" s="80">
        <v>45788</v>
      </c>
      <c r="F1490">
        <v>3010101</v>
      </c>
      <c r="G1490">
        <v>21000</v>
      </c>
    </row>
    <row r="1491" spans="1:7" x14ac:dyDescent="0.3">
      <c r="A1491" s="80">
        <v>45809</v>
      </c>
      <c r="B1491">
        <v>1010100</v>
      </c>
      <c r="C1491">
        <v>4990</v>
      </c>
      <c r="E1491" s="80">
        <v>45788</v>
      </c>
      <c r="F1491">
        <v>3010101</v>
      </c>
      <c r="G1491">
        <v>21000</v>
      </c>
    </row>
    <row r="1492" spans="1:7" x14ac:dyDescent="0.3">
      <c r="A1492" s="80">
        <v>45809</v>
      </c>
      <c r="B1492">
        <v>1010100</v>
      </c>
      <c r="C1492">
        <v>1790</v>
      </c>
      <c r="E1492" s="80">
        <v>45788</v>
      </c>
      <c r="F1492">
        <v>3010101</v>
      </c>
      <c r="G1492">
        <v>42000</v>
      </c>
    </row>
    <row r="1493" spans="1:7" x14ac:dyDescent="0.3">
      <c r="A1493" s="80">
        <v>45808</v>
      </c>
      <c r="B1493">
        <v>1010100</v>
      </c>
      <c r="C1493">
        <v>2790</v>
      </c>
      <c r="E1493" s="80">
        <v>45788</v>
      </c>
      <c r="F1493">
        <v>3010101</v>
      </c>
      <c r="G1493">
        <v>21000</v>
      </c>
    </row>
    <row r="1494" spans="1:7" x14ac:dyDescent="0.3">
      <c r="A1494" s="80">
        <v>45808</v>
      </c>
      <c r="B1494">
        <v>1010100</v>
      </c>
      <c r="C1494">
        <v>0</v>
      </c>
      <c r="E1494" s="80">
        <v>45788</v>
      </c>
      <c r="F1494">
        <v>3010101</v>
      </c>
      <c r="G1494">
        <v>21000</v>
      </c>
    </row>
    <row r="1495" spans="1:7" x14ac:dyDescent="0.3">
      <c r="A1495" s="80">
        <v>45808</v>
      </c>
      <c r="B1495">
        <v>1010100</v>
      </c>
      <c r="C1495">
        <v>2390</v>
      </c>
      <c r="E1495" s="80">
        <v>45787</v>
      </c>
      <c r="F1495">
        <v>3010101</v>
      </c>
      <c r="G1495">
        <v>41168</v>
      </c>
    </row>
    <row r="1496" spans="1:7" x14ac:dyDescent="0.3">
      <c r="A1496" s="80">
        <v>45808</v>
      </c>
      <c r="B1496">
        <v>1010100</v>
      </c>
      <c r="C1496">
        <v>1790</v>
      </c>
      <c r="E1496" s="80">
        <v>45787</v>
      </c>
      <c r="F1496">
        <v>3010101</v>
      </c>
      <c r="G1496">
        <v>21000</v>
      </c>
    </row>
    <row r="1497" spans="1:7" x14ac:dyDescent="0.3">
      <c r="A1497" s="80">
        <v>45807</v>
      </c>
      <c r="B1497">
        <v>1010100</v>
      </c>
      <c r="C1497">
        <v>1790</v>
      </c>
      <c r="E1497" s="80">
        <v>45787</v>
      </c>
      <c r="F1497">
        <v>3010101</v>
      </c>
      <c r="G1497">
        <v>21000</v>
      </c>
    </row>
    <row r="1498" spans="1:7" x14ac:dyDescent="0.3">
      <c r="A1498" s="80">
        <v>45807</v>
      </c>
      <c r="B1498">
        <v>1010100</v>
      </c>
      <c r="C1498">
        <v>4490</v>
      </c>
      <c r="E1498" s="80">
        <v>45787</v>
      </c>
      <c r="F1498">
        <v>3010101</v>
      </c>
      <c r="G1498">
        <v>21000</v>
      </c>
    </row>
    <row r="1499" spans="1:7" x14ac:dyDescent="0.3">
      <c r="A1499" s="80">
        <v>45806</v>
      </c>
      <c r="B1499">
        <v>1010100</v>
      </c>
      <c r="C1499">
        <v>0</v>
      </c>
      <c r="E1499" s="80">
        <v>45786</v>
      </c>
      <c r="F1499">
        <v>3010101</v>
      </c>
      <c r="G1499">
        <v>25201</v>
      </c>
    </row>
    <row r="1500" spans="1:7" x14ac:dyDescent="0.3">
      <c r="A1500" s="80">
        <v>45806</v>
      </c>
      <c r="B1500">
        <v>1010100</v>
      </c>
      <c r="C1500">
        <v>2190</v>
      </c>
      <c r="E1500" s="80">
        <v>45786</v>
      </c>
      <c r="F1500">
        <v>3010101</v>
      </c>
      <c r="G1500">
        <v>21000</v>
      </c>
    </row>
    <row r="1501" spans="1:7" x14ac:dyDescent="0.3">
      <c r="A1501" s="80">
        <v>45805</v>
      </c>
      <c r="B1501">
        <v>1010100</v>
      </c>
      <c r="C1501">
        <v>1790</v>
      </c>
      <c r="E1501" s="80">
        <v>45786</v>
      </c>
      <c r="F1501">
        <v>3010101</v>
      </c>
      <c r="G1501">
        <v>4197</v>
      </c>
    </row>
    <row r="1502" spans="1:7" x14ac:dyDescent="0.3">
      <c r="A1502" s="80">
        <v>45805</v>
      </c>
      <c r="B1502">
        <v>1010100</v>
      </c>
      <c r="C1502">
        <v>0</v>
      </c>
      <c r="E1502" s="80">
        <v>45786</v>
      </c>
      <c r="F1502">
        <v>3010101</v>
      </c>
      <c r="G1502">
        <v>21000</v>
      </c>
    </row>
    <row r="1503" spans="1:7" x14ac:dyDescent="0.3">
      <c r="A1503" s="80">
        <v>45805</v>
      </c>
      <c r="B1503">
        <v>1010100</v>
      </c>
      <c r="C1503">
        <v>0</v>
      </c>
      <c r="E1503" s="80">
        <v>45786</v>
      </c>
      <c r="F1503">
        <v>3010101</v>
      </c>
      <c r="G1503">
        <v>21000</v>
      </c>
    </row>
    <row r="1504" spans="1:7" x14ac:dyDescent="0.3">
      <c r="A1504" s="80">
        <v>45805</v>
      </c>
      <c r="B1504">
        <v>1010100</v>
      </c>
      <c r="C1504">
        <v>0</v>
      </c>
      <c r="E1504" s="80">
        <v>45786</v>
      </c>
      <c r="F1504">
        <v>3010101</v>
      </c>
      <c r="G1504">
        <v>21000</v>
      </c>
    </row>
    <row r="1505" spans="1:7" x14ac:dyDescent="0.3">
      <c r="A1505" s="80">
        <v>45804</v>
      </c>
      <c r="B1505">
        <v>1010100</v>
      </c>
      <c r="C1505">
        <v>0</v>
      </c>
      <c r="E1505" s="80">
        <v>45786</v>
      </c>
      <c r="F1505">
        <v>3010101</v>
      </c>
      <c r="G1505">
        <v>21000</v>
      </c>
    </row>
    <row r="1506" spans="1:7" x14ac:dyDescent="0.3">
      <c r="A1506" s="80">
        <v>45804</v>
      </c>
      <c r="B1506">
        <v>1010100</v>
      </c>
      <c r="C1506">
        <v>0</v>
      </c>
      <c r="E1506" s="80">
        <v>45785</v>
      </c>
      <c r="F1506">
        <v>3010101</v>
      </c>
      <c r="G1506">
        <v>21000</v>
      </c>
    </row>
    <row r="1507" spans="1:7" x14ac:dyDescent="0.3">
      <c r="A1507" s="80">
        <v>45804</v>
      </c>
      <c r="B1507">
        <v>1010100</v>
      </c>
      <c r="C1507">
        <v>0</v>
      </c>
      <c r="E1507" s="80">
        <v>45785</v>
      </c>
      <c r="F1507">
        <v>3010101</v>
      </c>
      <c r="G1507">
        <v>21000</v>
      </c>
    </row>
    <row r="1508" spans="1:7" x14ac:dyDescent="0.3">
      <c r="A1508" s="80">
        <v>45804</v>
      </c>
      <c r="B1508">
        <v>1010100</v>
      </c>
      <c r="C1508">
        <v>0</v>
      </c>
      <c r="E1508" s="80">
        <v>45785</v>
      </c>
      <c r="F1508">
        <v>3010101</v>
      </c>
      <c r="G1508">
        <v>25201</v>
      </c>
    </row>
    <row r="1509" spans="1:7" x14ac:dyDescent="0.3">
      <c r="A1509" s="80">
        <v>45804</v>
      </c>
      <c r="B1509">
        <v>1010100</v>
      </c>
      <c r="C1509">
        <v>0</v>
      </c>
      <c r="E1509" s="80">
        <v>45785</v>
      </c>
      <c r="F1509">
        <v>3010101</v>
      </c>
      <c r="G1509">
        <v>21000</v>
      </c>
    </row>
    <row r="1510" spans="1:7" x14ac:dyDescent="0.3">
      <c r="A1510" s="80">
        <v>45804</v>
      </c>
      <c r="B1510">
        <v>1010100</v>
      </c>
      <c r="C1510">
        <v>0</v>
      </c>
      <c r="E1510" s="80">
        <v>45785</v>
      </c>
      <c r="F1510">
        <v>3010101</v>
      </c>
      <c r="G1510">
        <v>42000</v>
      </c>
    </row>
    <row r="1511" spans="1:7" x14ac:dyDescent="0.3">
      <c r="A1511" s="80">
        <v>45804</v>
      </c>
      <c r="B1511">
        <v>1010100</v>
      </c>
      <c r="C1511">
        <v>0</v>
      </c>
      <c r="E1511" s="80">
        <v>45785</v>
      </c>
      <c r="F1511">
        <v>3010101</v>
      </c>
      <c r="G1511">
        <v>21000</v>
      </c>
    </row>
    <row r="1512" spans="1:7" x14ac:dyDescent="0.3">
      <c r="A1512" s="80">
        <v>45804</v>
      </c>
      <c r="B1512">
        <v>1010100</v>
      </c>
      <c r="C1512">
        <v>0</v>
      </c>
      <c r="E1512" s="80">
        <v>45784</v>
      </c>
      <c r="F1512">
        <v>3010101</v>
      </c>
      <c r="G1512">
        <v>21000</v>
      </c>
    </row>
    <row r="1513" spans="1:7" x14ac:dyDescent="0.3">
      <c r="A1513" s="80">
        <v>45804</v>
      </c>
      <c r="B1513">
        <v>1010100</v>
      </c>
      <c r="C1513">
        <v>0</v>
      </c>
      <c r="E1513" s="80">
        <v>45784</v>
      </c>
      <c r="F1513">
        <v>3010101</v>
      </c>
      <c r="G1513">
        <v>25201</v>
      </c>
    </row>
    <row r="1514" spans="1:7" x14ac:dyDescent="0.3">
      <c r="A1514" s="80">
        <v>45804</v>
      </c>
      <c r="B1514">
        <v>1010100</v>
      </c>
      <c r="C1514">
        <v>1790</v>
      </c>
      <c r="E1514" s="80">
        <v>45784</v>
      </c>
      <c r="F1514">
        <v>3010101</v>
      </c>
      <c r="G1514">
        <v>21000</v>
      </c>
    </row>
    <row r="1515" spans="1:7" x14ac:dyDescent="0.3">
      <c r="A1515" s="80">
        <v>45803</v>
      </c>
      <c r="B1515">
        <v>1010100</v>
      </c>
      <c r="C1515">
        <v>0</v>
      </c>
      <c r="E1515" s="80">
        <v>45783</v>
      </c>
      <c r="F1515">
        <v>3010101</v>
      </c>
      <c r="G1515">
        <v>25201</v>
      </c>
    </row>
    <row r="1516" spans="1:7" x14ac:dyDescent="0.3">
      <c r="A1516" s="80">
        <v>45803</v>
      </c>
      <c r="B1516">
        <v>1010100</v>
      </c>
      <c r="C1516">
        <v>0</v>
      </c>
      <c r="E1516" s="80">
        <v>45783</v>
      </c>
      <c r="F1516">
        <v>3010101</v>
      </c>
      <c r="G1516">
        <v>21000</v>
      </c>
    </row>
    <row r="1517" spans="1:7" x14ac:dyDescent="0.3">
      <c r="A1517" s="80">
        <v>45803</v>
      </c>
      <c r="B1517">
        <v>1010100</v>
      </c>
      <c r="C1517">
        <v>0</v>
      </c>
      <c r="E1517" s="80">
        <v>45783</v>
      </c>
      <c r="F1517">
        <v>3010101</v>
      </c>
      <c r="G1517">
        <v>21000</v>
      </c>
    </row>
    <row r="1518" spans="1:7" x14ac:dyDescent="0.3">
      <c r="A1518" s="80">
        <v>45803</v>
      </c>
      <c r="B1518">
        <v>1010100</v>
      </c>
      <c r="C1518">
        <v>2290</v>
      </c>
      <c r="E1518" s="80">
        <v>45783</v>
      </c>
      <c r="F1518">
        <v>3010101</v>
      </c>
      <c r="G1518">
        <v>21000</v>
      </c>
    </row>
    <row r="1519" spans="1:7" x14ac:dyDescent="0.3">
      <c r="A1519" s="80">
        <v>45803</v>
      </c>
      <c r="B1519">
        <v>1010100</v>
      </c>
      <c r="C1519">
        <v>3390</v>
      </c>
      <c r="E1519" s="80">
        <v>45783</v>
      </c>
      <c r="F1519">
        <v>3010101</v>
      </c>
      <c r="G1519">
        <v>24361</v>
      </c>
    </row>
    <row r="1520" spans="1:7" x14ac:dyDescent="0.3">
      <c r="A1520" s="80">
        <v>45803</v>
      </c>
      <c r="B1520">
        <v>1010100</v>
      </c>
      <c r="C1520">
        <v>0</v>
      </c>
      <c r="E1520" s="80">
        <v>45782</v>
      </c>
      <c r="F1520">
        <v>3010101</v>
      </c>
      <c r="G1520">
        <v>25201</v>
      </c>
    </row>
    <row r="1521" spans="1:7" x14ac:dyDescent="0.3">
      <c r="A1521" s="80">
        <v>45803</v>
      </c>
      <c r="B1521">
        <v>1010100</v>
      </c>
      <c r="C1521">
        <v>0</v>
      </c>
      <c r="E1521" s="80">
        <v>45782</v>
      </c>
      <c r="F1521">
        <v>3010101</v>
      </c>
      <c r="G1521">
        <v>21000</v>
      </c>
    </row>
    <row r="1522" spans="1:7" x14ac:dyDescent="0.3">
      <c r="A1522" s="80">
        <v>45802</v>
      </c>
      <c r="B1522">
        <v>1010100</v>
      </c>
      <c r="C1522">
        <v>0</v>
      </c>
      <c r="E1522" s="80">
        <v>45782</v>
      </c>
      <c r="F1522">
        <v>3010101</v>
      </c>
      <c r="G1522">
        <v>21000</v>
      </c>
    </row>
    <row r="1523" spans="1:7" x14ac:dyDescent="0.3">
      <c r="A1523" s="80">
        <v>45802</v>
      </c>
      <c r="B1523">
        <v>1010100</v>
      </c>
      <c r="C1523">
        <v>2190</v>
      </c>
      <c r="E1523" s="80">
        <v>45782</v>
      </c>
      <c r="F1523">
        <v>3010101</v>
      </c>
      <c r="G1523">
        <v>41168</v>
      </c>
    </row>
    <row r="1524" spans="1:7" x14ac:dyDescent="0.3">
      <c r="A1524" s="80">
        <v>45801</v>
      </c>
      <c r="B1524">
        <v>1010100</v>
      </c>
      <c r="C1524">
        <v>1790</v>
      </c>
      <c r="E1524" s="80">
        <v>45782</v>
      </c>
      <c r="F1524">
        <v>3010101</v>
      </c>
      <c r="G1524">
        <v>21000</v>
      </c>
    </row>
    <row r="1525" spans="1:7" x14ac:dyDescent="0.3">
      <c r="A1525" s="80">
        <v>45801</v>
      </c>
      <c r="B1525">
        <v>1010100</v>
      </c>
      <c r="C1525">
        <v>1790</v>
      </c>
      <c r="E1525" s="80">
        <v>45782</v>
      </c>
      <c r="F1525">
        <v>3010101</v>
      </c>
      <c r="G1525">
        <v>21000</v>
      </c>
    </row>
    <row r="1526" spans="1:7" x14ac:dyDescent="0.3">
      <c r="A1526" s="80">
        <v>45801</v>
      </c>
      <c r="B1526">
        <v>1010100</v>
      </c>
      <c r="C1526">
        <v>0</v>
      </c>
      <c r="E1526" s="80">
        <v>45782</v>
      </c>
      <c r="F1526">
        <v>3010101</v>
      </c>
      <c r="G1526">
        <v>8394</v>
      </c>
    </row>
    <row r="1527" spans="1:7" x14ac:dyDescent="0.3">
      <c r="A1527" s="80">
        <v>45801</v>
      </c>
      <c r="B1527">
        <v>1010100</v>
      </c>
      <c r="C1527">
        <v>0</v>
      </c>
      <c r="E1527" s="80">
        <v>45782</v>
      </c>
      <c r="F1527">
        <v>3010101</v>
      </c>
      <c r="G1527">
        <v>8394</v>
      </c>
    </row>
    <row r="1528" spans="1:7" x14ac:dyDescent="0.3">
      <c r="A1528" s="80">
        <v>45801</v>
      </c>
      <c r="B1528">
        <v>1010100</v>
      </c>
      <c r="C1528">
        <v>1790</v>
      </c>
      <c r="E1528" s="80">
        <v>45782</v>
      </c>
      <c r="F1528">
        <v>3010101</v>
      </c>
      <c r="G1528">
        <v>42000</v>
      </c>
    </row>
    <row r="1529" spans="1:7" x14ac:dyDescent="0.3">
      <c r="A1529" s="80">
        <v>45801</v>
      </c>
      <c r="B1529">
        <v>1010100</v>
      </c>
      <c r="C1529">
        <v>0</v>
      </c>
      <c r="E1529" s="80">
        <v>45782</v>
      </c>
      <c r="F1529">
        <v>3010101</v>
      </c>
      <c r="G1529">
        <v>21000</v>
      </c>
    </row>
    <row r="1530" spans="1:7" x14ac:dyDescent="0.3">
      <c r="A1530" s="80">
        <v>45801</v>
      </c>
      <c r="B1530">
        <v>1010100</v>
      </c>
      <c r="C1530">
        <v>1790</v>
      </c>
      <c r="E1530" s="80">
        <v>45782</v>
      </c>
      <c r="F1530">
        <v>3010101</v>
      </c>
      <c r="G1530">
        <v>21000</v>
      </c>
    </row>
    <row r="1531" spans="1:7" x14ac:dyDescent="0.3">
      <c r="A1531" s="80">
        <v>45801</v>
      </c>
      <c r="B1531">
        <v>1010100</v>
      </c>
      <c r="C1531">
        <v>0</v>
      </c>
      <c r="E1531" s="80">
        <v>45782</v>
      </c>
      <c r="F1531">
        <v>3010101</v>
      </c>
      <c r="G1531">
        <v>25201</v>
      </c>
    </row>
    <row r="1532" spans="1:7" x14ac:dyDescent="0.3">
      <c r="A1532" s="80">
        <v>45801</v>
      </c>
      <c r="B1532">
        <v>1010100</v>
      </c>
      <c r="C1532">
        <v>0</v>
      </c>
      <c r="E1532" s="80">
        <v>45782</v>
      </c>
      <c r="F1532">
        <v>3010101</v>
      </c>
      <c r="G1532">
        <v>21000</v>
      </c>
    </row>
    <row r="1533" spans="1:7" x14ac:dyDescent="0.3">
      <c r="A1533" s="80">
        <v>45801</v>
      </c>
      <c r="B1533">
        <v>1010100</v>
      </c>
      <c r="C1533">
        <v>0</v>
      </c>
      <c r="E1533" s="80">
        <v>45781</v>
      </c>
      <c r="F1533">
        <v>3010101</v>
      </c>
      <c r="G1533">
        <v>21000</v>
      </c>
    </row>
    <row r="1534" spans="1:7" x14ac:dyDescent="0.3">
      <c r="A1534" s="80">
        <v>45800</v>
      </c>
      <c r="B1534">
        <v>1010100</v>
      </c>
      <c r="C1534">
        <v>0</v>
      </c>
      <c r="E1534" s="80">
        <v>45781</v>
      </c>
      <c r="F1534">
        <v>3010101</v>
      </c>
      <c r="G1534">
        <v>21000</v>
      </c>
    </row>
    <row r="1535" spans="1:7" x14ac:dyDescent="0.3">
      <c r="A1535" s="80">
        <v>45800</v>
      </c>
      <c r="B1535">
        <v>1010100</v>
      </c>
      <c r="C1535">
        <v>3490</v>
      </c>
      <c r="E1535" s="80">
        <v>45781</v>
      </c>
      <c r="F1535">
        <v>3010101</v>
      </c>
      <c r="G1535">
        <v>21000</v>
      </c>
    </row>
    <row r="1536" spans="1:7" x14ac:dyDescent="0.3">
      <c r="A1536" s="80">
        <v>45800</v>
      </c>
      <c r="B1536">
        <v>1010100</v>
      </c>
      <c r="C1536">
        <v>0</v>
      </c>
      <c r="E1536" s="80">
        <v>45781</v>
      </c>
      <c r="F1536">
        <v>3010101</v>
      </c>
      <c r="G1536">
        <v>21000</v>
      </c>
    </row>
    <row r="1537" spans="1:7" x14ac:dyDescent="0.3">
      <c r="A1537" s="80">
        <v>45800</v>
      </c>
      <c r="B1537">
        <v>1010100</v>
      </c>
      <c r="C1537">
        <v>1790</v>
      </c>
      <c r="E1537" s="80">
        <v>45781</v>
      </c>
      <c r="F1537">
        <v>3010101</v>
      </c>
      <c r="G1537">
        <v>21000</v>
      </c>
    </row>
    <row r="1538" spans="1:7" x14ac:dyDescent="0.3">
      <c r="A1538" s="80">
        <v>45800</v>
      </c>
      <c r="B1538">
        <v>1010100</v>
      </c>
      <c r="C1538">
        <v>0</v>
      </c>
      <c r="E1538" s="80">
        <v>45780</v>
      </c>
      <c r="F1538">
        <v>3010101</v>
      </c>
      <c r="G1538">
        <v>21000</v>
      </c>
    </row>
    <row r="1539" spans="1:7" x14ac:dyDescent="0.3">
      <c r="A1539" s="80">
        <v>45800</v>
      </c>
      <c r="B1539">
        <v>1010100</v>
      </c>
      <c r="C1539">
        <v>0</v>
      </c>
      <c r="E1539" s="80">
        <v>45780</v>
      </c>
      <c r="F1539">
        <v>3010101</v>
      </c>
      <c r="G1539">
        <v>25201</v>
      </c>
    </row>
    <row r="1540" spans="1:7" x14ac:dyDescent="0.3">
      <c r="A1540" s="80">
        <v>45800</v>
      </c>
      <c r="B1540">
        <v>1010100</v>
      </c>
      <c r="C1540">
        <v>1790</v>
      </c>
      <c r="E1540" s="80">
        <v>45780</v>
      </c>
      <c r="F1540">
        <v>3010101</v>
      </c>
      <c r="G1540">
        <v>21000</v>
      </c>
    </row>
    <row r="1541" spans="1:7" x14ac:dyDescent="0.3">
      <c r="A1541" s="80">
        <v>45799</v>
      </c>
      <c r="B1541">
        <v>1010100</v>
      </c>
      <c r="C1541">
        <v>1790</v>
      </c>
      <c r="E1541" s="80">
        <v>45780</v>
      </c>
      <c r="F1541">
        <v>3010101</v>
      </c>
      <c r="G1541">
        <v>21000</v>
      </c>
    </row>
    <row r="1542" spans="1:7" x14ac:dyDescent="0.3">
      <c r="A1542" s="80">
        <v>45799</v>
      </c>
      <c r="B1542">
        <v>1010100</v>
      </c>
      <c r="C1542">
        <v>1790</v>
      </c>
      <c r="E1542" s="80">
        <v>45779</v>
      </c>
      <c r="F1542">
        <v>3010101</v>
      </c>
      <c r="G1542">
        <v>21000</v>
      </c>
    </row>
    <row r="1543" spans="1:7" x14ac:dyDescent="0.3">
      <c r="A1543" s="80">
        <v>45799</v>
      </c>
      <c r="B1543">
        <v>1010100</v>
      </c>
      <c r="C1543">
        <v>2290</v>
      </c>
      <c r="E1543" s="80">
        <v>45779</v>
      </c>
      <c r="F1543">
        <v>3010101</v>
      </c>
      <c r="G1543">
        <v>25201</v>
      </c>
    </row>
    <row r="1544" spans="1:7" x14ac:dyDescent="0.3">
      <c r="A1544" s="80">
        <v>45799</v>
      </c>
      <c r="B1544">
        <v>1010100</v>
      </c>
      <c r="C1544">
        <v>3390</v>
      </c>
      <c r="E1544" s="80">
        <v>45779</v>
      </c>
      <c r="F1544">
        <v>3010101</v>
      </c>
      <c r="G1544">
        <v>21000</v>
      </c>
    </row>
    <row r="1545" spans="1:7" x14ac:dyDescent="0.3">
      <c r="A1545" s="80">
        <v>45798</v>
      </c>
      <c r="B1545">
        <v>1010100</v>
      </c>
      <c r="C1545">
        <v>0</v>
      </c>
      <c r="E1545" s="80">
        <v>45779</v>
      </c>
      <c r="F1545">
        <v>3010101</v>
      </c>
      <c r="G1545">
        <v>21000</v>
      </c>
    </row>
    <row r="1546" spans="1:7" x14ac:dyDescent="0.3">
      <c r="A1546" s="80">
        <v>45798</v>
      </c>
      <c r="B1546">
        <v>1010100</v>
      </c>
      <c r="C1546">
        <v>5990</v>
      </c>
      <c r="E1546" s="80">
        <v>45778</v>
      </c>
      <c r="F1546">
        <v>3010101</v>
      </c>
      <c r="G1546">
        <v>21000</v>
      </c>
    </row>
    <row r="1547" spans="1:7" x14ac:dyDescent="0.3">
      <c r="A1547" s="80">
        <v>45798</v>
      </c>
      <c r="B1547">
        <v>1010100</v>
      </c>
      <c r="C1547">
        <v>1790</v>
      </c>
      <c r="E1547" s="80">
        <v>45778</v>
      </c>
      <c r="F1547">
        <v>3010101</v>
      </c>
      <c r="G1547">
        <v>21000</v>
      </c>
    </row>
    <row r="1548" spans="1:7" x14ac:dyDescent="0.3">
      <c r="A1548" s="80">
        <v>45798</v>
      </c>
      <c r="B1548">
        <v>1010100</v>
      </c>
      <c r="C1548">
        <v>1790</v>
      </c>
      <c r="E1548" s="80">
        <v>45777</v>
      </c>
      <c r="F1548">
        <v>3010101</v>
      </c>
      <c r="G1548">
        <v>21000</v>
      </c>
    </row>
    <row r="1549" spans="1:7" x14ac:dyDescent="0.3">
      <c r="A1549" s="80">
        <v>45798</v>
      </c>
      <c r="B1549">
        <v>1010100</v>
      </c>
      <c r="C1549">
        <v>1790</v>
      </c>
      <c r="E1549" s="80">
        <v>45777</v>
      </c>
      <c r="F1549">
        <v>3010101</v>
      </c>
      <c r="G1549">
        <v>21000</v>
      </c>
    </row>
    <row r="1550" spans="1:7" x14ac:dyDescent="0.3">
      <c r="A1550" s="80">
        <v>45798</v>
      </c>
      <c r="B1550">
        <v>1010100</v>
      </c>
      <c r="C1550">
        <v>2490</v>
      </c>
      <c r="E1550" s="80">
        <v>45777</v>
      </c>
      <c r="F1550">
        <v>3010101</v>
      </c>
      <c r="G1550">
        <v>25201</v>
      </c>
    </row>
    <row r="1551" spans="1:7" x14ac:dyDescent="0.3">
      <c r="A1551" s="80">
        <v>45798</v>
      </c>
      <c r="B1551">
        <v>1010100</v>
      </c>
      <c r="C1551">
        <v>1790</v>
      </c>
      <c r="E1551" s="80">
        <v>45777</v>
      </c>
      <c r="F1551">
        <v>3010101</v>
      </c>
      <c r="G1551">
        <v>21000</v>
      </c>
    </row>
    <row r="1552" spans="1:7" x14ac:dyDescent="0.3">
      <c r="A1552" s="80">
        <v>45797</v>
      </c>
      <c r="B1552">
        <v>1010100</v>
      </c>
      <c r="C1552">
        <v>1790</v>
      </c>
      <c r="E1552" s="80">
        <v>45777</v>
      </c>
      <c r="F1552">
        <v>3010101</v>
      </c>
      <c r="G1552">
        <v>25201</v>
      </c>
    </row>
    <row r="1553" spans="1:7" x14ac:dyDescent="0.3">
      <c r="A1553" s="80">
        <v>45797</v>
      </c>
      <c r="B1553">
        <v>1010100</v>
      </c>
      <c r="C1553">
        <v>0</v>
      </c>
      <c r="E1553" s="80">
        <v>45776</v>
      </c>
      <c r="F1553">
        <v>3010101</v>
      </c>
      <c r="G1553">
        <v>21000</v>
      </c>
    </row>
    <row r="1554" spans="1:7" x14ac:dyDescent="0.3">
      <c r="A1554" s="80">
        <v>45797</v>
      </c>
      <c r="B1554">
        <v>1010100</v>
      </c>
      <c r="C1554">
        <v>1790</v>
      </c>
      <c r="E1554" s="80">
        <v>45776</v>
      </c>
      <c r="F1554">
        <v>3010101</v>
      </c>
      <c r="G1554">
        <v>21000</v>
      </c>
    </row>
    <row r="1555" spans="1:7" x14ac:dyDescent="0.3">
      <c r="A1555" s="80">
        <v>45797</v>
      </c>
      <c r="B1555">
        <v>1010100</v>
      </c>
      <c r="C1555">
        <v>1790</v>
      </c>
      <c r="E1555" s="80">
        <v>45776</v>
      </c>
      <c r="F1555">
        <v>3010101</v>
      </c>
      <c r="G1555">
        <v>21000</v>
      </c>
    </row>
    <row r="1556" spans="1:7" x14ac:dyDescent="0.3">
      <c r="A1556" s="80">
        <v>45797</v>
      </c>
      <c r="B1556">
        <v>1010100</v>
      </c>
      <c r="C1556">
        <v>2390</v>
      </c>
      <c r="E1556" s="80">
        <v>45776</v>
      </c>
      <c r="F1556">
        <v>3010101</v>
      </c>
      <c r="G1556">
        <v>21000</v>
      </c>
    </row>
    <row r="1557" spans="1:7" x14ac:dyDescent="0.3">
      <c r="A1557" s="80">
        <v>45797</v>
      </c>
      <c r="B1557">
        <v>1010100</v>
      </c>
      <c r="C1557">
        <v>1790</v>
      </c>
      <c r="E1557" s="80">
        <v>45776</v>
      </c>
      <c r="F1557">
        <v>3010101</v>
      </c>
      <c r="G1557">
        <v>21000</v>
      </c>
    </row>
    <row r="1558" spans="1:7" x14ac:dyDescent="0.3">
      <c r="A1558" s="80">
        <v>45796</v>
      </c>
      <c r="B1558">
        <v>1010100</v>
      </c>
      <c r="C1558">
        <v>0</v>
      </c>
      <c r="E1558" s="80">
        <v>45776</v>
      </c>
      <c r="F1558">
        <v>3010101</v>
      </c>
      <c r="G1558">
        <v>21000</v>
      </c>
    </row>
    <row r="1559" spans="1:7" x14ac:dyDescent="0.3">
      <c r="A1559" s="80">
        <v>45796</v>
      </c>
      <c r="B1559">
        <v>1010100</v>
      </c>
      <c r="C1559">
        <v>0</v>
      </c>
      <c r="E1559" s="80">
        <v>45776</v>
      </c>
      <c r="F1559">
        <v>3010101</v>
      </c>
      <c r="G1559">
        <v>21000</v>
      </c>
    </row>
    <row r="1560" spans="1:7" x14ac:dyDescent="0.3">
      <c r="A1560" s="80">
        <v>45796</v>
      </c>
      <c r="B1560">
        <v>1010100</v>
      </c>
      <c r="C1560">
        <v>1790</v>
      </c>
      <c r="E1560" s="80">
        <v>45775</v>
      </c>
      <c r="F1560">
        <v>3010101</v>
      </c>
      <c r="G1560">
        <v>22178</v>
      </c>
    </row>
    <row r="1561" spans="1:7" x14ac:dyDescent="0.3">
      <c r="A1561" s="80">
        <v>45795</v>
      </c>
      <c r="B1561">
        <v>1010100</v>
      </c>
      <c r="C1561">
        <v>1790</v>
      </c>
      <c r="E1561" s="80">
        <v>45775</v>
      </c>
      <c r="F1561">
        <v>3010101</v>
      </c>
      <c r="G1561">
        <v>4197</v>
      </c>
    </row>
    <row r="1562" spans="1:7" x14ac:dyDescent="0.3">
      <c r="A1562" s="80">
        <v>45795</v>
      </c>
      <c r="B1562">
        <v>1010100</v>
      </c>
      <c r="C1562">
        <v>1790</v>
      </c>
      <c r="E1562" s="80">
        <v>45775</v>
      </c>
      <c r="F1562">
        <v>3010101</v>
      </c>
      <c r="G1562">
        <v>21000</v>
      </c>
    </row>
    <row r="1563" spans="1:7" x14ac:dyDescent="0.3">
      <c r="A1563" s="80">
        <v>45795</v>
      </c>
      <c r="B1563">
        <v>1010100</v>
      </c>
      <c r="C1563">
        <v>1790</v>
      </c>
      <c r="E1563" s="80">
        <v>45774</v>
      </c>
      <c r="F1563">
        <v>3010101</v>
      </c>
      <c r="G1563">
        <v>21000</v>
      </c>
    </row>
    <row r="1564" spans="1:7" x14ac:dyDescent="0.3">
      <c r="A1564" s="80">
        <v>45795</v>
      </c>
      <c r="B1564">
        <v>1010100</v>
      </c>
      <c r="C1564">
        <v>1790</v>
      </c>
      <c r="E1564" s="80">
        <v>45774</v>
      </c>
      <c r="F1564">
        <v>3010101</v>
      </c>
      <c r="G1564">
        <v>21000</v>
      </c>
    </row>
    <row r="1565" spans="1:7" x14ac:dyDescent="0.3">
      <c r="A1565" s="80">
        <v>45794</v>
      </c>
      <c r="B1565">
        <v>1010100</v>
      </c>
      <c r="C1565">
        <v>1790</v>
      </c>
      <c r="E1565" s="80">
        <v>45774</v>
      </c>
      <c r="F1565">
        <v>3010101</v>
      </c>
      <c r="G1565">
        <v>22178</v>
      </c>
    </row>
    <row r="1566" spans="1:7" x14ac:dyDescent="0.3">
      <c r="A1566" s="80">
        <v>45794</v>
      </c>
      <c r="B1566">
        <v>1010100</v>
      </c>
      <c r="C1566">
        <v>1790</v>
      </c>
      <c r="E1566" s="80">
        <v>45774</v>
      </c>
      <c r="F1566">
        <v>3010101</v>
      </c>
      <c r="G1566">
        <v>21000</v>
      </c>
    </row>
    <row r="1567" spans="1:7" x14ac:dyDescent="0.3">
      <c r="A1567" s="80">
        <v>45794</v>
      </c>
      <c r="B1567">
        <v>1010100</v>
      </c>
      <c r="C1567">
        <v>1790</v>
      </c>
      <c r="E1567" s="80">
        <v>45774</v>
      </c>
      <c r="F1567">
        <v>3010101</v>
      </c>
      <c r="G1567">
        <v>25201</v>
      </c>
    </row>
    <row r="1568" spans="1:7" x14ac:dyDescent="0.3">
      <c r="A1568" s="80">
        <v>45793</v>
      </c>
      <c r="B1568">
        <v>1010100</v>
      </c>
      <c r="C1568">
        <v>1790</v>
      </c>
      <c r="E1568" s="80">
        <v>45774</v>
      </c>
      <c r="F1568">
        <v>3010101</v>
      </c>
      <c r="G1568">
        <v>22178</v>
      </c>
    </row>
    <row r="1569" spans="1:7" x14ac:dyDescent="0.3">
      <c r="A1569" s="80">
        <v>45792</v>
      </c>
      <c r="B1569">
        <v>1010100</v>
      </c>
      <c r="C1569">
        <v>0</v>
      </c>
      <c r="E1569" s="80">
        <v>45774</v>
      </c>
      <c r="F1569">
        <v>3010101</v>
      </c>
      <c r="G1569">
        <v>21000</v>
      </c>
    </row>
    <row r="1570" spans="1:7" x14ac:dyDescent="0.3">
      <c r="A1570" s="80">
        <v>45792</v>
      </c>
      <c r="B1570">
        <v>1010100</v>
      </c>
      <c r="C1570">
        <v>1790</v>
      </c>
      <c r="E1570" s="80">
        <v>45773</v>
      </c>
      <c r="F1570">
        <v>3010101</v>
      </c>
      <c r="G1570">
        <v>21000</v>
      </c>
    </row>
    <row r="1571" spans="1:7" x14ac:dyDescent="0.3">
      <c r="A1571" s="80">
        <v>45792</v>
      </c>
      <c r="B1571">
        <v>1010100</v>
      </c>
      <c r="C1571">
        <v>0</v>
      </c>
      <c r="E1571" s="80">
        <v>45773</v>
      </c>
      <c r="F1571">
        <v>3010101</v>
      </c>
      <c r="G1571">
        <v>25201</v>
      </c>
    </row>
    <row r="1572" spans="1:7" x14ac:dyDescent="0.3">
      <c r="A1572" s="80">
        <v>45792</v>
      </c>
      <c r="B1572">
        <v>1010100</v>
      </c>
      <c r="C1572">
        <v>1790</v>
      </c>
      <c r="E1572" s="80">
        <v>45773</v>
      </c>
      <c r="F1572">
        <v>3010101</v>
      </c>
      <c r="G1572">
        <v>21000</v>
      </c>
    </row>
    <row r="1573" spans="1:7" x14ac:dyDescent="0.3">
      <c r="A1573" s="80">
        <v>45791</v>
      </c>
      <c r="B1573">
        <v>1010100</v>
      </c>
      <c r="C1573">
        <v>1790</v>
      </c>
      <c r="E1573" s="80">
        <v>45773</v>
      </c>
      <c r="F1573">
        <v>3010101</v>
      </c>
      <c r="G1573">
        <v>25201</v>
      </c>
    </row>
    <row r="1574" spans="1:7" x14ac:dyDescent="0.3">
      <c r="A1574" s="80">
        <v>45791</v>
      </c>
      <c r="B1574">
        <v>1010100</v>
      </c>
      <c r="C1574">
        <v>0</v>
      </c>
      <c r="E1574" s="80">
        <v>45773</v>
      </c>
      <c r="F1574">
        <v>3010101</v>
      </c>
      <c r="G1574">
        <v>25201</v>
      </c>
    </row>
    <row r="1575" spans="1:7" x14ac:dyDescent="0.3">
      <c r="A1575" s="80">
        <v>45791</v>
      </c>
      <c r="B1575">
        <v>1010100</v>
      </c>
      <c r="C1575">
        <v>1790</v>
      </c>
      <c r="E1575" s="80">
        <v>45773</v>
      </c>
      <c r="F1575">
        <v>3010101</v>
      </c>
      <c r="G1575">
        <v>25201</v>
      </c>
    </row>
    <row r="1576" spans="1:7" x14ac:dyDescent="0.3">
      <c r="A1576" s="80">
        <v>45791</v>
      </c>
      <c r="B1576">
        <v>1010100</v>
      </c>
      <c r="C1576">
        <v>0</v>
      </c>
      <c r="E1576" s="80">
        <v>45773</v>
      </c>
      <c r="F1576">
        <v>3010101</v>
      </c>
      <c r="G1576">
        <v>25201</v>
      </c>
    </row>
    <row r="1577" spans="1:7" x14ac:dyDescent="0.3">
      <c r="A1577" s="80">
        <v>45790</v>
      </c>
      <c r="B1577">
        <v>1010100</v>
      </c>
      <c r="C1577">
        <v>2190</v>
      </c>
      <c r="E1577" s="80">
        <v>45773</v>
      </c>
      <c r="F1577">
        <v>3010101</v>
      </c>
      <c r="G1577">
        <v>21000</v>
      </c>
    </row>
    <row r="1578" spans="1:7" x14ac:dyDescent="0.3">
      <c r="A1578" s="80">
        <v>45789</v>
      </c>
      <c r="B1578">
        <v>1010100</v>
      </c>
      <c r="C1578">
        <v>1790</v>
      </c>
      <c r="E1578" s="80">
        <v>45773</v>
      </c>
      <c r="F1578">
        <v>3010101</v>
      </c>
      <c r="G1578">
        <v>22178</v>
      </c>
    </row>
    <row r="1579" spans="1:7" x14ac:dyDescent="0.3">
      <c r="A1579" s="80">
        <v>45789</v>
      </c>
      <c r="B1579">
        <v>1010100</v>
      </c>
      <c r="C1579">
        <v>1790</v>
      </c>
      <c r="E1579" s="80">
        <v>45773</v>
      </c>
      <c r="F1579">
        <v>3010101</v>
      </c>
      <c r="G1579">
        <v>22178</v>
      </c>
    </row>
    <row r="1580" spans="1:7" x14ac:dyDescent="0.3">
      <c r="A1580" s="80">
        <v>45789</v>
      </c>
      <c r="B1580">
        <v>1010100</v>
      </c>
      <c r="C1580">
        <v>3490</v>
      </c>
      <c r="E1580" s="80">
        <v>45773</v>
      </c>
      <c r="F1580">
        <v>3010101</v>
      </c>
      <c r="G1580">
        <v>22178</v>
      </c>
    </row>
    <row r="1581" spans="1:7" x14ac:dyDescent="0.3">
      <c r="A1581" s="80">
        <v>45788</v>
      </c>
      <c r="B1581">
        <v>1010100</v>
      </c>
      <c r="C1581">
        <v>1790</v>
      </c>
      <c r="E1581" s="80">
        <v>45772</v>
      </c>
      <c r="F1581">
        <v>3010101</v>
      </c>
      <c r="G1581">
        <v>21000</v>
      </c>
    </row>
    <row r="1582" spans="1:7" x14ac:dyDescent="0.3">
      <c r="A1582" s="80">
        <v>45788</v>
      </c>
      <c r="B1582">
        <v>1010100</v>
      </c>
      <c r="C1582">
        <v>1790</v>
      </c>
      <c r="E1582" s="80">
        <v>45772</v>
      </c>
      <c r="F1582">
        <v>3010101</v>
      </c>
      <c r="G1582">
        <v>25201</v>
      </c>
    </row>
    <row r="1583" spans="1:7" x14ac:dyDescent="0.3">
      <c r="A1583" s="80">
        <v>45788</v>
      </c>
      <c r="B1583">
        <v>1010100</v>
      </c>
      <c r="C1583">
        <v>1790</v>
      </c>
      <c r="E1583" s="80">
        <v>45772</v>
      </c>
      <c r="F1583">
        <v>3010101</v>
      </c>
      <c r="G1583">
        <v>25201</v>
      </c>
    </row>
    <row r="1584" spans="1:7" x14ac:dyDescent="0.3">
      <c r="A1584" s="80">
        <v>45788</v>
      </c>
      <c r="B1584">
        <v>1010100</v>
      </c>
      <c r="C1584">
        <v>1790</v>
      </c>
      <c r="E1584" s="80">
        <v>45772</v>
      </c>
      <c r="F1584">
        <v>3010101</v>
      </c>
      <c r="G1584">
        <v>22178</v>
      </c>
    </row>
    <row r="1585" spans="1:7" x14ac:dyDescent="0.3">
      <c r="A1585" s="80">
        <v>45788</v>
      </c>
      <c r="B1585">
        <v>1010100</v>
      </c>
      <c r="C1585">
        <v>3990</v>
      </c>
      <c r="E1585" s="80">
        <v>45772</v>
      </c>
      <c r="F1585">
        <v>3010101</v>
      </c>
      <c r="G1585">
        <v>4197</v>
      </c>
    </row>
    <row r="1586" spans="1:7" x14ac:dyDescent="0.3">
      <c r="A1586" s="80">
        <v>45788</v>
      </c>
      <c r="B1586">
        <v>1010100</v>
      </c>
      <c r="C1586">
        <v>4490</v>
      </c>
      <c r="E1586" s="80">
        <v>45772</v>
      </c>
      <c r="F1586">
        <v>3010101</v>
      </c>
      <c r="G1586">
        <v>21000</v>
      </c>
    </row>
    <row r="1587" spans="1:7" x14ac:dyDescent="0.3">
      <c r="A1587" s="80">
        <v>45787</v>
      </c>
      <c r="B1587">
        <v>1010100</v>
      </c>
      <c r="C1587">
        <v>1790</v>
      </c>
      <c r="E1587" s="80">
        <v>45772</v>
      </c>
      <c r="F1587">
        <v>3010101</v>
      </c>
      <c r="G1587">
        <v>4197</v>
      </c>
    </row>
    <row r="1588" spans="1:7" x14ac:dyDescent="0.3">
      <c r="A1588" s="80">
        <v>45787</v>
      </c>
      <c r="B1588">
        <v>1010100</v>
      </c>
      <c r="C1588">
        <v>0</v>
      </c>
      <c r="E1588" s="80">
        <v>45772</v>
      </c>
      <c r="F1588">
        <v>3010101</v>
      </c>
      <c r="G1588">
        <v>21000</v>
      </c>
    </row>
    <row r="1589" spans="1:7" x14ac:dyDescent="0.3">
      <c r="A1589" s="80">
        <v>45787</v>
      </c>
      <c r="B1589">
        <v>1010100</v>
      </c>
      <c r="C1589">
        <v>4790</v>
      </c>
      <c r="E1589" s="80">
        <v>45772</v>
      </c>
      <c r="F1589">
        <v>3010101</v>
      </c>
      <c r="G1589">
        <v>21000</v>
      </c>
    </row>
    <row r="1590" spans="1:7" x14ac:dyDescent="0.3">
      <c r="A1590" s="80">
        <v>45787</v>
      </c>
      <c r="B1590">
        <v>1010100</v>
      </c>
      <c r="C1590">
        <v>4490</v>
      </c>
      <c r="E1590" s="80">
        <v>45772</v>
      </c>
      <c r="F1590">
        <v>3010101</v>
      </c>
      <c r="G1590">
        <v>22178</v>
      </c>
    </row>
    <row r="1591" spans="1:7" x14ac:dyDescent="0.3">
      <c r="A1591" s="80">
        <v>45786</v>
      </c>
      <c r="B1591">
        <v>1010100</v>
      </c>
      <c r="C1591">
        <v>0</v>
      </c>
      <c r="E1591" s="80">
        <v>45772</v>
      </c>
      <c r="F1591">
        <v>3010101</v>
      </c>
      <c r="G1591">
        <v>4197</v>
      </c>
    </row>
    <row r="1592" spans="1:7" x14ac:dyDescent="0.3">
      <c r="A1592" s="80">
        <v>45786</v>
      </c>
      <c r="B1592">
        <v>1010100</v>
      </c>
      <c r="C1592">
        <v>0</v>
      </c>
      <c r="E1592" s="80">
        <v>45772</v>
      </c>
      <c r="F1592">
        <v>3010101</v>
      </c>
      <c r="G1592">
        <v>42000</v>
      </c>
    </row>
    <row r="1593" spans="1:7" x14ac:dyDescent="0.3">
      <c r="A1593" s="80">
        <v>45786</v>
      </c>
      <c r="B1593">
        <v>1010100</v>
      </c>
      <c r="C1593">
        <v>2190</v>
      </c>
      <c r="E1593" s="80">
        <v>45772</v>
      </c>
      <c r="F1593">
        <v>3010101</v>
      </c>
      <c r="G1593">
        <v>25201</v>
      </c>
    </row>
    <row r="1594" spans="1:7" x14ac:dyDescent="0.3">
      <c r="A1594" s="80">
        <v>45786</v>
      </c>
      <c r="B1594">
        <v>1010100</v>
      </c>
      <c r="C1594">
        <v>1790</v>
      </c>
      <c r="E1594" s="80">
        <v>45772</v>
      </c>
      <c r="F1594">
        <v>3010101</v>
      </c>
      <c r="G1594">
        <v>22178</v>
      </c>
    </row>
    <row r="1595" spans="1:7" x14ac:dyDescent="0.3">
      <c r="A1595" s="80">
        <v>45786</v>
      </c>
      <c r="B1595">
        <v>1010100</v>
      </c>
      <c r="C1595">
        <v>2490</v>
      </c>
      <c r="E1595" s="80">
        <v>45771</v>
      </c>
      <c r="F1595">
        <v>3010101</v>
      </c>
      <c r="G1595">
        <v>22178</v>
      </c>
    </row>
    <row r="1596" spans="1:7" x14ac:dyDescent="0.3">
      <c r="A1596" s="80">
        <v>45786</v>
      </c>
      <c r="B1596">
        <v>1010100</v>
      </c>
      <c r="C1596">
        <v>1790</v>
      </c>
      <c r="E1596" s="80">
        <v>45771</v>
      </c>
      <c r="F1596">
        <v>3010101</v>
      </c>
      <c r="G1596">
        <v>8394</v>
      </c>
    </row>
    <row r="1597" spans="1:7" x14ac:dyDescent="0.3">
      <c r="A1597" s="80">
        <v>45786</v>
      </c>
      <c r="B1597">
        <v>1010100</v>
      </c>
      <c r="C1597">
        <v>1790</v>
      </c>
      <c r="E1597" s="80">
        <v>45771</v>
      </c>
      <c r="F1597">
        <v>3010101</v>
      </c>
      <c r="G1597">
        <v>22178</v>
      </c>
    </row>
    <row r="1598" spans="1:7" x14ac:dyDescent="0.3">
      <c r="A1598" s="80">
        <v>45785</v>
      </c>
      <c r="B1598">
        <v>1010100</v>
      </c>
      <c r="C1598">
        <v>0</v>
      </c>
      <c r="E1598" s="80">
        <v>45771</v>
      </c>
      <c r="F1598">
        <v>3010101</v>
      </c>
      <c r="G1598">
        <v>21000</v>
      </c>
    </row>
    <row r="1599" spans="1:7" x14ac:dyDescent="0.3">
      <c r="A1599" s="80">
        <v>45785</v>
      </c>
      <c r="B1599">
        <v>1010100</v>
      </c>
      <c r="C1599">
        <v>0</v>
      </c>
      <c r="E1599" s="80">
        <v>45771</v>
      </c>
      <c r="F1599">
        <v>3010101</v>
      </c>
      <c r="G1599">
        <v>21000</v>
      </c>
    </row>
    <row r="1600" spans="1:7" x14ac:dyDescent="0.3">
      <c r="A1600" s="80">
        <v>45785</v>
      </c>
      <c r="B1600">
        <v>1010100</v>
      </c>
      <c r="C1600">
        <v>0</v>
      </c>
      <c r="E1600" s="80">
        <v>45771</v>
      </c>
      <c r="F1600">
        <v>3010101</v>
      </c>
      <c r="G1600">
        <v>22178</v>
      </c>
    </row>
    <row r="1601" spans="1:7" x14ac:dyDescent="0.3">
      <c r="A1601" s="80">
        <v>45785</v>
      </c>
      <c r="B1601">
        <v>1010100</v>
      </c>
      <c r="C1601">
        <v>1790</v>
      </c>
      <c r="E1601" s="80">
        <v>45771</v>
      </c>
      <c r="F1601">
        <v>3010101</v>
      </c>
      <c r="G1601">
        <v>25201</v>
      </c>
    </row>
    <row r="1602" spans="1:7" x14ac:dyDescent="0.3">
      <c r="A1602" s="80">
        <v>45785</v>
      </c>
      <c r="B1602">
        <v>1010100</v>
      </c>
      <c r="C1602">
        <v>2490</v>
      </c>
      <c r="E1602" s="80">
        <v>45771</v>
      </c>
      <c r="F1602">
        <v>3010101</v>
      </c>
      <c r="G1602">
        <v>25201</v>
      </c>
    </row>
    <row r="1603" spans="1:7" x14ac:dyDescent="0.3">
      <c r="A1603" s="80">
        <v>45785</v>
      </c>
      <c r="B1603">
        <v>1010100</v>
      </c>
      <c r="C1603">
        <v>0</v>
      </c>
      <c r="E1603" s="80">
        <v>45770</v>
      </c>
      <c r="F1603">
        <v>3010101</v>
      </c>
      <c r="G1603">
        <v>22178</v>
      </c>
    </row>
    <row r="1604" spans="1:7" x14ac:dyDescent="0.3">
      <c r="A1604" s="80">
        <v>45784</v>
      </c>
      <c r="B1604">
        <v>1010100</v>
      </c>
      <c r="C1604">
        <v>2190</v>
      </c>
      <c r="E1604" s="80">
        <v>45770</v>
      </c>
      <c r="F1604">
        <v>3010101</v>
      </c>
      <c r="G1604">
        <v>22178</v>
      </c>
    </row>
    <row r="1605" spans="1:7" x14ac:dyDescent="0.3">
      <c r="A1605" s="80">
        <v>45784</v>
      </c>
      <c r="B1605">
        <v>1010100</v>
      </c>
      <c r="C1605">
        <v>0</v>
      </c>
      <c r="E1605" s="80">
        <v>45770</v>
      </c>
      <c r="F1605">
        <v>3010101</v>
      </c>
      <c r="G1605">
        <v>25201</v>
      </c>
    </row>
    <row r="1606" spans="1:7" x14ac:dyDescent="0.3">
      <c r="A1606" s="80">
        <v>45784</v>
      </c>
      <c r="B1606">
        <v>1010100</v>
      </c>
      <c r="C1606">
        <v>1790</v>
      </c>
      <c r="E1606" s="80">
        <v>45770</v>
      </c>
      <c r="F1606">
        <v>3010101</v>
      </c>
      <c r="G1606">
        <v>21000</v>
      </c>
    </row>
    <row r="1607" spans="1:7" x14ac:dyDescent="0.3">
      <c r="A1607" s="80">
        <v>45783</v>
      </c>
      <c r="B1607">
        <v>1010100</v>
      </c>
      <c r="C1607">
        <v>0</v>
      </c>
      <c r="E1607" s="80">
        <v>45770</v>
      </c>
      <c r="F1607">
        <v>3010101</v>
      </c>
      <c r="G1607">
        <v>4197</v>
      </c>
    </row>
    <row r="1608" spans="1:7" x14ac:dyDescent="0.3">
      <c r="A1608" s="80">
        <v>45783</v>
      </c>
      <c r="B1608">
        <v>1010100</v>
      </c>
      <c r="C1608">
        <v>1790</v>
      </c>
      <c r="E1608" s="80">
        <v>45769</v>
      </c>
      <c r="F1608">
        <v>3010101</v>
      </c>
      <c r="G1608">
        <v>25201</v>
      </c>
    </row>
    <row r="1609" spans="1:7" x14ac:dyDescent="0.3">
      <c r="A1609" s="80">
        <v>45783</v>
      </c>
      <c r="B1609">
        <v>1010100</v>
      </c>
      <c r="C1609">
        <v>1790</v>
      </c>
      <c r="E1609" s="80">
        <v>45769</v>
      </c>
      <c r="F1609">
        <v>3010101</v>
      </c>
      <c r="G1609">
        <v>25201</v>
      </c>
    </row>
    <row r="1610" spans="1:7" x14ac:dyDescent="0.3">
      <c r="A1610" s="80">
        <v>45783</v>
      </c>
      <c r="B1610">
        <v>1010100</v>
      </c>
      <c r="C1610">
        <v>0</v>
      </c>
      <c r="E1610" s="80">
        <v>45768</v>
      </c>
      <c r="F1610">
        <v>3010101</v>
      </c>
      <c r="G1610">
        <v>22178</v>
      </c>
    </row>
    <row r="1611" spans="1:7" x14ac:dyDescent="0.3">
      <c r="A1611" s="80">
        <v>45783</v>
      </c>
      <c r="B1611">
        <v>1010100</v>
      </c>
      <c r="C1611">
        <v>4390</v>
      </c>
      <c r="E1611" s="80">
        <v>45768</v>
      </c>
      <c r="F1611">
        <v>3010101</v>
      </c>
      <c r="G1611">
        <v>22631</v>
      </c>
    </row>
    <row r="1612" spans="1:7" x14ac:dyDescent="0.3">
      <c r="A1612" s="80">
        <v>45782</v>
      </c>
      <c r="B1612">
        <v>1010100</v>
      </c>
      <c r="C1612">
        <v>0</v>
      </c>
      <c r="E1612" s="80">
        <v>45768</v>
      </c>
      <c r="F1612">
        <v>3010101</v>
      </c>
      <c r="G1612">
        <v>41168</v>
      </c>
    </row>
    <row r="1613" spans="1:7" x14ac:dyDescent="0.3">
      <c r="A1613" s="80">
        <v>45782</v>
      </c>
      <c r="B1613">
        <v>1010100</v>
      </c>
      <c r="C1613">
        <v>4890</v>
      </c>
      <c r="E1613" s="80">
        <v>45768</v>
      </c>
      <c r="F1613">
        <v>3010101</v>
      </c>
      <c r="G1613">
        <v>22178</v>
      </c>
    </row>
    <row r="1614" spans="1:7" x14ac:dyDescent="0.3">
      <c r="A1614" s="80">
        <v>45782</v>
      </c>
      <c r="B1614">
        <v>1010100</v>
      </c>
      <c r="C1614">
        <v>1790</v>
      </c>
      <c r="E1614" s="80">
        <v>45768</v>
      </c>
      <c r="F1614">
        <v>3010101</v>
      </c>
      <c r="G1614">
        <v>22631</v>
      </c>
    </row>
    <row r="1615" spans="1:7" x14ac:dyDescent="0.3">
      <c r="A1615" s="80">
        <v>45782</v>
      </c>
      <c r="B1615">
        <v>1010100</v>
      </c>
      <c r="C1615">
        <v>1790</v>
      </c>
      <c r="E1615" s="80">
        <v>45768</v>
      </c>
      <c r="F1615">
        <v>3010101</v>
      </c>
      <c r="G1615">
        <v>22178</v>
      </c>
    </row>
    <row r="1616" spans="1:7" x14ac:dyDescent="0.3">
      <c r="A1616" s="80">
        <v>45782</v>
      </c>
      <c r="B1616">
        <v>1010100</v>
      </c>
      <c r="C1616">
        <v>2790</v>
      </c>
      <c r="E1616" s="80">
        <v>45768</v>
      </c>
      <c r="F1616">
        <v>3010101</v>
      </c>
      <c r="G1616">
        <v>22631</v>
      </c>
    </row>
    <row r="1617" spans="1:7" x14ac:dyDescent="0.3">
      <c r="A1617" s="80">
        <v>45782</v>
      </c>
      <c r="B1617">
        <v>1010100</v>
      </c>
      <c r="C1617">
        <v>0</v>
      </c>
      <c r="E1617" s="80">
        <v>45766</v>
      </c>
      <c r="F1617">
        <v>3010101</v>
      </c>
      <c r="G1617">
        <v>22178</v>
      </c>
    </row>
    <row r="1618" spans="1:7" x14ac:dyDescent="0.3">
      <c r="A1618" s="80">
        <v>45782</v>
      </c>
      <c r="B1618">
        <v>1010100</v>
      </c>
      <c r="C1618">
        <v>1790</v>
      </c>
      <c r="E1618" s="80">
        <v>45766</v>
      </c>
      <c r="F1618">
        <v>3010101</v>
      </c>
      <c r="G1618">
        <v>22631</v>
      </c>
    </row>
    <row r="1619" spans="1:7" x14ac:dyDescent="0.3">
      <c r="A1619" s="80">
        <v>45782</v>
      </c>
      <c r="B1619">
        <v>1010100</v>
      </c>
      <c r="C1619">
        <v>0</v>
      </c>
      <c r="E1619" s="80">
        <v>45766</v>
      </c>
      <c r="F1619">
        <v>3010101</v>
      </c>
      <c r="G1619">
        <v>25201</v>
      </c>
    </row>
    <row r="1620" spans="1:7" x14ac:dyDescent="0.3">
      <c r="A1620" s="80">
        <v>45782</v>
      </c>
      <c r="B1620">
        <v>1010100</v>
      </c>
      <c r="C1620">
        <v>0</v>
      </c>
      <c r="E1620" s="80">
        <v>45765</v>
      </c>
      <c r="F1620">
        <v>3010101</v>
      </c>
      <c r="G1620">
        <v>22178</v>
      </c>
    </row>
    <row r="1621" spans="1:7" x14ac:dyDescent="0.3">
      <c r="A1621" s="80">
        <v>45782</v>
      </c>
      <c r="B1621">
        <v>1010100</v>
      </c>
      <c r="C1621">
        <v>0</v>
      </c>
      <c r="E1621" s="80">
        <v>45765</v>
      </c>
      <c r="F1621">
        <v>3010101</v>
      </c>
      <c r="G1621">
        <v>22178</v>
      </c>
    </row>
    <row r="1622" spans="1:7" x14ac:dyDescent="0.3">
      <c r="A1622" s="80">
        <v>45782</v>
      </c>
      <c r="B1622">
        <v>1010100</v>
      </c>
      <c r="C1622">
        <v>1790</v>
      </c>
      <c r="E1622" s="80">
        <v>45765</v>
      </c>
      <c r="F1622">
        <v>3010101</v>
      </c>
      <c r="G1622">
        <v>22178</v>
      </c>
    </row>
    <row r="1623" spans="1:7" x14ac:dyDescent="0.3">
      <c r="A1623" s="80">
        <v>45782</v>
      </c>
      <c r="B1623">
        <v>1010100</v>
      </c>
      <c r="C1623">
        <v>0</v>
      </c>
      <c r="E1623" s="80">
        <v>45765</v>
      </c>
      <c r="F1623">
        <v>3010101</v>
      </c>
      <c r="G1623">
        <v>22178</v>
      </c>
    </row>
    <row r="1624" spans="1:7" x14ac:dyDescent="0.3">
      <c r="A1624" s="80">
        <v>45782</v>
      </c>
      <c r="B1624">
        <v>1010100</v>
      </c>
      <c r="C1624">
        <v>2490</v>
      </c>
      <c r="E1624" s="80">
        <v>45765</v>
      </c>
      <c r="F1624">
        <v>3010101</v>
      </c>
      <c r="G1624">
        <v>22631</v>
      </c>
    </row>
    <row r="1625" spans="1:7" x14ac:dyDescent="0.3">
      <c r="A1625" s="80">
        <v>45781</v>
      </c>
      <c r="B1625">
        <v>1010100</v>
      </c>
      <c r="C1625">
        <v>1790</v>
      </c>
      <c r="E1625" s="80">
        <v>45765</v>
      </c>
      <c r="F1625">
        <v>3010101</v>
      </c>
      <c r="G1625">
        <v>22178</v>
      </c>
    </row>
    <row r="1626" spans="1:7" x14ac:dyDescent="0.3">
      <c r="A1626" s="80">
        <v>45781</v>
      </c>
      <c r="B1626">
        <v>1010100</v>
      </c>
      <c r="C1626">
        <v>1790</v>
      </c>
      <c r="E1626" s="80">
        <v>45765</v>
      </c>
      <c r="F1626">
        <v>3010101</v>
      </c>
      <c r="G1626">
        <v>22178</v>
      </c>
    </row>
    <row r="1627" spans="1:7" x14ac:dyDescent="0.3">
      <c r="A1627" s="80">
        <v>45781</v>
      </c>
      <c r="B1627">
        <v>1010100</v>
      </c>
      <c r="C1627">
        <v>1790</v>
      </c>
      <c r="E1627" s="80">
        <v>45765</v>
      </c>
      <c r="F1627">
        <v>3010101</v>
      </c>
      <c r="G1627">
        <v>22178</v>
      </c>
    </row>
    <row r="1628" spans="1:7" x14ac:dyDescent="0.3">
      <c r="A1628" s="80">
        <v>45781</v>
      </c>
      <c r="B1628">
        <v>1010100</v>
      </c>
      <c r="C1628">
        <v>2190</v>
      </c>
      <c r="E1628" s="80">
        <v>45765</v>
      </c>
      <c r="F1628">
        <v>3010101</v>
      </c>
      <c r="G1628">
        <v>22631</v>
      </c>
    </row>
    <row r="1629" spans="1:7" x14ac:dyDescent="0.3">
      <c r="A1629" s="80">
        <v>45781</v>
      </c>
      <c r="B1629">
        <v>1010100</v>
      </c>
      <c r="C1629">
        <v>0</v>
      </c>
      <c r="E1629" s="80">
        <v>45764</v>
      </c>
      <c r="F1629">
        <v>3010101</v>
      </c>
      <c r="G1629">
        <v>22178</v>
      </c>
    </row>
    <row r="1630" spans="1:7" x14ac:dyDescent="0.3">
      <c r="A1630" s="80">
        <v>45780</v>
      </c>
      <c r="B1630">
        <v>1010100</v>
      </c>
      <c r="C1630">
        <v>1790</v>
      </c>
      <c r="E1630" s="80">
        <v>45763</v>
      </c>
      <c r="F1630">
        <v>3010101</v>
      </c>
      <c r="G1630">
        <v>22178</v>
      </c>
    </row>
    <row r="1631" spans="1:7" x14ac:dyDescent="0.3">
      <c r="A1631" s="80">
        <v>45780</v>
      </c>
      <c r="B1631">
        <v>1010100</v>
      </c>
      <c r="C1631">
        <v>0</v>
      </c>
      <c r="E1631" s="80">
        <v>45763</v>
      </c>
      <c r="F1631">
        <v>3010101</v>
      </c>
      <c r="G1631">
        <v>22631</v>
      </c>
    </row>
    <row r="1632" spans="1:7" x14ac:dyDescent="0.3">
      <c r="A1632" s="80">
        <v>45780</v>
      </c>
      <c r="B1632">
        <v>1010100</v>
      </c>
      <c r="C1632">
        <v>1790</v>
      </c>
      <c r="E1632" s="80">
        <v>45763</v>
      </c>
      <c r="F1632">
        <v>3010101</v>
      </c>
      <c r="G1632">
        <v>22631</v>
      </c>
    </row>
    <row r="1633" spans="1:7" x14ac:dyDescent="0.3">
      <c r="A1633" s="80">
        <v>45780</v>
      </c>
      <c r="B1633">
        <v>1010100</v>
      </c>
      <c r="C1633">
        <v>1790</v>
      </c>
      <c r="E1633" s="80">
        <v>45763</v>
      </c>
      <c r="F1633">
        <v>3010101</v>
      </c>
      <c r="G1633">
        <v>22178</v>
      </c>
    </row>
    <row r="1634" spans="1:7" x14ac:dyDescent="0.3">
      <c r="A1634" s="80">
        <v>45779</v>
      </c>
      <c r="B1634">
        <v>1010100</v>
      </c>
      <c r="C1634">
        <v>1790</v>
      </c>
      <c r="E1634" s="80">
        <v>45760</v>
      </c>
      <c r="F1634">
        <v>3010101</v>
      </c>
      <c r="G1634">
        <v>25201</v>
      </c>
    </row>
    <row r="1635" spans="1:7" x14ac:dyDescent="0.3">
      <c r="A1635" s="80">
        <v>45779</v>
      </c>
      <c r="B1635">
        <v>1010100</v>
      </c>
      <c r="C1635">
        <v>0</v>
      </c>
      <c r="E1635" s="80">
        <v>45758</v>
      </c>
      <c r="F1635">
        <v>3010101</v>
      </c>
      <c r="G1635">
        <v>41168</v>
      </c>
    </row>
    <row r="1636" spans="1:7" x14ac:dyDescent="0.3">
      <c r="A1636" s="80">
        <v>45779</v>
      </c>
      <c r="B1636">
        <v>1010100</v>
      </c>
      <c r="C1636">
        <v>5990</v>
      </c>
      <c r="E1636" s="80">
        <v>45757</v>
      </c>
      <c r="F1636">
        <v>3010101</v>
      </c>
      <c r="G1636">
        <v>22631</v>
      </c>
    </row>
    <row r="1637" spans="1:7" x14ac:dyDescent="0.3">
      <c r="A1637" s="80">
        <v>45779</v>
      </c>
      <c r="B1637">
        <v>1010100</v>
      </c>
      <c r="C1637">
        <v>1790</v>
      </c>
      <c r="E1637" s="80">
        <v>45757</v>
      </c>
      <c r="F1637">
        <v>3010101</v>
      </c>
      <c r="G1637">
        <v>22631</v>
      </c>
    </row>
    <row r="1638" spans="1:7" x14ac:dyDescent="0.3">
      <c r="A1638" s="80">
        <v>45778</v>
      </c>
      <c r="B1638">
        <v>1010100</v>
      </c>
      <c r="C1638">
        <v>2190</v>
      </c>
      <c r="E1638" s="80">
        <v>45757</v>
      </c>
      <c r="F1638">
        <v>3010101</v>
      </c>
      <c r="G1638">
        <v>22631</v>
      </c>
    </row>
    <row r="1639" spans="1:7" x14ac:dyDescent="0.3">
      <c r="A1639" s="80">
        <v>45778</v>
      </c>
      <c r="B1639">
        <v>1010100</v>
      </c>
      <c r="C1639">
        <v>1790</v>
      </c>
      <c r="E1639" s="80">
        <v>45756</v>
      </c>
      <c r="F1639">
        <v>3010101</v>
      </c>
      <c r="G1639">
        <v>25201</v>
      </c>
    </row>
    <row r="1640" spans="1:7" x14ac:dyDescent="0.3">
      <c r="A1640" s="80">
        <v>45777</v>
      </c>
      <c r="B1640">
        <v>1010100</v>
      </c>
      <c r="C1640">
        <v>1790</v>
      </c>
      <c r="E1640" s="80">
        <v>45756</v>
      </c>
      <c r="F1640">
        <v>3010101</v>
      </c>
      <c r="G1640">
        <v>25201</v>
      </c>
    </row>
    <row r="1641" spans="1:7" x14ac:dyDescent="0.3">
      <c r="A1641" s="80">
        <v>45777</v>
      </c>
      <c r="B1641">
        <v>1010100</v>
      </c>
      <c r="C1641">
        <v>1790</v>
      </c>
      <c r="E1641" s="80">
        <v>45755</v>
      </c>
      <c r="F1641">
        <v>3010101</v>
      </c>
      <c r="G1641">
        <v>41168</v>
      </c>
    </row>
    <row r="1642" spans="1:7" x14ac:dyDescent="0.3">
      <c r="A1642" s="80">
        <v>45777</v>
      </c>
      <c r="B1642">
        <v>1010100</v>
      </c>
      <c r="C1642">
        <v>0</v>
      </c>
      <c r="E1642" s="80">
        <v>45755</v>
      </c>
      <c r="F1642">
        <v>3010101</v>
      </c>
      <c r="G1642">
        <v>25201</v>
      </c>
    </row>
    <row r="1643" spans="1:7" x14ac:dyDescent="0.3">
      <c r="A1643" s="80">
        <v>45777</v>
      </c>
      <c r="B1643">
        <v>1010100</v>
      </c>
      <c r="C1643">
        <v>1790</v>
      </c>
      <c r="E1643" s="80">
        <v>45754</v>
      </c>
      <c r="F1643">
        <v>3010101</v>
      </c>
      <c r="G1643">
        <v>27722</v>
      </c>
    </row>
    <row r="1644" spans="1:7" x14ac:dyDescent="0.3">
      <c r="A1644" s="80">
        <v>45777</v>
      </c>
      <c r="B1644">
        <v>1010100</v>
      </c>
      <c r="C1644">
        <v>0</v>
      </c>
      <c r="E1644" s="80">
        <v>45754</v>
      </c>
      <c r="F1644">
        <v>3010101</v>
      </c>
      <c r="G1644">
        <v>27722</v>
      </c>
    </row>
    <row r="1645" spans="1:7" x14ac:dyDescent="0.3">
      <c r="A1645" s="80">
        <v>45776</v>
      </c>
      <c r="B1645">
        <v>1010100</v>
      </c>
      <c r="C1645">
        <v>1790</v>
      </c>
      <c r="E1645" s="80">
        <v>45754</v>
      </c>
      <c r="F1645">
        <v>3010101</v>
      </c>
      <c r="G1645">
        <v>25201</v>
      </c>
    </row>
    <row r="1646" spans="1:7" x14ac:dyDescent="0.3">
      <c r="A1646" s="80">
        <v>45776</v>
      </c>
      <c r="B1646">
        <v>1010100</v>
      </c>
      <c r="C1646">
        <v>4490</v>
      </c>
      <c r="E1646" s="80">
        <v>45753</v>
      </c>
      <c r="F1646">
        <v>3010101</v>
      </c>
      <c r="G1646">
        <v>19405</v>
      </c>
    </row>
    <row r="1647" spans="1:7" x14ac:dyDescent="0.3">
      <c r="A1647" s="80">
        <v>45776</v>
      </c>
      <c r="B1647">
        <v>1010100</v>
      </c>
      <c r="C1647">
        <v>0</v>
      </c>
      <c r="E1647" s="80">
        <v>45753</v>
      </c>
      <c r="F1647">
        <v>3010101</v>
      </c>
      <c r="G1647">
        <v>19405</v>
      </c>
    </row>
    <row r="1648" spans="1:7" x14ac:dyDescent="0.3">
      <c r="A1648" s="80">
        <v>45776</v>
      </c>
      <c r="B1648">
        <v>1010100</v>
      </c>
      <c r="C1648">
        <v>0</v>
      </c>
      <c r="E1648" s="80">
        <v>45753</v>
      </c>
      <c r="F1648">
        <v>3010101</v>
      </c>
      <c r="G1648">
        <v>19405</v>
      </c>
    </row>
    <row r="1649" spans="1:7" x14ac:dyDescent="0.3">
      <c r="A1649" s="80">
        <v>45776</v>
      </c>
      <c r="B1649">
        <v>1010100</v>
      </c>
      <c r="C1649">
        <v>1790</v>
      </c>
      <c r="E1649" s="80">
        <v>45753</v>
      </c>
      <c r="F1649">
        <v>3010101</v>
      </c>
      <c r="G1649">
        <v>41168</v>
      </c>
    </row>
    <row r="1650" spans="1:7" x14ac:dyDescent="0.3">
      <c r="A1650" s="80">
        <v>45776</v>
      </c>
      <c r="B1650">
        <v>1010100</v>
      </c>
      <c r="C1650">
        <v>2490</v>
      </c>
      <c r="E1650" s="80">
        <v>45753</v>
      </c>
      <c r="F1650">
        <v>3010101</v>
      </c>
      <c r="G1650">
        <v>25201</v>
      </c>
    </row>
    <row r="1651" spans="1:7" x14ac:dyDescent="0.3">
      <c r="A1651" s="80">
        <v>45776</v>
      </c>
      <c r="B1651">
        <v>1010100</v>
      </c>
      <c r="C1651">
        <v>1790</v>
      </c>
      <c r="E1651" s="80">
        <v>45752</v>
      </c>
      <c r="F1651">
        <v>3010101</v>
      </c>
      <c r="G1651">
        <v>41168</v>
      </c>
    </row>
    <row r="1652" spans="1:7" x14ac:dyDescent="0.3">
      <c r="A1652" s="80">
        <v>45775</v>
      </c>
      <c r="B1652">
        <v>1010100</v>
      </c>
      <c r="C1652">
        <v>1790</v>
      </c>
      <c r="E1652" s="80">
        <v>45752</v>
      </c>
      <c r="F1652">
        <v>3010101</v>
      </c>
      <c r="G1652">
        <v>17052</v>
      </c>
    </row>
    <row r="1653" spans="1:7" x14ac:dyDescent="0.3">
      <c r="A1653" s="80">
        <v>45775</v>
      </c>
      <c r="B1653">
        <v>1010100</v>
      </c>
      <c r="C1653">
        <v>0</v>
      </c>
      <c r="E1653" s="80">
        <v>45752</v>
      </c>
      <c r="F1653">
        <v>3010101</v>
      </c>
      <c r="G1653">
        <v>22178</v>
      </c>
    </row>
    <row r="1654" spans="1:7" x14ac:dyDescent="0.3">
      <c r="A1654" s="80">
        <v>45775</v>
      </c>
      <c r="B1654">
        <v>1010100</v>
      </c>
      <c r="C1654">
        <v>1790</v>
      </c>
      <c r="E1654" s="80">
        <v>45752</v>
      </c>
      <c r="F1654">
        <v>3010101</v>
      </c>
      <c r="G1654">
        <v>19405</v>
      </c>
    </row>
    <row r="1655" spans="1:7" x14ac:dyDescent="0.3">
      <c r="A1655" s="80">
        <v>45774</v>
      </c>
      <c r="B1655">
        <v>1010100</v>
      </c>
      <c r="C1655">
        <v>1790</v>
      </c>
      <c r="E1655" s="80">
        <v>45752</v>
      </c>
      <c r="F1655">
        <v>3010101</v>
      </c>
      <c r="G1655">
        <v>41168</v>
      </c>
    </row>
    <row r="1656" spans="1:7" x14ac:dyDescent="0.3">
      <c r="A1656" s="80">
        <v>45774</v>
      </c>
      <c r="B1656">
        <v>1010100</v>
      </c>
      <c r="C1656">
        <v>2790</v>
      </c>
      <c r="E1656" s="80">
        <v>45752</v>
      </c>
      <c r="F1656">
        <v>3010101</v>
      </c>
      <c r="G1656">
        <v>19405</v>
      </c>
    </row>
    <row r="1657" spans="1:7" x14ac:dyDescent="0.3">
      <c r="A1657" s="80">
        <v>45774</v>
      </c>
      <c r="B1657">
        <v>1010100</v>
      </c>
      <c r="C1657">
        <v>2390</v>
      </c>
      <c r="E1657" s="80">
        <v>45751</v>
      </c>
      <c r="F1657">
        <v>3010101</v>
      </c>
      <c r="G1657">
        <v>6715</v>
      </c>
    </row>
    <row r="1658" spans="1:7" x14ac:dyDescent="0.3">
      <c r="A1658" s="80">
        <v>45774</v>
      </c>
      <c r="B1658">
        <v>1010100</v>
      </c>
      <c r="C1658">
        <v>0</v>
      </c>
      <c r="E1658" s="80">
        <v>45751</v>
      </c>
      <c r="F1658">
        <v>3010101</v>
      </c>
      <c r="G1658">
        <v>6715</v>
      </c>
    </row>
    <row r="1659" spans="1:7" x14ac:dyDescent="0.3">
      <c r="A1659" s="80">
        <v>45774</v>
      </c>
      <c r="B1659">
        <v>1010100</v>
      </c>
      <c r="C1659">
        <v>0</v>
      </c>
      <c r="E1659" s="80">
        <v>45751</v>
      </c>
      <c r="F1659">
        <v>3010101</v>
      </c>
      <c r="G1659">
        <v>19405</v>
      </c>
    </row>
    <row r="1660" spans="1:7" x14ac:dyDescent="0.3">
      <c r="A1660" s="80">
        <v>45774</v>
      </c>
      <c r="B1660">
        <v>1010100</v>
      </c>
      <c r="C1660">
        <v>1790</v>
      </c>
      <c r="E1660" s="80">
        <v>45751</v>
      </c>
      <c r="F1660">
        <v>3010101</v>
      </c>
      <c r="G1660">
        <v>19405</v>
      </c>
    </row>
    <row r="1661" spans="1:7" x14ac:dyDescent="0.3">
      <c r="A1661" s="80">
        <v>45774</v>
      </c>
      <c r="B1661">
        <v>1010100</v>
      </c>
      <c r="C1661">
        <v>1790</v>
      </c>
      <c r="E1661" s="80">
        <v>45751</v>
      </c>
      <c r="F1661">
        <v>3010101</v>
      </c>
      <c r="G1661">
        <v>19405</v>
      </c>
    </row>
    <row r="1662" spans="1:7" x14ac:dyDescent="0.3">
      <c r="A1662" s="80">
        <v>45773</v>
      </c>
      <c r="B1662">
        <v>1010100</v>
      </c>
      <c r="C1662">
        <v>2790</v>
      </c>
      <c r="E1662" s="80">
        <v>45751</v>
      </c>
      <c r="F1662">
        <v>3010101</v>
      </c>
      <c r="G1662">
        <v>19405</v>
      </c>
    </row>
    <row r="1663" spans="1:7" x14ac:dyDescent="0.3">
      <c r="A1663" s="80">
        <v>45773</v>
      </c>
      <c r="B1663">
        <v>1010100</v>
      </c>
      <c r="C1663">
        <v>0</v>
      </c>
      <c r="E1663" s="80">
        <v>45751</v>
      </c>
      <c r="F1663">
        <v>3010101</v>
      </c>
      <c r="G1663">
        <v>19405</v>
      </c>
    </row>
    <row r="1664" spans="1:7" x14ac:dyDescent="0.3">
      <c r="A1664" s="80">
        <v>45773</v>
      </c>
      <c r="B1664">
        <v>1010100</v>
      </c>
      <c r="C1664">
        <v>1790</v>
      </c>
      <c r="E1664" s="80">
        <v>45751</v>
      </c>
      <c r="F1664">
        <v>3010101</v>
      </c>
      <c r="G1664">
        <v>19405</v>
      </c>
    </row>
    <row r="1665" spans="1:7" x14ac:dyDescent="0.3">
      <c r="A1665" s="80">
        <v>45773</v>
      </c>
      <c r="B1665">
        <v>1010100</v>
      </c>
      <c r="C1665">
        <v>0</v>
      </c>
      <c r="E1665" s="80">
        <v>45751</v>
      </c>
      <c r="F1665">
        <v>3010101</v>
      </c>
      <c r="G1665">
        <v>19405</v>
      </c>
    </row>
    <row r="1666" spans="1:7" x14ac:dyDescent="0.3">
      <c r="A1666" s="80">
        <v>45773</v>
      </c>
      <c r="B1666">
        <v>1010100</v>
      </c>
      <c r="C1666">
        <v>0</v>
      </c>
      <c r="E1666" s="80">
        <v>45750</v>
      </c>
      <c r="F1666">
        <v>3010101</v>
      </c>
      <c r="G1666">
        <v>19405</v>
      </c>
    </row>
    <row r="1667" spans="1:7" x14ac:dyDescent="0.3">
      <c r="A1667" s="80">
        <v>45773</v>
      </c>
      <c r="B1667">
        <v>1010100</v>
      </c>
      <c r="C1667">
        <v>0</v>
      </c>
      <c r="E1667" s="80">
        <v>45750</v>
      </c>
      <c r="F1667">
        <v>3010101</v>
      </c>
      <c r="G1667">
        <v>41168</v>
      </c>
    </row>
    <row r="1668" spans="1:7" x14ac:dyDescent="0.3">
      <c r="A1668" s="80">
        <v>45773</v>
      </c>
      <c r="B1668">
        <v>1010100</v>
      </c>
      <c r="C1668">
        <v>0</v>
      </c>
      <c r="E1668" s="80">
        <v>45750</v>
      </c>
      <c r="F1668">
        <v>3010101</v>
      </c>
      <c r="G1668">
        <v>25201</v>
      </c>
    </row>
    <row r="1669" spans="1:7" x14ac:dyDescent="0.3">
      <c r="A1669" s="80">
        <v>45773</v>
      </c>
      <c r="B1669">
        <v>1010100</v>
      </c>
      <c r="C1669">
        <v>0</v>
      </c>
      <c r="E1669" s="80">
        <v>45750</v>
      </c>
      <c r="F1669">
        <v>3010101</v>
      </c>
      <c r="G1669">
        <v>25201</v>
      </c>
    </row>
    <row r="1670" spans="1:7" x14ac:dyDescent="0.3">
      <c r="A1670" s="80">
        <v>45773</v>
      </c>
      <c r="B1670">
        <v>1010100</v>
      </c>
      <c r="C1670">
        <v>4890</v>
      </c>
      <c r="E1670" s="80">
        <v>45750</v>
      </c>
      <c r="F1670">
        <v>3010101</v>
      </c>
      <c r="G1670">
        <v>19405</v>
      </c>
    </row>
    <row r="1671" spans="1:7" x14ac:dyDescent="0.3">
      <c r="A1671" s="80">
        <v>45773</v>
      </c>
      <c r="B1671">
        <v>1010100</v>
      </c>
      <c r="C1671">
        <v>1790</v>
      </c>
      <c r="E1671" s="80">
        <v>45750</v>
      </c>
      <c r="F1671">
        <v>3010101</v>
      </c>
      <c r="G1671">
        <v>19405</v>
      </c>
    </row>
    <row r="1672" spans="1:7" x14ac:dyDescent="0.3">
      <c r="A1672" s="80">
        <v>45773</v>
      </c>
      <c r="B1672">
        <v>1010100</v>
      </c>
      <c r="C1672">
        <v>1790</v>
      </c>
      <c r="E1672" s="80">
        <v>45749</v>
      </c>
      <c r="F1672">
        <v>3010101</v>
      </c>
      <c r="G1672">
        <v>19405</v>
      </c>
    </row>
    <row r="1673" spans="1:7" x14ac:dyDescent="0.3">
      <c r="A1673" s="80">
        <v>45772</v>
      </c>
      <c r="B1673">
        <v>1010100</v>
      </c>
      <c r="C1673">
        <v>1790</v>
      </c>
      <c r="E1673" s="80">
        <v>45749</v>
      </c>
      <c r="F1673">
        <v>3010101</v>
      </c>
      <c r="G1673">
        <v>19405</v>
      </c>
    </row>
    <row r="1674" spans="1:7" x14ac:dyDescent="0.3">
      <c r="A1674" s="80">
        <v>45772</v>
      </c>
      <c r="B1674">
        <v>1010100</v>
      </c>
      <c r="C1674">
        <v>0</v>
      </c>
      <c r="E1674" s="80">
        <v>45749</v>
      </c>
      <c r="F1674">
        <v>3010101</v>
      </c>
      <c r="G1674">
        <v>19405</v>
      </c>
    </row>
    <row r="1675" spans="1:7" x14ac:dyDescent="0.3">
      <c r="A1675" s="80">
        <v>45772</v>
      </c>
      <c r="B1675">
        <v>1010100</v>
      </c>
      <c r="C1675">
        <v>0</v>
      </c>
      <c r="E1675" s="80">
        <v>45749</v>
      </c>
      <c r="F1675">
        <v>3010101</v>
      </c>
      <c r="G1675">
        <v>19405</v>
      </c>
    </row>
    <row r="1676" spans="1:7" x14ac:dyDescent="0.3">
      <c r="A1676" s="80">
        <v>45772</v>
      </c>
      <c r="B1676">
        <v>1010100</v>
      </c>
      <c r="C1676">
        <v>1790</v>
      </c>
      <c r="E1676" s="80">
        <v>45749</v>
      </c>
      <c r="F1676">
        <v>3010101</v>
      </c>
      <c r="G1676">
        <v>19405</v>
      </c>
    </row>
    <row r="1677" spans="1:7" x14ac:dyDescent="0.3">
      <c r="A1677" s="80">
        <v>45772</v>
      </c>
      <c r="B1677">
        <v>1010100</v>
      </c>
      <c r="C1677">
        <v>0</v>
      </c>
      <c r="E1677" s="80">
        <v>45749</v>
      </c>
      <c r="F1677">
        <v>3010101</v>
      </c>
      <c r="G1677">
        <v>19405</v>
      </c>
    </row>
    <row r="1678" spans="1:7" x14ac:dyDescent="0.3">
      <c r="A1678" s="80">
        <v>45772</v>
      </c>
      <c r="B1678">
        <v>1010100</v>
      </c>
      <c r="C1678">
        <v>1790</v>
      </c>
      <c r="E1678" s="80">
        <v>45749</v>
      </c>
      <c r="F1678">
        <v>3010101</v>
      </c>
      <c r="G1678">
        <v>41168</v>
      </c>
    </row>
    <row r="1679" spans="1:7" x14ac:dyDescent="0.3">
      <c r="A1679" s="80">
        <v>45772</v>
      </c>
      <c r="B1679">
        <v>1010100</v>
      </c>
      <c r="C1679">
        <v>0</v>
      </c>
      <c r="E1679" s="80">
        <v>45748</v>
      </c>
      <c r="F1679">
        <v>3010101</v>
      </c>
      <c r="G1679">
        <v>21421</v>
      </c>
    </row>
    <row r="1680" spans="1:7" x14ac:dyDescent="0.3">
      <c r="A1680" s="80">
        <v>45772</v>
      </c>
      <c r="B1680">
        <v>1010100</v>
      </c>
      <c r="C1680">
        <v>1790</v>
      </c>
      <c r="E1680" s="80">
        <v>45748</v>
      </c>
      <c r="F1680">
        <v>3010101</v>
      </c>
      <c r="G1680">
        <v>22178</v>
      </c>
    </row>
    <row r="1681" spans="1:7" x14ac:dyDescent="0.3">
      <c r="A1681" s="80">
        <v>45772</v>
      </c>
      <c r="B1681">
        <v>1010100</v>
      </c>
      <c r="C1681">
        <v>0</v>
      </c>
      <c r="E1681" s="80">
        <v>45748</v>
      </c>
      <c r="F1681">
        <v>3010101</v>
      </c>
      <c r="G1681">
        <v>17052</v>
      </c>
    </row>
    <row r="1682" spans="1:7" x14ac:dyDescent="0.3">
      <c r="A1682" s="80">
        <v>45772</v>
      </c>
      <c r="B1682">
        <v>1010100</v>
      </c>
      <c r="C1682">
        <v>1790</v>
      </c>
      <c r="E1682" s="80">
        <v>45747</v>
      </c>
      <c r="F1682">
        <v>3010101</v>
      </c>
      <c r="G1682">
        <v>25201</v>
      </c>
    </row>
    <row r="1683" spans="1:7" x14ac:dyDescent="0.3">
      <c r="A1683" s="80">
        <v>45772</v>
      </c>
      <c r="B1683">
        <v>1010100</v>
      </c>
      <c r="C1683">
        <v>0</v>
      </c>
      <c r="E1683" s="80">
        <v>45747</v>
      </c>
      <c r="F1683">
        <v>3010101</v>
      </c>
      <c r="G1683">
        <v>19405</v>
      </c>
    </row>
    <row r="1684" spans="1:7" x14ac:dyDescent="0.3">
      <c r="A1684" s="80">
        <v>45772</v>
      </c>
      <c r="B1684">
        <v>1010100</v>
      </c>
      <c r="C1684">
        <v>1790</v>
      </c>
      <c r="E1684" s="80">
        <v>45747</v>
      </c>
      <c r="F1684">
        <v>3010101</v>
      </c>
      <c r="G1684">
        <v>25201</v>
      </c>
    </row>
    <row r="1685" spans="1:7" x14ac:dyDescent="0.3">
      <c r="A1685" s="80">
        <v>45772</v>
      </c>
      <c r="B1685">
        <v>1010100</v>
      </c>
      <c r="C1685">
        <v>0</v>
      </c>
      <c r="E1685" s="80">
        <v>45747</v>
      </c>
      <c r="F1685">
        <v>3010101</v>
      </c>
      <c r="G1685">
        <v>25201</v>
      </c>
    </row>
    <row r="1686" spans="1:7" x14ac:dyDescent="0.3">
      <c r="A1686" s="80">
        <v>45772</v>
      </c>
      <c r="B1686">
        <v>1010100</v>
      </c>
      <c r="C1686">
        <v>1790</v>
      </c>
      <c r="E1686" s="80">
        <v>45747</v>
      </c>
      <c r="F1686">
        <v>3010101</v>
      </c>
      <c r="G1686">
        <v>19405</v>
      </c>
    </row>
    <row r="1687" spans="1:7" x14ac:dyDescent="0.3">
      <c r="A1687" s="80">
        <v>45771</v>
      </c>
      <c r="B1687">
        <v>1010100</v>
      </c>
      <c r="C1687">
        <v>1790</v>
      </c>
      <c r="E1687" s="80">
        <v>45747</v>
      </c>
      <c r="F1687">
        <v>3010101</v>
      </c>
      <c r="G1687">
        <v>25201</v>
      </c>
    </row>
    <row r="1688" spans="1:7" x14ac:dyDescent="0.3">
      <c r="A1688" s="80">
        <v>45771</v>
      </c>
      <c r="B1688">
        <v>1010100</v>
      </c>
      <c r="C1688">
        <v>1790</v>
      </c>
      <c r="E1688" s="80">
        <v>45747</v>
      </c>
      <c r="F1688">
        <v>3010101</v>
      </c>
      <c r="G1688">
        <v>22178</v>
      </c>
    </row>
    <row r="1689" spans="1:7" x14ac:dyDescent="0.3">
      <c r="A1689" s="80">
        <v>45771</v>
      </c>
      <c r="B1689">
        <v>1010100</v>
      </c>
      <c r="C1689">
        <v>1790</v>
      </c>
      <c r="E1689" s="80">
        <v>45747</v>
      </c>
      <c r="F1689">
        <v>3010101</v>
      </c>
      <c r="G1689">
        <v>22178</v>
      </c>
    </row>
    <row r="1690" spans="1:7" x14ac:dyDescent="0.3">
      <c r="A1690" s="80">
        <v>45771</v>
      </c>
      <c r="B1690">
        <v>1010100</v>
      </c>
      <c r="C1690">
        <v>5990</v>
      </c>
      <c r="E1690" s="80">
        <v>45746</v>
      </c>
      <c r="F1690">
        <v>3010101</v>
      </c>
      <c r="G1690">
        <v>41168</v>
      </c>
    </row>
    <row r="1691" spans="1:7" x14ac:dyDescent="0.3">
      <c r="A1691" s="80">
        <v>45771</v>
      </c>
      <c r="B1691">
        <v>1010100</v>
      </c>
      <c r="C1691">
        <v>1790</v>
      </c>
      <c r="E1691" s="80">
        <v>45746</v>
      </c>
      <c r="F1691">
        <v>3010101</v>
      </c>
      <c r="G1691">
        <v>22178</v>
      </c>
    </row>
    <row r="1692" spans="1:7" x14ac:dyDescent="0.3">
      <c r="A1692" s="80">
        <v>45771</v>
      </c>
      <c r="B1692">
        <v>1010100</v>
      </c>
      <c r="C1692">
        <v>3990</v>
      </c>
      <c r="E1692" s="80">
        <v>45746</v>
      </c>
      <c r="F1692">
        <v>3010101</v>
      </c>
      <c r="G1692">
        <v>22178</v>
      </c>
    </row>
    <row r="1693" spans="1:7" x14ac:dyDescent="0.3">
      <c r="A1693" s="80">
        <v>45771</v>
      </c>
      <c r="B1693">
        <v>1010100</v>
      </c>
      <c r="C1693">
        <v>0</v>
      </c>
      <c r="E1693" s="80">
        <v>45746</v>
      </c>
      <c r="F1693">
        <v>3010101</v>
      </c>
      <c r="G1693">
        <v>22178</v>
      </c>
    </row>
    <row r="1694" spans="1:7" x14ac:dyDescent="0.3">
      <c r="A1694" s="80">
        <v>45771</v>
      </c>
      <c r="B1694">
        <v>1010100</v>
      </c>
      <c r="C1694">
        <v>0</v>
      </c>
      <c r="E1694" s="80">
        <v>45746</v>
      </c>
      <c r="F1694">
        <v>3010101</v>
      </c>
      <c r="G1694">
        <v>41168</v>
      </c>
    </row>
    <row r="1695" spans="1:7" x14ac:dyDescent="0.3">
      <c r="A1695" s="80">
        <v>45770</v>
      </c>
      <c r="B1695">
        <v>1010100</v>
      </c>
      <c r="C1695">
        <v>4790</v>
      </c>
      <c r="E1695" s="80">
        <v>45745</v>
      </c>
      <c r="F1695">
        <v>3010101</v>
      </c>
      <c r="G1695">
        <v>25201</v>
      </c>
    </row>
    <row r="1696" spans="1:7" x14ac:dyDescent="0.3">
      <c r="A1696" s="80">
        <v>45770</v>
      </c>
      <c r="B1696">
        <v>1010100</v>
      </c>
      <c r="C1696">
        <v>4790</v>
      </c>
      <c r="E1696" s="80">
        <v>45745</v>
      </c>
      <c r="F1696">
        <v>3010101</v>
      </c>
      <c r="G1696">
        <v>25201</v>
      </c>
    </row>
    <row r="1697" spans="1:7" x14ac:dyDescent="0.3">
      <c r="A1697" s="80">
        <v>45770</v>
      </c>
      <c r="B1697">
        <v>1010100</v>
      </c>
      <c r="C1697">
        <v>0</v>
      </c>
      <c r="E1697" s="80">
        <v>45744</v>
      </c>
      <c r="F1697">
        <v>3010101</v>
      </c>
      <c r="G1697">
        <v>25201</v>
      </c>
    </row>
    <row r="1698" spans="1:7" x14ac:dyDescent="0.3">
      <c r="A1698" s="80">
        <v>45770</v>
      </c>
      <c r="B1698">
        <v>1010100</v>
      </c>
      <c r="C1698">
        <v>0</v>
      </c>
      <c r="E1698" s="80">
        <v>45744</v>
      </c>
      <c r="F1698">
        <v>3010101</v>
      </c>
      <c r="G1698">
        <v>25201</v>
      </c>
    </row>
    <row r="1699" spans="1:7" x14ac:dyDescent="0.3">
      <c r="A1699" s="80">
        <v>45770</v>
      </c>
      <c r="B1699">
        <v>1010100</v>
      </c>
      <c r="C1699">
        <v>1790</v>
      </c>
      <c r="E1699" s="80">
        <v>45744</v>
      </c>
      <c r="F1699">
        <v>3010101</v>
      </c>
      <c r="G1699">
        <v>25201</v>
      </c>
    </row>
    <row r="1700" spans="1:7" x14ac:dyDescent="0.3">
      <c r="A1700" s="80">
        <v>45769</v>
      </c>
      <c r="B1700">
        <v>1010100</v>
      </c>
      <c r="C1700">
        <v>0</v>
      </c>
      <c r="E1700" s="80">
        <v>45743</v>
      </c>
      <c r="F1700">
        <v>3010101</v>
      </c>
      <c r="G1700">
        <v>25201</v>
      </c>
    </row>
    <row r="1701" spans="1:7" x14ac:dyDescent="0.3">
      <c r="A1701" s="80">
        <v>45769</v>
      </c>
      <c r="B1701">
        <v>1010100</v>
      </c>
      <c r="C1701">
        <v>0</v>
      </c>
      <c r="E1701" s="80">
        <v>45743</v>
      </c>
      <c r="F1701">
        <v>3010101</v>
      </c>
      <c r="G1701">
        <v>25201</v>
      </c>
    </row>
    <row r="1702" spans="1:7" x14ac:dyDescent="0.3">
      <c r="A1702" s="80">
        <v>45768</v>
      </c>
      <c r="B1702">
        <v>1010100</v>
      </c>
      <c r="C1702">
        <v>1790</v>
      </c>
      <c r="E1702" s="80">
        <v>45743</v>
      </c>
      <c r="F1702">
        <v>3010101</v>
      </c>
      <c r="G1702">
        <v>8394</v>
      </c>
    </row>
    <row r="1703" spans="1:7" x14ac:dyDescent="0.3">
      <c r="A1703" s="80">
        <v>45768</v>
      </c>
      <c r="B1703">
        <v>1010100</v>
      </c>
      <c r="C1703">
        <v>2390</v>
      </c>
      <c r="E1703" s="80">
        <v>45743</v>
      </c>
      <c r="F1703">
        <v>3010101</v>
      </c>
      <c r="G1703">
        <v>21000</v>
      </c>
    </row>
    <row r="1704" spans="1:7" x14ac:dyDescent="0.3">
      <c r="A1704" s="80">
        <v>45768</v>
      </c>
      <c r="B1704">
        <v>1010100</v>
      </c>
      <c r="C1704">
        <v>6090</v>
      </c>
      <c r="E1704" s="80">
        <v>45743</v>
      </c>
      <c r="F1704">
        <v>3010101</v>
      </c>
      <c r="G1704">
        <v>25201</v>
      </c>
    </row>
    <row r="1705" spans="1:7" x14ac:dyDescent="0.3">
      <c r="A1705" s="80">
        <v>45768</v>
      </c>
      <c r="B1705">
        <v>1010100</v>
      </c>
      <c r="C1705">
        <v>1790</v>
      </c>
      <c r="E1705" s="80">
        <v>45743</v>
      </c>
      <c r="F1705">
        <v>3010101</v>
      </c>
      <c r="G1705">
        <v>25201</v>
      </c>
    </row>
    <row r="1706" spans="1:7" x14ac:dyDescent="0.3">
      <c r="A1706" s="80">
        <v>45768</v>
      </c>
      <c r="B1706">
        <v>1010100</v>
      </c>
      <c r="C1706">
        <v>0</v>
      </c>
      <c r="E1706" s="80">
        <v>45743</v>
      </c>
      <c r="F1706">
        <v>3010101</v>
      </c>
      <c r="G1706">
        <v>25201</v>
      </c>
    </row>
    <row r="1707" spans="1:7" x14ac:dyDescent="0.3">
      <c r="A1707" s="80">
        <v>45768</v>
      </c>
      <c r="B1707">
        <v>1010100</v>
      </c>
      <c r="C1707">
        <v>2490</v>
      </c>
      <c r="E1707" s="80">
        <v>45740</v>
      </c>
      <c r="F1707">
        <v>3010101</v>
      </c>
      <c r="G1707">
        <v>50403</v>
      </c>
    </row>
    <row r="1708" spans="1:7" x14ac:dyDescent="0.3">
      <c r="A1708" s="80">
        <v>45768</v>
      </c>
      <c r="B1708">
        <v>1010100</v>
      </c>
      <c r="C1708">
        <v>1790</v>
      </c>
      <c r="E1708" s="80">
        <v>45740</v>
      </c>
      <c r="F1708">
        <v>3010101</v>
      </c>
      <c r="G1708">
        <v>25201</v>
      </c>
    </row>
    <row r="1709" spans="1:7" x14ac:dyDescent="0.3">
      <c r="A1709" s="80">
        <v>45766</v>
      </c>
      <c r="B1709">
        <v>1010100</v>
      </c>
      <c r="C1709">
        <v>2490</v>
      </c>
      <c r="E1709" s="80">
        <v>45739</v>
      </c>
      <c r="F1709">
        <v>3010101</v>
      </c>
      <c r="G1709">
        <v>25201</v>
      </c>
    </row>
    <row r="1710" spans="1:7" x14ac:dyDescent="0.3">
      <c r="A1710" s="80">
        <v>45766</v>
      </c>
      <c r="B1710">
        <v>1010100</v>
      </c>
      <c r="C1710">
        <v>0</v>
      </c>
      <c r="E1710" s="80">
        <v>45739</v>
      </c>
      <c r="F1710">
        <v>3010101</v>
      </c>
      <c r="G1710">
        <v>8394</v>
      </c>
    </row>
    <row r="1711" spans="1:7" x14ac:dyDescent="0.3">
      <c r="A1711" s="80">
        <v>45766</v>
      </c>
      <c r="B1711">
        <v>1010100</v>
      </c>
      <c r="C1711">
        <v>0</v>
      </c>
      <c r="E1711" s="80">
        <v>45739</v>
      </c>
      <c r="F1711">
        <v>3010101</v>
      </c>
      <c r="G1711">
        <v>25201</v>
      </c>
    </row>
    <row r="1712" spans="1:7" x14ac:dyDescent="0.3">
      <c r="A1712" s="80">
        <v>45765</v>
      </c>
      <c r="B1712">
        <v>1010100</v>
      </c>
      <c r="C1712">
        <v>1790</v>
      </c>
      <c r="E1712" s="80">
        <v>45738</v>
      </c>
      <c r="F1712">
        <v>3010101</v>
      </c>
      <c r="G1712">
        <v>25201</v>
      </c>
    </row>
    <row r="1713" spans="1:7" x14ac:dyDescent="0.3">
      <c r="A1713" s="80">
        <v>45765</v>
      </c>
      <c r="B1713">
        <v>1010100</v>
      </c>
      <c r="C1713">
        <v>2490</v>
      </c>
      <c r="E1713" s="80">
        <v>45738</v>
      </c>
      <c r="F1713">
        <v>3010101</v>
      </c>
      <c r="G1713">
        <v>25201</v>
      </c>
    </row>
    <row r="1714" spans="1:7" x14ac:dyDescent="0.3">
      <c r="A1714" s="80">
        <v>45765</v>
      </c>
      <c r="B1714">
        <v>1010100</v>
      </c>
      <c r="C1714">
        <v>1790</v>
      </c>
      <c r="E1714" s="80">
        <v>45737</v>
      </c>
      <c r="F1714">
        <v>3010101</v>
      </c>
      <c r="G1714">
        <v>25201</v>
      </c>
    </row>
    <row r="1715" spans="1:7" x14ac:dyDescent="0.3">
      <c r="A1715" s="80">
        <v>45765</v>
      </c>
      <c r="B1715">
        <v>1010100</v>
      </c>
      <c r="C1715">
        <v>1790</v>
      </c>
      <c r="E1715" s="80">
        <v>45737</v>
      </c>
      <c r="F1715">
        <v>3010101</v>
      </c>
      <c r="G1715">
        <v>41168</v>
      </c>
    </row>
    <row r="1716" spans="1:7" x14ac:dyDescent="0.3">
      <c r="A1716" s="80">
        <v>45765</v>
      </c>
      <c r="B1716">
        <v>1010100</v>
      </c>
      <c r="C1716">
        <v>1790</v>
      </c>
      <c r="E1716" s="80">
        <v>45736</v>
      </c>
      <c r="F1716">
        <v>3010101</v>
      </c>
      <c r="G1716">
        <v>25201</v>
      </c>
    </row>
    <row r="1717" spans="1:7" x14ac:dyDescent="0.3">
      <c r="A1717" s="80">
        <v>45765</v>
      </c>
      <c r="B1717">
        <v>1010100</v>
      </c>
      <c r="C1717">
        <v>1790</v>
      </c>
      <c r="E1717" s="80">
        <v>45736</v>
      </c>
      <c r="F1717">
        <v>3010101</v>
      </c>
      <c r="G1717">
        <v>25201</v>
      </c>
    </row>
    <row r="1718" spans="1:7" x14ac:dyDescent="0.3">
      <c r="A1718" s="80">
        <v>45765</v>
      </c>
      <c r="B1718">
        <v>1010100</v>
      </c>
      <c r="C1718">
        <v>1790</v>
      </c>
      <c r="E1718" s="80">
        <v>45736</v>
      </c>
      <c r="F1718">
        <v>3010101</v>
      </c>
      <c r="G1718">
        <v>25201</v>
      </c>
    </row>
    <row r="1719" spans="1:7" x14ac:dyDescent="0.3">
      <c r="A1719" s="80">
        <v>45765</v>
      </c>
      <c r="B1719">
        <v>1010100</v>
      </c>
      <c r="C1719">
        <v>2390</v>
      </c>
      <c r="E1719" s="80">
        <v>45736</v>
      </c>
      <c r="F1719">
        <v>3010101</v>
      </c>
      <c r="G1719">
        <v>25201</v>
      </c>
    </row>
    <row r="1720" spans="1:7" x14ac:dyDescent="0.3">
      <c r="A1720" s="80">
        <v>45765</v>
      </c>
      <c r="B1720">
        <v>1010100</v>
      </c>
      <c r="C1720">
        <v>3390</v>
      </c>
      <c r="E1720" s="80">
        <v>45736</v>
      </c>
      <c r="F1720">
        <v>3010101</v>
      </c>
      <c r="G1720">
        <v>25201</v>
      </c>
    </row>
    <row r="1721" spans="1:7" x14ac:dyDescent="0.3">
      <c r="A1721" s="80">
        <v>45764</v>
      </c>
      <c r="B1721">
        <v>1010100</v>
      </c>
      <c r="C1721">
        <v>1790</v>
      </c>
      <c r="E1721" s="80">
        <v>45735</v>
      </c>
      <c r="F1721">
        <v>3010101</v>
      </c>
      <c r="G1721">
        <v>25201</v>
      </c>
    </row>
    <row r="1722" spans="1:7" x14ac:dyDescent="0.3">
      <c r="A1722" s="80">
        <v>45763</v>
      </c>
      <c r="B1722">
        <v>1010100</v>
      </c>
      <c r="C1722">
        <v>2990</v>
      </c>
      <c r="E1722" s="80">
        <v>45735</v>
      </c>
      <c r="F1722">
        <v>3010101</v>
      </c>
      <c r="G1722">
        <v>25201</v>
      </c>
    </row>
    <row r="1723" spans="1:7" x14ac:dyDescent="0.3">
      <c r="A1723" s="80">
        <v>45763</v>
      </c>
      <c r="B1723">
        <v>1010100</v>
      </c>
      <c r="C1723">
        <v>0</v>
      </c>
      <c r="E1723" s="80">
        <v>45735</v>
      </c>
      <c r="F1723">
        <v>3010101</v>
      </c>
      <c r="G1723">
        <v>25201</v>
      </c>
    </row>
    <row r="1724" spans="1:7" x14ac:dyDescent="0.3">
      <c r="A1724" s="80">
        <v>45763</v>
      </c>
      <c r="B1724">
        <v>1010100</v>
      </c>
      <c r="C1724">
        <v>2190</v>
      </c>
      <c r="E1724" s="80">
        <v>45734</v>
      </c>
      <c r="F1724">
        <v>3010101</v>
      </c>
      <c r="G1724">
        <v>18268</v>
      </c>
    </row>
    <row r="1725" spans="1:7" x14ac:dyDescent="0.3">
      <c r="A1725" s="80">
        <v>45763</v>
      </c>
      <c r="B1725">
        <v>1010100</v>
      </c>
      <c r="C1725">
        <v>0</v>
      </c>
      <c r="E1725" s="80">
        <v>45734</v>
      </c>
      <c r="F1725">
        <v>3010101</v>
      </c>
      <c r="G1725">
        <v>22681</v>
      </c>
    </row>
    <row r="1726" spans="1:7" x14ac:dyDescent="0.3">
      <c r="A1726" s="80">
        <v>45760</v>
      </c>
      <c r="B1726">
        <v>1010100</v>
      </c>
      <c r="C1726">
        <v>0</v>
      </c>
      <c r="E1726" s="80">
        <v>45734</v>
      </c>
      <c r="F1726">
        <v>3010101</v>
      </c>
      <c r="G1726">
        <v>25201</v>
      </c>
    </row>
    <row r="1727" spans="1:7" x14ac:dyDescent="0.3">
      <c r="A1727" s="80">
        <v>45758</v>
      </c>
      <c r="B1727">
        <v>1010100</v>
      </c>
      <c r="C1727">
        <v>1790</v>
      </c>
      <c r="E1727" s="80">
        <v>45734</v>
      </c>
      <c r="F1727">
        <v>3010101</v>
      </c>
      <c r="G1727">
        <v>25201</v>
      </c>
    </row>
    <row r="1728" spans="1:7" x14ac:dyDescent="0.3">
      <c r="A1728" s="80">
        <v>45757</v>
      </c>
      <c r="B1728">
        <v>1010100</v>
      </c>
      <c r="C1728">
        <v>2290</v>
      </c>
      <c r="E1728" s="80">
        <v>45734</v>
      </c>
      <c r="F1728">
        <v>3010101</v>
      </c>
      <c r="G1728">
        <v>25201</v>
      </c>
    </row>
    <row r="1729" spans="1:7" x14ac:dyDescent="0.3">
      <c r="A1729" s="80">
        <v>45757</v>
      </c>
      <c r="B1729">
        <v>1010100</v>
      </c>
      <c r="C1729">
        <v>0</v>
      </c>
      <c r="E1729" s="80">
        <v>45733</v>
      </c>
      <c r="F1729">
        <v>3010101</v>
      </c>
      <c r="G1729">
        <v>25201</v>
      </c>
    </row>
    <row r="1730" spans="1:7" x14ac:dyDescent="0.3">
      <c r="A1730" s="80">
        <v>45757</v>
      </c>
      <c r="B1730">
        <v>1010100</v>
      </c>
      <c r="C1730">
        <v>1790</v>
      </c>
      <c r="E1730" s="80">
        <v>45733</v>
      </c>
      <c r="F1730">
        <v>3010101</v>
      </c>
      <c r="G1730">
        <v>25201</v>
      </c>
    </row>
    <row r="1731" spans="1:7" x14ac:dyDescent="0.3">
      <c r="A1731" s="80">
        <v>45756</v>
      </c>
      <c r="B1731">
        <v>1010100</v>
      </c>
      <c r="C1731">
        <v>0</v>
      </c>
      <c r="E1731" s="80">
        <v>45733</v>
      </c>
      <c r="F1731">
        <v>3010101</v>
      </c>
      <c r="G1731">
        <v>25201</v>
      </c>
    </row>
    <row r="1732" spans="1:7" x14ac:dyDescent="0.3">
      <c r="A1732" s="80">
        <v>45756</v>
      </c>
      <c r="B1732">
        <v>1010100</v>
      </c>
      <c r="C1732">
        <v>0</v>
      </c>
      <c r="E1732" s="80">
        <v>45733</v>
      </c>
      <c r="F1732">
        <v>3010101</v>
      </c>
      <c r="G1732">
        <v>25201</v>
      </c>
    </row>
    <row r="1733" spans="1:7" x14ac:dyDescent="0.3">
      <c r="A1733" s="80">
        <v>45755</v>
      </c>
      <c r="B1733">
        <v>1010100</v>
      </c>
      <c r="C1733">
        <v>1790</v>
      </c>
      <c r="E1733" s="80">
        <v>45733</v>
      </c>
      <c r="F1733">
        <v>3010101</v>
      </c>
      <c r="G1733">
        <v>22681</v>
      </c>
    </row>
    <row r="1734" spans="1:7" x14ac:dyDescent="0.3">
      <c r="A1734" s="80">
        <v>45755</v>
      </c>
      <c r="B1734">
        <v>1010100</v>
      </c>
      <c r="C1734">
        <v>0</v>
      </c>
      <c r="E1734" s="80">
        <v>45733</v>
      </c>
      <c r="F1734">
        <v>3010101</v>
      </c>
      <c r="G1734">
        <v>25201</v>
      </c>
    </row>
    <row r="1735" spans="1:7" x14ac:dyDescent="0.3">
      <c r="A1735" s="80">
        <v>45754</v>
      </c>
      <c r="B1735">
        <v>1010100</v>
      </c>
      <c r="C1735">
        <v>1790</v>
      </c>
      <c r="E1735" s="80">
        <v>45733</v>
      </c>
      <c r="F1735">
        <v>3010101</v>
      </c>
      <c r="G1735">
        <v>25201</v>
      </c>
    </row>
    <row r="1736" spans="1:7" x14ac:dyDescent="0.3">
      <c r="A1736" s="80">
        <v>45754</v>
      </c>
      <c r="B1736">
        <v>1010100</v>
      </c>
      <c r="C1736">
        <v>2790</v>
      </c>
      <c r="E1736" s="80">
        <v>45733</v>
      </c>
      <c r="F1736">
        <v>3010101</v>
      </c>
      <c r="G1736">
        <v>25201</v>
      </c>
    </row>
    <row r="1737" spans="1:7" x14ac:dyDescent="0.3">
      <c r="A1737" s="80">
        <v>45754</v>
      </c>
      <c r="B1737">
        <v>1010100</v>
      </c>
      <c r="C1737">
        <v>0</v>
      </c>
      <c r="E1737" s="80">
        <v>45732</v>
      </c>
      <c r="F1737">
        <v>3010101</v>
      </c>
      <c r="G1737">
        <v>25201</v>
      </c>
    </row>
    <row r="1738" spans="1:7" x14ac:dyDescent="0.3">
      <c r="A1738" s="80">
        <v>45753</v>
      </c>
      <c r="B1738">
        <v>1010100</v>
      </c>
      <c r="C1738">
        <v>4890</v>
      </c>
      <c r="E1738" s="80">
        <v>45732</v>
      </c>
      <c r="F1738">
        <v>3010101</v>
      </c>
      <c r="G1738">
        <v>25201</v>
      </c>
    </row>
    <row r="1739" spans="1:7" x14ac:dyDescent="0.3">
      <c r="A1739" s="80">
        <v>45753</v>
      </c>
      <c r="B1739">
        <v>1010100</v>
      </c>
      <c r="C1739">
        <v>1790</v>
      </c>
      <c r="E1739" s="80">
        <v>45731</v>
      </c>
      <c r="F1739">
        <v>3010101</v>
      </c>
      <c r="G1739">
        <v>22681</v>
      </c>
    </row>
    <row r="1740" spans="1:7" x14ac:dyDescent="0.3">
      <c r="A1740" s="80">
        <v>45753</v>
      </c>
      <c r="B1740">
        <v>1010100</v>
      </c>
      <c r="C1740">
        <v>1790</v>
      </c>
      <c r="E1740" s="80">
        <v>45731</v>
      </c>
      <c r="F1740">
        <v>3010101</v>
      </c>
      <c r="G1740">
        <v>7555</v>
      </c>
    </row>
    <row r="1741" spans="1:7" x14ac:dyDescent="0.3">
      <c r="A1741" s="80">
        <v>45753</v>
      </c>
      <c r="B1741">
        <v>1010100</v>
      </c>
      <c r="C1741">
        <v>0</v>
      </c>
      <c r="E1741" s="80">
        <v>45731</v>
      </c>
      <c r="F1741">
        <v>3010101</v>
      </c>
      <c r="G1741">
        <v>25201</v>
      </c>
    </row>
    <row r="1742" spans="1:7" x14ac:dyDescent="0.3">
      <c r="A1742" s="80">
        <v>45753</v>
      </c>
      <c r="B1742">
        <v>1010100</v>
      </c>
      <c r="C1742">
        <v>0</v>
      </c>
      <c r="E1742" s="80">
        <v>45730</v>
      </c>
      <c r="F1742">
        <v>3010101</v>
      </c>
      <c r="G1742">
        <v>25201</v>
      </c>
    </row>
    <row r="1743" spans="1:7" x14ac:dyDescent="0.3">
      <c r="A1743" s="80">
        <v>45752</v>
      </c>
      <c r="B1743">
        <v>1010100</v>
      </c>
      <c r="C1743">
        <v>0</v>
      </c>
      <c r="E1743" s="80">
        <v>45730</v>
      </c>
      <c r="F1743">
        <v>3010101</v>
      </c>
      <c r="G1743">
        <v>22681</v>
      </c>
    </row>
    <row r="1744" spans="1:7" x14ac:dyDescent="0.3">
      <c r="A1744" s="80">
        <v>45752</v>
      </c>
      <c r="B1744">
        <v>1010100</v>
      </c>
      <c r="C1744">
        <v>2790</v>
      </c>
      <c r="E1744" s="80">
        <v>45730</v>
      </c>
      <c r="F1744">
        <v>3010101</v>
      </c>
      <c r="G1744">
        <v>25201</v>
      </c>
    </row>
    <row r="1745" spans="1:7" x14ac:dyDescent="0.3">
      <c r="A1745" s="80">
        <v>45752</v>
      </c>
      <c r="B1745">
        <v>1010100</v>
      </c>
      <c r="C1745">
        <v>1790</v>
      </c>
      <c r="E1745" s="80">
        <v>45729</v>
      </c>
      <c r="F1745">
        <v>3010101</v>
      </c>
      <c r="G1745">
        <v>25201</v>
      </c>
    </row>
    <row r="1746" spans="1:7" x14ac:dyDescent="0.3">
      <c r="A1746" s="80">
        <v>45752</v>
      </c>
      <c r="B1746">
        <v>1010100</v>
      </c>
      <c r="C1746">
        <v>1790</v>
      </c>
      <c r="E1746" s="80">
        <v>45728</v>
      </c>
      <c r="F1746">
        <v>3010101</v>
      </c>
      <c r="G1746">
        <v>25201</v>
      </c>
    </row>
    <row r="1747" spans="1:7" x14ac:dyDescent="0.3">
      <c r="A1747" s="80">
        <v>45752</v>
      </c>
      <c r="B1747">
        <v>1010100</v>
      </c>
      <c r="C1747">
        <v>0</v>
      </c>
      <c r="E1747" s="80">
        <v>45728</v>
      </c>
      <c r="F1747">
        <v>3010101</v>
      </c>
      <c r="G1747">
        <v>25201</v>
      </c>
    </row>
    <row r="1748" spans="1:7" x14ac:dyDescent="0.3">
      <c r="A1748" s="80">
        <v>45752</v>
      </c>
      <c r="B1748">
        <v>1010100</v>
      </c>
      <c r="C1748">
        <v>1790</v>
      </c>
      <c r="E1748" s="80">
        <v>45727</v>
      </c>
      <c r="F1748">
        <v>3010101</v>
      </c>
      <c r="G1748">
        <v>22681</v>
      </c>
    </row>
    <row r="1749" spans="1:7" x14ac:dyDescent="0.3">
      <c r="A1749" s="80">
        <v>45751</v>
      </c>
      <c r="B1749">
        <v>1010100</v>
      </c>
      <c r="C1749">
        <v>1790</v>
      </c>
      <c r="E1749" s="80">
        <v>45727</v>
      </c>
      <c r="F1749">
        <v>3010101</v>
      </c>
      <c r="G1749">
        <v>22681</v>
      </c>
    </row>
    <row r="1750" spans="1:7" x14ac:dyDescent="0.3">
      <c r="A1750" s="80">
        <v>45751</v>
      </c>
      <c r="B1750">
        <v>1010100</v>
      </c>
      <c r="C1750">
        <v>1790</v>
      </c>
      <c r="E1750" s="80">
        <v>45727</v>
      </c>
      <c r="F1750">
        <v>3010101</v>
      </c>
      <c r="G1750">
        <v>36537</v>
      </c>
    </row>
    <row r="1751" spans="1:7" x14ac:dyDescent="0.3">
      <c r="A1751" s="80">
        <v>45751</v>
      </c>
      <c r="B1751">
        <v>1010100</v>
      </c>
      <c r="C1751">
        <v>2490</v>
      </c>
      <c r="E1751" s="80">
        <v>45727</v>
      </c>
      <c r="F1751">
        <v>3010101</v>
      </c>
      <c r="G1751">
        <v>22681</v>
      </c>
    </row>
    <row r="1752" spans="1:7" x14ac:dyDescent="0.3">
      <c r="A1752" s="80">
        <v>45751</v>
      </c>
      <c r="B1752">
        <v>1010100</v>
      </c>
      <c r="C1752">
        <v>2490</v>
      </c>
      <c r="E1752" s="80">
        <v>45727</v>
      </c>
      <c r="F1752">
        <v>3010101</v>
      </c>
      <c r="G1752">
        <v>50403</v>
      </c>
    </row>
    <row r="1753" spans="1:7" x14ac:dyDescent="0.3">
      <c r="A1753" s="80">
        <v>45751</v>
      </c>
      <c r="B1753">
        <v>1010100</v>
      </c>
      <c r="C1753">
        <v>1790</v>
      </c>
      <c r="E1753" s="80">
        <v>45726</v>
      </c>
      <c r="F1753">
        <v>3010101</v>
      </c>
      <c r="G1753">
        <v>18268</v>
      </c>
    </row>
    <row r="1754" spans="1:7" x14ac:dyDescent="0.3">
      <c r="A1754" s="80">
        <v>45751</v>
      </c>
      <c r="B1754">
        <v>1010100</v>
      </c>
      <c r="C1754">
        <v>1790</v>
      </c>
      <c r="E1754" s="80">
        <v>45726</v>
      </c>
      <c r="F1754">
        <v>3010101</v>
      </c>
      <c r="G1754">
        <v>25201</v>
      </c>
    </row>
    <row r="1755" spans="1:7" x14ac:dyDescent="0.3">
      <c r="A1755" s="80">
        <v>45751</v>
      </c>
      <c r="B1755">
        <v>1010100</v>
      </c>
      <c r="C1755">
        <v>3390</v>
      </c>
      <c r="E1755" s="80">
        <v>45726</v>
      </c>
      <c r="F1755">
        <v>3010101</v>
      </c>
      <c r="G1755">
        <v>25201</v>
      </c>
    </row>
    <row r="1756" spans="1:7" x14ac:dyDescent="0.3">
      <c r="A1756" s="80">
        <v>45751</v>
      </c>
      <c r="B1756">
        <v>1010100</v>
      </c>
      <c r="C1756">
        <v>3390</v>
      </c>
      <c r="E1756" s="80">
        <v>45726</v>
      </c>
      <c r="F1756">
        <v>3010101</v>
      </c>
      <c r="G1756">
        <v>25201</v>
      </c>
    </row>
    <row r="1757" spans="1:7" x14ac:dyDescent="0.3">
      <c r="A1757" s="80">
        <v>45751</v>
      </c>
      <c r="B1757">
        <v>1010100</v>
      </c>
      <c r="C1757">
        <v>1790</v>
      </c>
      <c r="E1757" s="80">
        <v>45726</v>
      </c>
      <c r="F1757">
        <v>3010101</v>
      </c>
      <c r="G1757">
        <v>25201</v>
      </c>
    </row>
    <row r="1758" spans="1:7" x14ac:dyDescent="0.3">
      <c r="A1758" s="80">
        <v>45750</v>
      </c>
      <c r="B1758">
        <v>1010100</v>
      </c>
      <c r="C1758">
        <v>1790</v>
      </c>
      <c r="E1758" s="80">
        <v>45725</v>
      </c>
      <c r="F1758">
        <v>3010101</v>
      </c>
      <c r="G1758">
        <v>25201</v>
      </c>
    </row>
    <row r="1759" spans="1:7" x14ac:dyDescent="0.3">
      <c r="A1759" s="80">
        <v>45750</v>
      </c>
      <c r="B1759">
        <v>1010100</v>
      </c>
      <c r="C1759">
        <v>0</v>
      </c>
      <c r="E1759" s="80">
        <v>45725</v>
      </c>
      <c r="F1759">
        <v>3010101</v>
      </c>
      <c r="G1759">
        <v>25201</v>
      </c>
    </row>
    <row r="1760" spans="1:7" x14ac:dyDescent="0.3">
      <c r="A1760" s="80">
        <v>45750</v>
      </c>
      <c r="B1760">
        <v>1010100</v>
      </c>
      <c r="C1760">
        <v>0</v>
      </c>
      <c r="E1760" s="80">
        <v>45725</v>
      </c>
      <c r="F1760">
        <v>3010101</v>
      </c>
      <c r="G1760">
        <v>25201</v>
      </c>
    </row>
    <row r="1761" spans="1:7" x14ac:dyDescent="0.3">
      <c r="A1761" s="80">
        <v>45750</v>
      </c>
      <c r="B1761">
        <v>1010100</v>
      </c>
      <c r="C1761">
        <v>0</v>
      </c>
      <c r="E1761" s="80">
        <v>45725</v>
      </c>
      <c r="F1761">
        <v>3010101</v>
      </c>
      <c r="G1761">
        <v>8394</v>
      </c>
    </row>
    <row r="1762" spans="1:7" x14ac:dyDescent="0.3">
      <c r="A1762" s="80">
        <v>45750</v>
      </c>
      <c r="B1762">
        <v>1010100</v>
      </c>
      <c r="C1762">
        <v>4490</v>
      </c>
      <c r="E1762" s="80">
        <v>45725</v>
      </c>
      <c r="F1762">
        <v>3010101</v>
      </c>
      <c r="G1762">
        <v>25201</v>
      </c>
    </row>
    <row r="1763" spans="1:7" x14ac:dyDescent="0.3">
      <c r="A1763" s="80">
        <v>45750</v>
      </c>
      <c r="B1763">
        <v>1010100</v>
      </c>
      <c r="C1763">
        <v>1790</v>
      </c>
      <c r="E1763" s="80">
        <v>45725</v>
      </c>
      <c r="F1763">
        <v>3010101</v>
      </c>
      <c r="G1763">
        <v>25201</v>
      </c>
    </row>
    <row r="1764" spans="1:7" x14ac:dyDescent="0.3">
      <c r="A1764" s="80">
        <v>45749</v>
      </c>
      <c r="B1764">
        <v>1010100</v>
      </c>
      <c r="C1764">
        <v>0</v>
      </c>
      <c r="E1764" s="80">
        <v>45725</v>
      </c>
      <c r="F1764">
        <v>3010101</v>
      </c>
      <c r="G1764">
        <v>25201</v>
      </c>
    </row>
    <row r="1765" spans="1:7" x14ac:dyDescent="0.3">
      <c r="A1765" s="80">
        <v>45749</v>
      </c>
      <c r="B1765">
        <v>1010100</v>
      </c>
      <c r="C1765">
        <v>1790</v>
      </c>
      <c r="E1765" s="80">
        <v>45725</v>
      </c>
      <c r="F1765">
        <v>3010101</v>
      </c>
      <c r="G1765">
        <v>25201</v>
      </c>
    </row>
    <row r="1766" spans="1:7" x14ac:dyDescent="0.3">
      <c r="A1766" s="80">
        <v>45749</v>
      </c>
      <c r="B1766">
        <v>1010100</v>
      </c>
      <c r="C1766">
        <v>1790</v>
      </c>
      <c r="E1766" s="80">
        <v>45725</v>
      </c>
      <c r="F1766">
        <v>3010101</v>
      </c>
      <c r="G1766">
        <v>25201</v>
      </c>
    </row>
    <row r="1767" spans="1:7" x14ac:dyDescent="0.3">
      <c r="A1767" s="80">
        <v>45749</v>
      </c>
      <c r="B1767">
        <v>1010100</v>
      </c>
      <c r="C1767">
        <v>5990</v>
      </c>
      <c r="E1767" s="80">
        <v>45725</v>
      </c>
      <c r="F1767">
        <v>3010101</v>
      </c>
      <c r="G1767">
        <v>25201</v>
      </c>
    </row>
    <row r="1768" spans="1:7" x14ac:dyDescent="0.3">
      <c r="A1768" s="80">
        <v>45749</v>
      </c>
      <c r="B1768">
        <v>1010100</v>
      </c>
      <c r="C1768">
        <v>1790</v>
      </c>
      <c r="E1768" s="80">
        <v>45724</v>
      </c>
      <c r="F1768">
        <v>3010101</v>
      </c>
      <c r="G1768">
        <v>25201</v>
      </c>
    </row>
    <row r="1769" spans="1:7" x14ac:dyDescent="0.3">
      <c r="A1769" s="80">
        <v>45749</v>
      </c>
      <c r="B1769">
        <v>1010100</v>
      </c>
      <c r="C1769">
        <v>1790</v>
      </c>
      <c r="E1769" s="80">
        <v>45724</v>
      </c>
      <c r="F1769">
        <v>3010101</v>
      </c>
      <c r="G1769">
        <v>25201</v>
      </c>
    </row>
    <row r="1770" spans="1:7" x14ac:dyDescent="0.3">
      <c r="A1770" s="80">
        <v>45749</v>
      </c>
      <c r="B1770">
        <v>1010100</v>
      </c>
      <c r="C1770">
        <v>0</v>
      </c>
      <c r="E1770" s="80">
        <v>45723</v>
      </c>
      <c r="F1770">
        <v>3010101</v>
      </c>
      <c r="G1770">
        <v>25201</v>
      </c>
    </row>
    <row r="1771" spans="1:7" x14ac:dyDescent="0.3">
      <c r="A1771" s="80">
        <v>45748</v>
      </c>
      <c r="B1771">
        <v>1010100</v>
      </c>
      <c r="C1771">
        <v>0</v>
      </c>
      <c r="E1771" s="80">
        <v>45723</v>
      </c>
      <c r="F1771">
        <v>3010101</v>
      </c>
      <c r="G1771">
        <v>22681</v>
      </c>
    </row>
    <row r="1772" spans="1:7" x14ac:dyDescent="0.3">
      <c r="A1772" s="80">
        <v>45748</v>
      </c>
      <c r="B1772">
        <v>1010100</v>
      </c>
      <c r="C1772">
        <v>0</v>
      </c>
      <c r="E1772" s="80">
        <v>45723</v>
      </c>
      <c r="F1772">
        <v>3010101</v>
      </c>
      <c r="G1772">
        <v>25201</v>
      </c>
    </row>
    <row r="1773" spans="1:7" x14ac:dyDescent="0.3">
      <c r="A1773" s="80">
        <v>45748</v>
      </c>
      <c r="B1773">
        <v>1010100</v>
      </c>
      <c r="C1773">
        <v>0</v>
      </c>
      <c r="E1773" s="80">
        <v>45723</v>
      </c>
      <c r="F1773">
        <v>3010101</v>
      </c>
      <c r="G1773">
        <v>25201</v>
      </c>
    </row>
    <row r="1774" spans="1:7" x14ac:dyDescent="0.3">
      <c r="A1774" s="80">
        <v>45747</v>
      </c>
      <c r="B1774">
        <v>1010100</v>
      </c>
      <c r="C1774">
        <v>0</v>
      </c>
      <c r="E1774" s="80">
        <v>45722</v>
      </c>
      <c r="F1774">
        <v>3010101</v>
      </c>
      <c r="G1774">
        <v>25201</v>
      </c>
    </row>
    <row r="1775" spans="1:7" x14ac:dyDescent="0.3">
      <c r="A1775" s="80">
        <v>45747</v>
      </c>
      <c r="B1775">
        <v>1010100</v>
      </c>
      <c r="C1775">
        <v>1790</v>
      </c>
      <c r="E1775" s="80">
        <v>45722</v>
      </c>
      <c r="F1775">
        <v>3010101</v>
      </c>
      <c r="G1775">
        <v>25201</v>
      </c>
    </row>
    <row r="1776" spans="1:7" x14ac:dyDescent="0.3">
      <c r="A1776" s="80">
        <v>45747</v>
      </c>
      <c r="B1776">
        <v>1010100</v>
      </c>
      <c r="C1776">
        <v>0</v>
      </c>
      <c r="E1776" s="80">
        <v>45722</v>
      </c>
      <c r="F1776">
        <v>3010101</v>
      </c>
      <c r="G1776">
        <v>25201</v>
      </c>
    </row>
    <row r="1777" spans="1:7" x14ac:dyDescent="0.3">
      <c r="A1777" s="80">
        <v>45747</v>
      </c>
      <c r="B1777">
        <v>1010100</v>
      </c>
      <c r="C1777">
        <v>0</v>
      </c>
      <c r="E1777" s="80">
        <v>45722</v>
      </c>
      <c r="F1777">
        <v>3010101</v>
      </c>
      <c r="G1777">
        <v>25201</v>
      </c>
    </row>
    <row r="1778" spans="1:7" x14ac:dyDescent="0.3">
      <c r="A1778" s="80">
        <v>45747</v>
      </c>
      <c r="B1778">
        <v>1010100</v>
      </c>
      <c r="C1778">
        <v>1790</v>
      </c>
      <c r="E1778" s="80">
        <v>45721</v>
      </c>
      <c r="F1778">
        <v>3010101</v>
      </c>
      <c r="G1778">
        <v>25201</v>
      </c>
    </row>
    <row r="1779" spans="1:7" x14ac:dyDescent="0.3">
      <c r="A1779" s="80">
        <v>45747</v>
      </c>
      <c r="B1779">
        <v>1010100</v>
      </c>
      <c r="C1779">
        <v>0</v>
      </c>
      <c r="E1779" s="80">
        <v>45721</v>
      </c>
      <c r="F1779">
        <v>3010101</v>
      </c>
      <c r="G1779">
        <v>25201</v>
      </c>
    </row>
    <row r="1780" spans="1:7" x14ac:dyDescent="0.3">
      <c r="A1780" s="80">
        <v>45747</v>
      </c>
      <c r="B1780">
        <v>1010100</v>
      </c>
      <c r="C1780">
        <v>1790</v>
      </c>
      <c r="E1780" s="80">
        <v>45721</v>
      </c>
      <c r="F1780">
        <v>3010101</v>
      </c>
      <c r="G1780">
        <v>25201</v>
      </c>
    </row>
    <row r="1781" spans="1:7" x14ac:dyDescent="0.3">
      <c r="A1781" s="80">
        <v>45747</v>
      </c>
      <c r="B1781">
        <v>1010100</v>
      </c>
      <c r="C1781">
        <v>1790</v>
      </c>
      <c r="E1781" s="80">
        <v>45720</v>
      </c>
      <c r="F1781">
        <v>3010101</v>
      </c>
      <c r="G1781">
        <v>25201</v>
      </c>
    </row>
    <row r="1782" spans="1:7" x14ac:dyDescent="0.3">
      <c r="A1782" s="80">
        <v>45746</v>
      </c>
      <c r="B1782">
        <v>1010100</v>
      </c>
      <c r="C1782">
        <v>0</v>
      </c>
      <c r="E1782" s="80">
        <v>45720</v>
      </c>
      <c r="F1782">
        <v>3010101</v>
      </c>
      <c r="G1782">
        <v>25201</v>
      </c>
    </row>
    <row r="1783" spans="1:7" x14ac:dyDescent="0.3">
      <c r="A1783" s="80">
        <v>45746</v>
      </c>
      <c r="B1783">
        <v>1010100</v>
      </c>
      <c r="C1783">
        <v>1790</v>
      </c>
      <c r="E1783" s="80">
        <v>45720</v>
      </c>
      <c r="F1783">
        <v>3010101</v>
      </c>
      <c r="G1783">
        <v>18268</v>
      </c>
    </row>
    <row r="1784" spans="1:7" x14ac:dyDescent="0.3">
      <c r="A1784" s="80">
        <v>45746</v>
      </c>
      <c r="B1784">
        <v>1010100</v>
      </c>
      <c r="C1784">
        <v>2790</v>
      </c>
      <c r="E1784" s="80">
        <v>45720</v>
      </c>
      <c r="F1784">
        <v>3010101</v>
      </c>
      <c r="G1784">
        <v>25201</v>
      </c>
    </row>
    <row r="1785" spans="1:7" x14ac:dyDescent="0.3">
      <c r="A1785" s="80">
        <v>45746</v>
      </c>
      <c r="B1785">
        <v>1010100</v>
      </c>
      <c r="C1785">
        <v>1790</v>
      </c>
      <c r="E1785" s="80">
        <v>45719</v>
      </c>
      <c r="F1785">
        <v>3010101</v>
      </c>
      <c r="G1785">
        <v>25201</v>
      </c>
    </row>
    <row r="1786" spans="1:7" x14ac:dyDescent="0.3">
      <c r="A1786" s="80">
        <v>45746</v>
      </c>
      <c r="B1786">
        <v>1010100</v>
      </c>
      <c r="C1786">
        <v>0</v>
      </c>
      <c r="E1786" s="80">
        <v>45719</v>
      </c>
      <c r="F1786">
        <v>3010101</v>
      </c>
      <c r="G1786">
        <v>50403</v>
      </c>
    </row>
    <row r="1787" spans="1:7" x14ac:dyDescent="0.3">
      <c r="A1787" s="80">
        <v>45745</v>
      </c>
      <c r="B1787">
        <v>1010100</v>
      </c>
      <c r="C1787">
        <v>0</v>
      </c>
      <c r="E1787" s="80">
        <v>45719</v>
      </c>
      <c r="F1787">
        <v>3010101</v>
      </c>
      <c r="G1787">
        <v>25201</v>
      </c>
    </row>
    <row r="1788" spans="1:7" x14ac:dyDescent="0.3">
      <c r="A1788" s="80">
        <v>45745</v>
      </c>
      <c r="B1788">
        <v>1010100</v>
      </c>
      <c r="C1788">
        <v>0</v>
      </c>
      <c r="E1788" s="80">
        <v>45719</v>
      </c>
      <c r="F1788">
        <v>3010101</v>
      </c>
      <c r="G1788">
        <v>25201</v>
      </c>
    </row>
    <row r="1789" spans="1:7" x14ac:dyDescent="0.3">
      <c r="A1789" s="80">
        <v>45744</v>
      </c>
      <c r="B1789">
        <v>1010100</v>
      </c>
      <c r="C1789">
        <v>0</v>
      </c>
      <c r="E1789" s="80">
        <v>45718</v>
      </c>
      <c r="F1789">
        <v>3010101</v>
      </c>
      <c r="G1789">
        <v>25201</v>
      </c>
    </row>
    <row r="1790" spans="1:7" x14ac:dyDescent="0.3">
      <c r="A1790" s="80">
        <v>45744</v>
      </c>
      <c r="B1790">
        <v>1010100</v>
      </c>
      <c r="C1790">
        <v>0</v>
      </c>
      <c r="E1790" s="80">
        <v>45718</v>
      </c>
      <c r="F1790">
        <v>3010101</v>
      </c>
      <c r="G1790">
        <v>25201</v>
      </c>
    </row>
    <row r="1791" spans="1:7" x14ac:dyDescent="0.3">
      <c r="A1791" s="80">
        <v>45744</v>
      </c>
      <c r="B1791">
        <v>1010100</v>
      </c>
      <c r="C1791">
        <v>0</v>
      </c>
      <c r="E1791" s="80">
        <v>45718</v>
      </c>
      <c r="F1791">
        <v>3010101</v>
      </c>
      <c r="G1791">
        <v>25201</v>
      </c>
    </row>
    <row r="1792" spans="1:7" x14ac:dyDescent="0.3">
      <c r="A1792" s="80">
        <v>45743</v>
      </c>
      <c r="B1792">
        <v>1010100</v>
      </c>
      <c r="C1792">
        <v>0</v>
      </c>
      <c r="E1792" s="80">
        <v>45718</v>
      </c>
      <c r="F1792">
        <v>3010101</v>
      </c>
      <c r="G1792">
        <v>18268</v>
      </c>
    </row>
    <row r="1793" spans="1:7" x14ac:dyDescent="0.3">
      <c r="A1793" s="80">
        <v>45743</v>
      </c>
      <c r="B1793">
        <v>1010100</v>
      </c>
      <c r="C1793">
        <v>0</v>
      </c>
      <c r="E1793" s="80">
        <v>45718</v>
      </c>
      <c r="F1793">
        <v>3010101</v>
      </c>
      <c r="G1793">
        <v>25201</v>
      </c>
    </row>
    <row r="1794" spans="1:7" x14ac:dyDescent="0.3">
      <c r="A1794" s="80">
        <v>45743</v>
      </c>
      <c r="B1794">
        <v>1010100</v>
      </c>
      <c r="C1794">
        <v>0</v>
      </c>
      <c r="E1794" s="80">
        <v>45718</v>
      </c>
      <c r="F1794">
        <v>3010101</v>
      </c>
      <c r="G1794">
        <v>25201</v>
      </c>
    </row>
    <row r="1795" spans="1:7" x14ac:dyDescent="0.3">
      <c r="A1795" s="80">
        <v>45743</v>
      </c>
      <c r="B1795">
        <v>1010100</v>
      </c>
      <c r="C1795">
        <v>0</v>
      </c>
      <c r="E1795" s="80">
        <v>45718</v>
      </c>
      <c r="F1795">
        <v>3010101</v>
      </c>
      <c r="G1795">
        <v>18268</v>
      </c>
    </row>
    <row r="1796" spans="1:7" x14ac:dyDescent="0.3">
      <c r="A1796" s="80">
        <v>45743</v>
      </c>
      <c r="B1796">
        <v>1010100</v>
      </c>
      <c r="C1796">
        <v>0</v>
      </c>
      <c r="E1796" s="80">
        <v>45718</v>
      </c>
      <c r="F1796">
        <v>3010101</v>
      </c>
      <c r="G1796">
        <v>25201</v>
      </c>
    </row>
    <row r="1797" spans="1:7" x14ac:dyDescent="0.3">
      <c r="A1797" s="80">
        <v>45743</v>
      </c>
      <c r="B1797">
        <v>1010100</v>
      </c>
      <c r="C1797">
        <v>0</v>
      </c>
      <c r="E1797" s="80">
        <v>45718</v>
      </c>
      <c r="F1797">
        <v>3010101</v>
      </c>
      <c r="G1797">
        <v>7555</v>
      </c>
    </row>
    <row r="1798" spans="1:7" x14ac:dyDescent="0.3">
      <c r="A1798" s="80">
        <v>45743</v>
      </c>
      <c r="B1798">
        <v>1010100</v>
      </c>
      <c r="C1798">
        <v>0</v>
      </c>
      <c r="E1798" s="80">
        <v>45718</v>
      </c>
      <c r="F1798">
        <v>3010101</v>
      </c>
      <c r="G1798">
        <v>22681</v>
      </c>
    </row>
    <row r="1799" spans="1:7" x14ac:dyDescent="0.3">
      <c r="A1799" s="80">
        <v>45740</v>
      </c>
      <c r="B1799">
        <v>1010100</v>
      </c>
      <c r="C1799">
        <v>0</v>
      </c>
      <c r="E1799" s="80">
        <v>45717</v>
      </c>
      <c r="F1799">
        <v>3010101</v>
      </c>
      <c r="G1799">
        <v>25201</v>
      </c>
    </row>
    <row r="1800" spans="1:7" x14ac:dyDescent="0.3">
      <c r="A1800" s="80">
        <v>45740</v>
      </c>
      <c r="B1800">
        <v>1010100</v>
      </c>
      <c r="C1800">
        <v>0</v>
      </c>
      <c r="E1800" s="80">
        <v>45717</v>
      </c>
      <c r="F1800">
        <v>3010101</v>
      </c>
      <c r="G1800">
        <v>25201</v>
      </c>
    </row>
    <row r="1801" spans="1:7" x14ac:dyDescent="0.3">
      <c r="A1801" s="80">
        <v>45739</v>
      </c>
      <c r="B1801">
        <v>1010100</v>
      </c>
      <c r="C1801">
        <v>0</v>
      </c>
      <c r="E1801" s="80">
        <v>45717</v>
      </c>
      <c r="F1801">
        <v>3010101</v>
      </c>
      <c r="G1801">
        <v>25201</v>
      </c>
    </row>
    <row r="1802" spans="1:7" x14ac:dyDescent="0.3">
      <c r="A1802" s="80">
        <v>45739</v>
      </c>
      <c r="B1802">
        <v>1010100</v>
      </c>
      <c r="C1802">
        <v>0</v>
      </c>
      <c r="E1802" s="80">
        <v>45717</v>
      </c>
      <c r="F1802">
        <v>3010101</v>
      </c>
      <c r="G1802">
        <v>25201</v>
      </c>
    </row>
    <row r="1803" spans="1:7" x14ac:dyDescent="0.3">
      <c r="A1803" s="80">
        <v>45739</v>
      </c>
      <c r="B1803">
        <v>1010100</v>
      </c>
      <c r="C1803">
        <v>0</v>
      </c>
      <c r="E1803" s="80">
        <v>45717</v>
      </c>
      <c r="F1803">
        <v>3010101</v>
      </c>
      <c r="G1803">
        <v>25201</v>
      </c>
    </row>
    <row r="1804" spans="1:7" x14ac:dyDescent="0.3">
      <c r="A1804" s="80">
        <v>45738</v>
      </c>
      <c r="B1804">
        <v>1010100</v>
      </c>
      <c r="C1804">
        <v>0</v>
      </c>
      <c r="E1804" s="80">
        <v>45717</v>
      </c>
      <c r="F1804">
        <v>3010101</v>
      </c>
      <c r="G1804">
        <v>25201</v>
      </c>
    </row>
    <row r="1805" spans="1:7" x14ac:dyDescent="0.3">
      <c r="A1805" s="80">
        <v>45738</v>
      </c>
      <c r="B1805">
        <v>1010100</v>
      </c>
      <c r="C1805">
        <v>3590</v>
      </c>
      <c r="E1805" s="80">
        <v>45717</v>
      </c>
      <c r="F1805">
        <v>3010101</v>
      </c>
      <c r="G1805">
        <v>25201</v>
      </c>
    </row>
    <row r="1806" spans="1:7" x14ac:dyDescent="0.3">
      <c r="A1806" s="80">
        <v>45737</v>
      </c>
      <c r="B1806">
        <v>1010100</v>
      </c>
      <c r="C1806">
        <v>0</v>
      </c>
      <c r="E1806" s="80">
        <v>45717</v>
      </c>
      <c r="F1806">
        <v>3010101</v>
      </c>
      <c r="G1806">
        <v>25201</v>
      </c>
    </row>
    <row r="1807" spans="1:7" x14ac:dyDescent="0.3">
      <c r="A1807" s="80">
        <v>45737</v>
      </c>
      <c r="B1807">
        <v>1010100</v>
      </c>
      <c r="C1807">
        <v>0</v>
      </c>
      <c r="E1807" s="80">
        <v>45716</v>
      </c>
      <c r="F1807">
        <v>3010101</v>
      </c>
      <c r="G1807">
        <v>25201</v>
      </c>
    </row>
    <row r="1808" spans="1:7" x14ac:dyDescent="0.3">
      <c r="A1808" s="80">
        <v>45736</v>
      </c>
      <c r="B1808">
        <v>1010100</v>
      </c>
      <c r="C1808">
        <v>1990</v>
      </c>
      <c r="E1808" s="80">
        <v>45716</v>
      </c>
      <c r="F1808">
        <v>3010101</v>
      </c>
      <c r="G1808">
        <v>25201</v>
      </c>
    </row>
    <row r="1809" spans="1:7" x14ac:dyDescent="0.3">
      <c r="A1809" s="80">
        <v>45736</v>
      </c>
      <c r="B1809">
        <v>1010100</v>
      </c>
      <c r="C1809">
        <v>2190</v>
      </c>
      <c r="E1809" s="80">
        <v>45716</v>
      </c>
      <c r="F1809">
        <v>3010101</v>
      </c>
      <c r="G1809">
        <v>18268</v>
      </c>
    </row>
    <row r="1810" spans="1:7" x14ac:dyDescent="0.3">
      <c r="A1810" s="80">
        <v>45736</v>
      </c>
      <c r="B1810">
        <v>1010100</v>
      </c>
      <c r="C1810">
        <v>0</v>
      </c>
      <c r="E1810" s="80">
        <v>45716</v>
      </c>
      <c r="F1810">
        <v>3010101</v>
      </c>
      <c r="G1810">
        <v>25201</v>
      </c>
    </row>
    <row r="1811" spans="1:7" x14ac:dyDescent="0.3">
      <c r="A1811" s="80">
        <v>45736</v>
      </c>
      <c r="B1811">
        <v>1010100</v>
      </c>
      <c r="C1811">
        <v>0</v>
      </c>
      <c r="E1811" s="80">
        <v>45716</v>
      </c>
      <c r="F1811">
        <v>3010101</v>
      </c>
      <c r="G1811">
        <v>25201</v>
      </c>
    </row>
    <row r="1812" spans="1:7" x14ac:dyDescent="0.3">
      <c r="A1812" s="80">
        <v>45736</v>
      </c>
      <c r="B1812">
        <v>1010100</v>
      </c>
      <c r="C1812">
        <v>0</v>
      </c>
      <c r="E1812" s="80">
        <v>45716</v>
      </c>
      <c r="F1812">
        <v>3010101</v>
      </c>
      <c r="G1812">
        <v>8394</v>
      </c>
    </row>
    <row r="1813" spans="1:7" x14ac:dyDescent="0.3">
      <c r="A1813" s="80">
        <v>45735</v>
      </c>
      <c r="B1813">
        <v>1010100</v>
      </c>
      <c r="C1813">
        <v>0</v>
      </c>
      <c r="E1813" s="80">
        <v>45716</v>
      </c>
      <c r="F1813">
        <v>3010101</v>
      </c>
      <c r="G1813">
        <v>25201</v>
      </c>
    </row>
    <row r="1814" spans="1:7" x14ac:dyDescent="0.3">
      <c r="A1814" s="80">
        <v>45735</v>
      </c>
      <c r="B1814">
        <v>1010100</v>
      </c>
      <c r="C1814">
        <v>0</v>
      </c>
      <c r="E1814" s="80">
        <v>45716</v>
      </c>
      <c r="F1814">
        <v>3010101</v>
      </c>
      <c r="G1814">
        <v>25201</v>
      </c>
    </row>
    <row r="1815" spans="1:7" x14ac:dyDescent="0.3">
      <c r="A1815" s="80">
        <v>45735</v>
      </c>
      <c r="B1815">
        <v>1010100</v>
      </c>
      <c r="C1815">
        <v>0</v>
      </c>
      <c r="E1815" s="80">
        <v>45715</v>
      </c>
      <c r="F1815">
        <v>3010101</v>
      </c>
      <c r="G1815">
        <v>18268</v>
      </c>
    </row>
    <row r="1816" spans="1:7" x14ac:dyDescent="0.3">
      <c r="A1816" s="80">
        <v>45734</v>
      </c>
      <c r="B1816">
        <v>1010100</v>
      </c>
      <c r="C1816">
        <v>2490</v>
      </c>
      <c r="E1816" s="80">
        <v>45715</v>
      </c>
      <c r="F1816">
        <v>3010101</v>
      </c>
      <c r="G1816">
        <v>25201</v>
      </c>
    </row>
    <row r="1817" spans="1:7" x14ac:dyDescent="0.3">
      <c r="A1817" s="80">
        <v>45734</v>
      </c>
      <c r="B1817">
        <v>1010100</v>
      </c>
      <c r="C1817">
        <v>1990</v>
      </c>
      <c r="E1817" s="80">
        <v>45715</v>
      </c>
      <c r="F1817">
        <v>3010101</v>
      </c>
      <c r="G1817">
        <v>25201</v>
      </c>
    </row>
    <row r="1818" spans="1:7" x14ac:dyDescent="0.3">
      <c r="A1818" s="80">
        <v>45734</v>
      </c>
      <c r="B1818">
        <v>1010100</v>
      </c>
      <c r="C1818">
        <v>0</v>
      </c>
      <c r="E1818" s="80">
        <v>45715</v>
      </c>
      <c r="F1818">
        <v>3010101</v>
      </c>
      <c r="G1818">
        <v>25201</v>
      </c>
    </row>
    <row r="1819" spans="1:7" x14ac:dyDescent="0.3">
      <c r="A1819" s="80">
        <v>45734</v>
      </c>
      <c r="B1819">
        <v>1010100</v>
      </c>
      <c r="C1819">
        <v>0</v>
      </c>
      <c r="E1819" s="80">
        <v>45714</v>
      </c>
      <c r="F1819">
        <v>3010101</v>
      </c>
      <c r="G1819">
        <v>25201</v>
      </c>
    </row>
    <row r="1820" spans="1:7" x14ac:dyDescent="0.3">
      <c r="A1820" s="80">
        <v>45734</v>
      </c>
      <c r="B1820">
        <v>1010100</v>
      </c>
      <c r="C1820">
        <v>0</v>
      </c>
      <c r="E1820" s="80">
        <v>45714</v>
      </c>
      <c r="F1820">
        <v>3010101</v>
      </c>
      <c r="G1820">
        <v>8394</v>
      </c>
    </row>
    <row r="1821" spans="1:7" x14ac:dyDescent="0.3">
      <c r="A1821" s="80">
        <v>45733</v>
      </c>
      <c r="B1821">
        <v>1010100</v>
      </c>
      <c r="C1821">
        <v>0</v>
      </c>
      <c r="E1821" s="80">
        <v>45714</v>
      </c>
      <c r="F1821">
        <v>3010101</v>
      </c>
      <c r="G1821">
        <v>25201</v>
      </c>
    </row>
    <row r="1822" spans="1:7" x14ac:dyDescent="0.3">
      <c r="A1822" s="80">
        <v>45733</v>
      </c>
      <c r="B1822">
        <v>1010100</v>
      </c>
      <c r="C1822">
        <v>3590</v>
      </c>
      <c r="E1822" s="80">
        <v>45714</v>
      </c>
      <c r="F1822">
        <v>3010101</v>
      </c>
      <c r="G1822">
        <v>25201</v>
      </c>
    </row>
    <row r="1823" spans="1:7" x14ac:dyDescent="0.3">
      <c r="A1823" s="80">
        <v>45733</v>
      </c>
      <c r="B1823">
        <v>1010100</v>
      </c>
      <c r="C1823">
        <v>2490</v>
      </c>
      <c r="E1823" s="80">
        <v>45713</v>
      </c>
      <c r="F1823">
        <v>3010101</v>
      </c>
      <c r="G1823">
        <v>25201</v>
      </c>
    </row>
    <row r="1824" spans="1:7" x14ac:dyDescent="0.3">
      <c r="A1824" s="80">
        <v>45733</v>
      </c>
      <c r="B1824">
        <v>1010100</v>
      </c>
      <c r="C1824">
        <v>2490</v>
      </c>
      <c r="E1824" s="80">
        <v>45713</v>
      </c>
      <c r="F1824">
        <v>3010101</v>
      </c>
      <c r="G1824">
        <v>25201</v>
      </c>
    </row>
    <row r="1825" spans="1:7" x14ac:dyDescent="0.3">
      <c r="A1825" s="80">
        <v>45733</v>
      </c>
      <c r="B1825">
        <v>1010100</v>
      </c>
      <c r="C1825">
        <v>1990</v>
      </c>
      <c r="E1825" s="80">
        <v>45713</v>
      </c>
      <c r="F1825">
        <v>3010101</v>
      </c>
      <c r="G1825">
        <v>25201</v>
      </c>
    </row>
    <row r="1826" spans="1:7" x14ac:dyDescent="0.3">
      <c r="A1826" s="80">
        <v>45733</v>
      </c>
      <c r="B1826">
        <v>1010100</v>
      </c>
      <c r="C1826">
        <v>0</v>
      </c>
      <c r="E1826" s="80">
        <v>45713</v>
      </c>
      <c r="F1826">
        <v>3010101</v>
      </c>
      <c r="G1826">
        <v>25201</v>
      </c>
    </row>
    <row r="1827" spans="1:7" x14ac:dyDescent="0.3">
      <c r="A1827" s="80">
        <v>45733</v>
      </c>
      <c r="B1827">
        <v>1010100</v>
      </c>
      <c r="C1827">
        <v>0</v>
      </c>
      <c r="E1827" s="80">
        <v>45712</v>
      </c>
      <c r="F1827">
        <v>3010101</v>
      </c>
      <c r="G1827">
        <v>25201</v>
      </c>
    </row>
    <row r="1828" spans="1:7" x14ac:dyDescent="0.3">
      <c r="A1828" s="80">
        <v>45733</v>
      </c>
      <c r="B1828">
        <v>1010100</v>
      </c>
      <c r="C1828">
        <v>0</v>
      </c>
      <c r="E1828" s="80">
        <v>45712</v>
      </c>
      <c r="F1828">
        <v>3010101</v>
      </c>
      <c r="G1828">
        <v>25201</v>
      </c>
    </row>
    <row r="1829" spans="1:7" x14ac:dyDescent="0.3">
      <c r="A1829" s="80">
        <v>45732</v>
      </c>
      <c r="B1829">
        <v>1010100</v>
      </c>
      <c r="C1829">
        <v>1990</v>
      </c>
      <c r="E1829" s="80">
        <v>45712</v>
      </c>
      <c r="F1829">
        <v>3010101</v>
      </c>
      <c r="G1829">
        <v>22681</v>
      </c>
    </row>
    <row r="1830" spans="1:7" x14ac:dyDescent="0.3">
      <c r="A1830" s="80">
        <v>45732</v>
      </c>
      <c r="B1830">
        <v>1010100</v>
      </c>
      <c r="C1830">
        <v>1990</v>
      </c>
      <c r="E1830" s="80">
        <v>45712</v>
      </c>
      <c r="F1830">
        <v>3010101</v>
      </c>
      <c r="G1830">
        <v>18478</v>
      </c>
    </row>
    <row r="1831" spans="1:7" x14ac:dyDescent="0.3">
      <c r="A1831" s="80">
        <v>45731</v>
      </c>
      <c r="B1831">
        <v>1010100</v>
      </c>
      <c r="C1831">
        <v>0</v>
      </c>
      <c r="E1831" s="80">
        <v>45712</v>
      </c>
      <c r="F1831">
        <v>3010101</v>
      </c>
      <c r="G1831">
        <v>25201</v>
      </c>
    </row>
    <row r="1832" spans="1:7" x14ac:dyDescent="0.3">
      <c r="A1832" s="80">
        <v>45731</v>
      </c>
      <c r="B1832">
        <v>1010100</v>
      </c>
      <c r="C1832">
        <v>0</v>
      </c>
      <c r="E1832" s="80">
        <v>45711</v>
      </c>
      <c r="F1832">
        <v>3010101</v>
      </c>
      <c r="G1832">
        <v>25201</v>
      </c>
    </row>
    <row r="1833" spans="1:7" x14ac:dyDescent="0.3">
      <c r="A1833" s="80">
        <v>45731</v>
      </c>
      <c r="B1833">
        <v>1010100</v>
      </c>
      <c r="C1833">
        <v>0</v>
      </c>
      <c r="E1833" s="80">
        <v>45711</v>
      </c>
      <c r="F1833">
        <v>3010101</v>
      </c>
      <c r="G1833">
        <v>25201</v>
      </c>
    </row>
    <row r="1834" spans="1:7" x14ac:dyDescent="0.3">
      <c r="A1834" s="80">
        <v>45730</v>
      </c>
      <c r="B1834">
        <v>1010100</v>
      </c>
      <c r="C1834">
        <v>0</v>
      </c>
      <c r="E1834" s="80">
        <v>45710</v>
      </c>
      <c r="F1834">
        <v>3010101</v>
      </c>
      <c r="G1834">
        <v>25201</v>
      </c>
    </row>
    <row r="1835" spans="1:7" x14ac:dyDescent="0.3">
      <c r="A1835" s="80">
        <v>45730</v>
      </c>
      <c r="B1835">
        <v>1010100</v>
      </c>
      <c r="C1835">
        <v>0</v>
      </c>
      <c r="E1835" s="80">
        <v>45710</v>
      </c>
      <c r="F1835">
        <v>3010101</v>
      </c>
      <c r="G1835">
        <v>25201</v>
      </c>
    </row>
    <row r="1836" spans="1:7" x14ac:dyDescent="0.3">
      <c r="A1836" s="80">
        <v>45730</v>
      </c>
      <c r="B1836">
        <v>1010100</v>
      </c>
      <c r="C1836">
        <v>0</v>
      </c>
      <c r="E1836" s="80">
        <v>45710</v>
      </c>
      <c r="F1836">
        <v>3010101</v>
      </c>
      <c r="G1836">
        <v>25201</v>
      </c>
    </row>
    <row r="1837" spans="1:7" x14ac:dyDescent="0.3">
      <c r="A1837" s="80">
        <v>45729</v>
      </c>
      <c r="B1837">
        <v>1010100</v>
      </c>
      <c r="C1837">
        <v>2190</v>
      </c>
      <c r="E1837" s="80">
        <v>45710</v>
      </c>
      <c r="F1837">
        <v>3010101</v>
      </c>
      <c r="G1837">
        <v>25201</v>
      </c>
    </row>
    <row r="1838" spans="1:7" x14ac:dyDescent="0.3">
      <c r="A1838" s="80">
        <v>45728</v>
      </c>
      <c r="B1838">
        <v>1010100</v>
      </c>
      <c r="C1838">
        <v>1990</v>
      </c>
      <c r="E1838" s="80">
        <v>45710</v>
      </c>
      <c r="F1838">
        <v>3010101</v>
      </c>
      <c r="G1838">
        <v>25201</v>
      </c>
    </row>
    <row r="1839" spans="1:7" x14ac:dyDescent="0.3">
      <c r="A1839" s="80">
        <v>45728</v>
      </c>
      <c r="B1839">
        <v>1010100</v>
      </c>
      <c r="C1839">
        <v>1990</v>
      </c>
      <c r="E1839" s="80">
        <v>45710</v>
      </c>
      <c r="F1839">
        <v>3010101</v>
      </c>
      <c r="G1839">
        <v>25201</v>
      </c>
    </row>
    <row r="1840" spans="1:7" x14ac:dyDescent="0.3">
      <c r="A1840" s="80">
        <v>45727</v>
      </c>
      <c r="B1840">
        <v>1010100</v>
      </c>
      <c r="C1840">
        <v>2790</v>
      </c>
      <c r="E1840" s="80">
        <v>45710</v>
      </c>
      <c r="F1840">
        <v>3010101</v>
      </c>
      <c r="G1840">
        <v>25201</v>
      </c>
    </row>
    <row r="1841" spans="1:7" x14ac:dyDescent="0.3">
      <c r="A1841" s="80">
        <v>45727</v>
      </c>
      <c r="B1841">
        <v>1010100</v>
      </c>
      <c r="C1841">
        <v>1990</v>
      </c>
      <c r="E1841" s="80">
        <v>45710</v>
      </c>
      <c r="F1841">
        <v>3010101</v>
      </c>
      <c r="G1841">
        <v>25201</v>
      </c>
    </row>
    <row r="1842" spans="1:7" x14ac:dyDescent="0.3">
      <c r="A1842" s="80">
        <v>45727</v>
      </c>
      <c r="B1842">
        <v>1010100</v>
      </c>
      <c r="C1842">
        <v>4567</v>
      </c>
      <c r="E1842" s="80">
        <v>45710</v>
      </c>
      <c r="F1842">
        <v>3010101</v>
      </c>
      <c r="G1842">
        <v>22681</v>
      </c>
    </row>
    <row r="1843" spans="1:7" x14ac:dyDescent="0.3">
      <c r="A1843" s="80">
        <v>45727</v>
      </c>
      <c r="B1843">
        <v>1010100</v>
      </c>
      <c r="C1843">
        <v>1990</v>
      </c>
      <c r="E1843" s="80">
        <v>45710</v>
      </c>
      <c r="F1843">
        <v>3010101</v>
      </c>
      <c r="G1843">
        <v>25201</v>
      </c>
    </row>
    <row r="1844" spans="1:7" x14ac:dyDescent="0.3">
      <c r="A1844" s="80">
        <v>45727</v>
      </c>
      <c r="B1844">
        <v>1010100</v>
      </c>
      <c r="C1844">
        <v>0</v>
      </c>
      <c r="E1844" s="80">
        <v>45709</v>
      </c>
      <c r="F1844">
        <v>3010101</v>
      </c>
      <c r="G1844">
        <v>25201</v>
      </c>
    </row>
    <row r="1845" spans="1:7" x14ac:dyDescent="0.3">
      <c r="A1845" s="80">
        <v>45726</v>
      </c>
      <c r="B1845">
        <v>1010100</v>
      </c>
      <c r="C1845">
        <v>1990</v>
      </c>
      <c r="E1845" s="80">
        <v>45709</v>
      </c>
      <c r="F1845">
        <v>3010101</v>
      </c>
      <c r="G1845">
        <v>25201</v>
      </c>
    </row>
    <row r="1846" spans="1:7" x14ac:dyDescent="0.3">
      <c r="A1846" s="80">
        <v>45726</v>
      </c>
      <c r="B1846">
        <v>1010100</v>
      </c>
      <c r="C1846">
        <v>0</v>
      </c>
      <c r="E1846" s="80">
        <v>45709</v>
      </c>
      <c r="F1846">
        <v>3010101</v>
      </c>
      <c r="G1846">
        <v>8394</v>
      </c>
    </row>
    <row r="1847" spans="1:7" x14ac:dyDescent="0.3">
      <c r="A1847" s="80">
        <v>45726</v>
      </c>
      <c r="B1847">
        <v>1010100</v>
      </c>
      <c r="C1847">
        <v>1990</v>
      </c>
      <c r="E1847" s="80">
        <v>45709</v>
      </c>
      <c r="F1847">
        <v>3010101</v>
      </c>
      <c r="G1847">
        <v>25201</v>
      </c>
    </row>
    <row r="1848" spans="1:7" x14ac:dyDescent="0.3">
      <c r="A1848" s="80">
        <v>45726</v>
      </c>
      <c r="B1848">
        <v>1010100</v>
      </c>
      <c r="C1848">
        <v>2390</v>
      </c>
      <c r="E1848" s="80">
        <v>45709</v>
      </c>
      <c r="F1848">
        <v>3010101</v>
      </c>
      <c r="G1848">
        <v>25201</v>
      </c>
    </row>
    <row r="1849" spans="1:7" x14ac:dyDescent="0.3">
      <c r="A1849" s="80">
        <v>45726</v>
      </c>
      <c r="B1849">
        <v>1010100</v>
      </c>
      <c r="C1849">
        <v>0</v>
      </c>
      <c r="E1849" s="80">
        <v>45709</v>
      </c>
      <c r="F1849">
        <v>3010101</v>
      </c>
      <c r="G1849">
        <v>25201</v>
      </c>
    </row>
    <row r="1850" spans="1:7" x14ac:dyDescent="0.3">
      <c r="A1850" s="80">
        <v>45725</v>
      </c>
      <c r="B1850">
        <v>1010100</v>
      </c>
      <c r="C1850">
        <v>0</v>
      </c>
      <c r="E1850" s="80">
        <v>45709</v>
      </c>
      <c r="F1850">
        <v>3010101</v>
      </c>
      <c r="G1850">
        <v>25201</v>
      </c>
    </row>
    <row r="1851" spans="1:7" x14ac:dyDescent="0.3">
      <c r="A1851" s="80">
        <v>45725</v>
      </c>
      <c r="B1851">
        <v>1010100</v>
      </c>
      <c r="C1851">
        <v>0</v>
      </c>
      <c r="E1851" s="80">
        <v>45709</v>
      </c>
      <c r="F1851">
        <v>3010101</v>
      </c>
      <c r="G1851">
        <v>25201</v>
      </c>
    </row>
    <row r="1852" spans="1:7" x14ac:dyDescent="0.3">
      <c r="A1852" s="80">
        <v>45725</v>
      </c>
      <c r="B1852">
        <v>1010100</v>
      </c>
      <c r="C1852">
        <v>0</v>
      </c>
      <c r="E1852" s="80">
        <v>45709</v>
      </c>
      <c r="F1852">
        <v>3010101</v>
      </c>
      <c r="G1852">
        <v>25201</v>
      </c>
    </row>
    <row r="1853" spans="1:7" x14ac:dyDescent="0.3">
      <c r="A1853" s="80">
        <v>45725</v>
      </c>
      <c r="B1853">
        <v>1010100</v>
      </c>
      <c r="C1853">
        <v>0</v>
      </c>
      <c r="E1853" s="80">
        <v>45709</v>
      </c>
      <c r="F1853">
        <v>3010101</v>
      </c>
      <c r="G1853">
        <v>25201</v>
      </c>
    </row>
    <row r="1854" spans="1:7" x14ac:dyDescent="0.3">
      <c r="A1854" s="80">
        <v>45725</v>
      </c>
      <c r="B1854">
        <v>1010100</v>
      </c>
      <c r="C1854">
        <v>0</v>
      </c>
      <c r="E1854" s="80">
        <v>45709</v>
      </c>
      <c r="F1854">
        <v>3010101</v>
      </c>
      <c r="G1854">
        <v>25201</v>
      </c>
    </row>
    <row r="1855" spans="1:7" x14ac:dyDescent="0.3">
      <c r="A1855" s="80">
        <v>45725</v>
      </c>
      <c r="B1855">
        <v>1010100</v>
      </c>
      <c r="C1855">
        <v>0</v>
      </c>
      <c r="E1855" s="80">
        <v>45709</v>
      </c>
      <c r="F1855">
        <v>3010101</v>
      </c>
      <c r="G1855">
        <v>25201</v>
      </c>
    </row>
    <row r="1856" spans="1:7" x14ac:dyDescent="0.3">
      <c r="A1856" s="80">
        <v>45725</v>
      </c>
      <c r="B1856">
        <v>1010100</v>
      </c>
      <c r="C1856">
        <v>0</v>
      </c>
      <c r="E1856" s="80">
        <v>45708</v>
      </c>
      <c r="F1856">
        <v>3010101</v>
      </c>
      <c r="G1856">
        <v>25201</v>
      </c>
    </row>
    <row r="1857" spans="1:7" x14ac:dyDescent="0.3">
      <c r="A1857" s="80">
        <v>45725</v>
      </c>
      <c r="B1857">
        <v>1010100</v>
      </c>
      <c r="C1857">
        <v>0</v>
      </c>
      <c r="E1857" s="80">
        <v>45708</v>
      </c>
      <c r="F1857">
        <v>3010101</v>
      </c>
      <c r="G1857">
        <v>25201</v>
      </c>
    </row>
    <row r="1858" spans="1:7" x14ac:dyDescent="0.3">
      <c r="A1858" s="80">
        <v>45725</v>
      </c>
      <c r="B1858">
        <v>1010100</v>
      </c>
      <c r="C1858">
        <v>1990</v>
      </c>
      <c r="E1858" s="80">
        <v>45708</v>
      </c>
      <c r="F1858">
        <v>3010101</v>
      </c>
      <c r="G1858">
        <v>25201</v>
      </c>
    </row>
    <row r="1859" spans="1:7" x14ac:dyDescent="0.3">
      <c r="A1859" s="80">
        <v>45725</v>
      </c>
      <c r="B1859">
        <v>1010100</v>
      </c>
      <c r="C1859">
        <v>0</v>
      </c>
      <c r="E1859" s="80">
        <v>45708</v>
      </c>
      <c r="F1859">
        <v>3010101</v>
      </c>
      <c r="G1859">
        <v>18478</v>
      </c>
    </row>
    <row r="1860" spans="1:7" x14ac:dyDescent="0.3">
      <c r="A1860" s="80">
        <v>45724</v>
      </c>
      <c r="B1860">
        <v>1010100</v>
      </c>
      <c r="C1860">
        <v>0</v>
      </c>
      <c r="E1860" s="80">
        <v>45708</v>
      </c>
      <c r="F1860">
        <v>3010101</v>
      </c>
      <c r="G1860">
        <v>25201</v>
      </c>
    </row>
    <row r="1861" spans="1:7" x14ac:dyDescent="0.3">
      <c r="A1861" s="80">
        <v>45724</v>
      </c>
      <c r="B1861">
        <v>1010100</v>
      </c>
      <c r="C1861">
        <v>4490</v>
      </c>
      <c r="E1861" s="80">
        <v>45708</v>
      </c>
      <c r="F1861">
        <v>3010101</v>
      </c>
      <c r="G1861">
        <v>21000</v>
      </c>
    </row>
    <row r="1862" spans="1:7" x14ac:dyDescent="0.3">
      <c r="A1862" s="80">
        <v>45723</v>
      </c>
      <c r="B1862">
        <v>1010100</v>
      </c>
      <c r="C1862">
        <v>0</v>
      </c>
      <c r="E1862" s="80">
        <v>45708</v>
      </c>
      <c r="F1862">
        <v>3010101</v>
      </c>
      <c r="G1862">
        <v>25201</v>
      </c>
    </row>
    <row r="1863" spans="1:7" x14ac:dyDescent="0.3">
      <c r="A1863" s="80">
        <v>45723</v>
      </c>
      <c r="B1863">
        <v>1010100</v>
      </c>
      <c r="C1863">
        <v>3990</v>
      </c>
      <c r="E1863" s="80">
        <v>45707</v>
      </c>
      <c r="F1863">
        <v>3010101</v>
      </c>
      <c r="G1863">
        <v>18478</v>
      </c>
    </row>
    <row r="1864" spans="1:7" x14ac:dyDescent="0.3">
      <c r="A1864" s="80">
        <v>45723</v>
      </c>
      <c r="B1864">
        <v>1010100</v>
      </c>
      <c r="C1864">
        <v>0</v>
      </c>
      <c r="E1864" s="80">
        <v>45705</v>
      </c>
      <c r="F1864">
        <v>3010101</v>
      </c>
      <c r="G1864">
        <v>18478</v>
      </c>
    </row>
    <row r="1865" spans="1:7" x14ac:dyDescent="0.3">
      <c r="A1865" s="80">
        <v>45723</v>
      </c>
      <c r="B1865">
        <v>1010100</v>
      </c>
      <c r="C1865">
        <v>0</v>
      </c>
      <c r="E1865" s="80">
        <v>45705</v>
      </c>
      <c r="F1865">
        <v>3010101</v>
      </c>
      <c r="G1865">
        <v>25201</v>
      </c>
    </row>
    <row r="1866" spans="1:7" x14ac:dyDescent="0.3">
      <c r="A1866" s="80">
        <v>45722</v>
      </c>
      <c r="B1866">
        <v>1010100</v>
      </c>
      <c r="C1866">
        <v>6190</v>
      </c>
      <c r="E1866" s="80">
        <v>45705</v>
      </c>
      <c r="F1866">
        <v>3010101</v>
      </c>
      <c r="G1866">
        <v>18478</v>
      </c>
    </row>
    <row r="1867" spans="1:7" x14ac:dyDescent="0.3">
      <c r="A1867" s="80">
        <v>45722</v>
      </c>
      <c r="B1867">
        <v>1010100</v>
      </c>
      <c r="C1867">
        <v>0</v>
      </c>
      <c r="E1867" s="80">
        <v>45704</v>
      </c>
      <c r="F1867">
        <v>3010101</v>
      </c>
      <c r="G1867">
        <v>18478</v>
      </c>
    </row>
    <row r="1868" spans="1:7" x14ac:dyDescent="0.3">
      <c r="A1868" s="80">
        <v>45722</v>
      </c>
      <c r="B1868">
        <v>1010100</v>
      </c>
      <c r="C1868">
        <v>0</v>
      </c>
      <c r="E1868" s="80">
        <v>45704</v>
      </c>
      <c r="F1868">
        <v>3010101</v>
      </c>
      <c r="G1868">
        <v>21000</v>
      </c>
    </row>
    <row r="1869" spans="1:7" x14ac:dyDescent="0.3">
      <c r="A1869" s="80">
        <v>45722</v>
      </c>
      <c r="B1869">
        <v>1010100</v>
      </c>
      <c r="C1869">
        <v>0</v>
      </c>
      <c r="E1869" s="80">
        <v>45704</v>
      </c>
      <c r="F1869">
        <v>3010101</v>
      </c>
      <c r="G1869">
        <v>25201</v>
      </c>
    </row>
    <row r="1870" spans="1:7" x14ac:dyDescent="0.3">
      <c r="A1870" s="80">
        <v>45721</v>
      </c>
      <c r="B1870">
        <v>1010100</v>
      </c>
      <c r="C1870">
        <v>6890</v>
      </c>
      <c r="E1870" s="80">
        <v>45703</v>
      </c>
      <c r="F1870">
        <v>3010101</v>
      </c>
      <c r="G1870">
        <v>18478</v>
      </c>
    </row>
    <row r="1871" spans="1:7" x14ac:dyDescent="0.3">
      <c r="A1871" s="80">
        <v>45721</v>
      </c>
      <c r="B1871">
        <v>1010100</v>
      </c>
      <c r="C1871">
        <v>1990</v>
      </c>
      <c r="E1871" s="80">
        <v>45703</v>
      </c>
      <c r="F1871">
        <v>3010101</v>
      </c>
      <c r="G1871">
        <v>25201</v>
      </c>
    </row>
    <row r="1872" spans="1:7" x14ac:dyDescent="0.3">
      <c r="A1872" s="80">
        <v>45721</v>
      </c>
      <c r="B1872">
        <v>1010100</v>
      </c>
      <c r="C1872">
        <v>1990</v>
      </c>
      <c r="E1872" s="80">
        <v>45703</v>
      </c>
      <c r="F1872">
        <v>3010101</v>
      </c>
      <c r="G1872">
        <v>25201</v>
      </c>
    </row>
    <row r="1873" spans="1:7" x14ac:dyDescent="0.3">
      <c r="A1873" s="80">
        <v>45720</v>
      </c>
      <c r="B1873">
        <v>1010100</v>
      </c>
      <c r="C1873">
        <v>1990</v>
      </c>
      <c r="E1873" s="80">
        <v>45703</v>
      </c>
      <c r="F1873">
        <v>3010101</v>
      </c>
      <c r="G1873">
        <v>25201</v>
      </c>
    </row>
    <row r="1874" spans="1:7" x14ac:dyDescent="0.3">
      <c r="A1874" s="80">
        <v>45720</v>
      </c>
      <c r="B1874">
        <v>1010100</v>
      </c>
      <c r="C1874">
        <v>1990</v>
      </c>
      <c r="E1874" s="80">
        <v>45702</v>
      </c>
      <c r="F1874">
        <v>3010101</v>
      </c>
      <c r="G1874">
        <v>25201</v>
      </c>
    </row>
    <row r="1875" spans="1:7" x14ac:dyDescent="0.3">
      <c r="A1875" s="80">
        <v>45720</v>
      </c>
      <c r="B1875">
        <v>1010100</v>
      </c>
      <c r="C1875">
        <v>1990</v>
      </c>
      <c r="E1875" s="80">
        <v>45702</v>
      </c>
      <c r="F1875">
        <v>3010101</v>
      </c>
      <c r="G1875">
        <v>21000</v>
      </c>
    </row>
    <row r="1876" spans="1:7" x14ac:dyDescent="0.3">
      <c r="A1876" s="80">
        <v>45720</v>
      </c>
      <c r="B1876">
        <v>1010100</v>
      </c>
      <c r="C1876">
        <v>2740</v>
      </c>
      <c r="E1876" s="80">
        <v>45701</v>
      </c>
      <c r="F1876">
        <v>3010101</v>
      </c>
      <c r="G1876">
        <v>18268</v>
      </c>
    </row>
    <row r="1877" spans="1:7" x14ac:dyDescent="0.3">
      <c r="A1877" s="80">
        <v>45719</v>
      </c>
      <c r="B1877">
        <v>1010100</v>
      </c>
      <c r="C1877">
        <v>2740</v>
      </c>
      <c r="E1877" s="80">
        <v>45701</v>
      </c>
      <c r="F1877">
        <v>3010101</v>
      </c>
      <c r="G1877">
        <v>18268</v>
      </c>
    </row>
    <row r="1878" spans="1:7" x14ac:dyDescent="0.3">
      <c r="A1878" s="80">
        <v>45719</v>
      </c>
      <c r="B1878">
        <v>1010100</v>
      </c>
      <c r="C1878">
        <v>0</v>
      </c>
      <c r="E1878" s="80">
        <v>45701</v>
      </c>
      <c r="F1878">
        <v>3010101</v>
      </c>
      <c r="G1878">
        <v>18268</v>
      </c>
    </row>
    <row r="1879" spans="1:7" x14ac:dyDescent="0.3">
      <c r="A1879" s="80">
        <v>45719</v>
      </c>
      <c r="B1879">
        <v>1010100</v>
      </c>
      <c r="C1879">
        <v>4740</v>
      </c>
      <c r="E1879" s="80">
        <v>45699</v>
      </c>
      <c r="F1879">
        <v>3010101</v>
      </c>
      <c r="G1879">
        <v>25201</v>
      </c>
    </row>
    <row r="1880" spans="1:7" x14ac:dyDescent="0.3">
      <c r="A1880" s="80">
        <v>45719</v>
      </c>
      <c r="B1880">
        <v>1010100</v>
      </c>
      <c r="C1880">
        <v>3990</v>
      </c>
      <c r="E1880" s="80">
        <v>45699</v>
      </c>
      <c r="F1880">
        <v>3010101</v>
      </c>
      <c r="G1880">
        <v>18268</v>
      </c>
    </row>
    <row r="1881" spans="1:7" x14ac:dyDescent="0.3">
      <c r="A1881" s="80">
        <v>45718</v>
      </c>
      <c r="B1881">
        <v>1010100</v>
      </c>
      <c r="C1881">
        <v>4340</v>
      </c>
      <c r="E1881" s="80">
        <v>45699</v>
      </c>
      <c r="F1881">
        <v>3010101</v>
      </c>
      <c r="G1881">
        <v>18268</v>
      </c>
    </row>
    <row r="1882" spans="1:7" x14ac:dyDescent="0.3">
      <c r="A1882" s="80">
        <v>45718</v>
      </c>
      <c r="B1882">
        <v>1010100</v>
      </c>
      <c r="C1882">
        <v>2740</v>
      </c>
      <c r="E1882" s="80">
        <v>45699</v>
      </c>
      <c r="F1882">
        <v>3010101</v>
      </c>
      <c r="G1882">
        <v>8394</v>
      </c>
    </row>
    <row r="1883" spans="1:7" x14ac:dyDescent="0.3">
      <c r="A1883" s="80">
        <v>45718</v>
      </c>
      <c r="B1883">
        <v>1010100</v>
      </c>
      <c r="C1883">
        <v>2740</v>
      </c>
      <c r="E1883" s="80">
        <v>45698</v>
      </c>
      <c r="F1883">
        <v>3010101</v>
      </c>
      <c r="G1883">
        <v>18268</v>
      </c>
    </row>
    <row r="1884" spans="1:7" x14ac:dyDescent="0.3">
      <c r="A1884" s="80">
        <v>45718</v>
      </c>
      <c r="B1884">
        <v>1010100</v>
      </c>
      <c r="C1884">
        <v>2740</v>
      </c>
      <c r="E1884" s="80">
        <v>45698</v>
      </c>
      <c r="F1884">
        <v>3010101</v>
      </c>
      <c r="G1884">
        <v>15957</v>
      </c>
    </row>
    <row r="1885" spans="1:7" x14ac:dyDescent="0.3">
      <c r="A1885" s="80">
        <v>45718</v>
      </c>
      <c r="B1885">
        <v>1010100</v>
      </c>
      <c r="C1885">
        <v>0</v>
      </c>
      <c r="E1885" s="80">
        <v>45698</v>
      </c>
      <c r="F1885">
        <v>3010101</v>
      </c>
      <c r="G1885">
        <v>18268</v>
      </c>
    </row>
    <row r="1886" spans="1:7" x14ac:dyDescent="0.3">
      <c r="A1886" s="80">
        <v>45718</v>
      </c>
      <c r="B1886">
        <v>1010100</v>
      </c>
      <c r="C1886">
        <v>0</v>
      </c>
      <c r="E1886" s="80">
        <v>45698</v>
      </c>
      <c r="F1886">
        <v>3010101</v>
      </c>
      <c r="G1886">
        <v>18268</v>
      </c>
    </row>
    <row r="1887" spans="1:7" x14ac:dyDescent="0.3">
      <c r="A1887" s="80">
        <v>45718</v>
      </c>
      <c r="B1887">
        <v>1010100</v>
      </c>
      <c r="C1887">
        <v>2740</v>
      </c>
      <c r="E1887" s="80">
        <v>45698</v>
      </c>
      <c r="F1887">
        <v>3010101</v>
      </c>
      <c r="G1887">
        <v>18268</v>
      </c>
    </row>
    <row r="1888" spans="1:7" x14ac:dyDescent="0.3">
      <c r="A1888" s="80">
        <v>45718</v>
      </c>
      <c r="B1888">
        <v>1010100</v>
      </c>
      <c r="C1888">
        <v>2740</v>
      </c>
      <c r="E1888" s="80">
        <v>45698</v>
      </c>
      <c r="F1888">
        <v>3010101</v>
      </c>
      <c r="G1888">
        <v>15957</v>
      </c>
    </row>
    <row r="1889" spans="1:7" x14ac:dyDescent="0.3">
      <c r="A1889" s="80">
        <v>45718</v>
      </c>
      <c r="B1889">
        <v>1010100</v>
      </c>
      <c r="C1889">
        <v>0</v>
      </c>
      <c r="E1889" s="80">
        <v>45697</v>
      </c>
      <c r="F1889">
        <v>3010101</v>
      </c>
      <c r="G1889">
        <v>18268</v>
      </c>
    </row>
    <row r="1890" spans="1:7" x14ac:dyDescent="0.3">
      <c r="A1890" s="80">
        <v>45718</v>
      </c>
      <c r="B1890">
        <v>1010100</v>
      </c>
      <c r="C1890">
        <v>0</v>
      </c>
      <c r="E1890" s="80">
        <v>45697</v>
      </c>
      <c r="F1890">
        <v>3010101</v>
      </c>
      <c r="G1890">
        <v>25201</v>
      </c>
    </row>
    <row r="1891" spans="1:7" x14ac:dyDescent="0.3">
      <c r="A1891" s="80">
        <v>45717</v>
      </c>
      <c r="B1891">
        <v>1010100</v>
      </c>
      <c r="C1891">
        <v>0</v>
      </c>
      <c r="E1891" s="80">
        <v>45696</v>
      </c>
      <c r="F1891">
        <v>3010101</v>
      </c>
      <c r="G1891">
        <v>15957</v>
      </c>
    </row>
    <row r="1892" spans="1:7" x14ac:dyDescent="0.3">
      <c r="A1892" s="80">
        <v>45717</v>
      </c>
      <c r="B1892">
        <v>1010100</v>
      </c>
      <c r="C1892">
        <v>5490</v>
      </c>
      <c r="E1892" s="80">
        <v>45696</v>
      </c>
      <c r="F1892">
        <v>3010101</v>
      </c>
      <c r="G1892">
        <v>25201</v>
      </c>
    </row>
    <row r="1893" spans="1:7" x14ac:dyDescent="0.3">
      <c r="A1893" s="80">
        <v>45717</v>
      </c>
      <c r="B1893">
        <v>1010100</v>
      </c>
      <c r="C1893">
        <v>0</v>
      </c>
      <c r="E1893" s="80">
        <v>45696</v>
      </c>
      <c r="F1893">
        <v>3010101</v>
      </c>
      <c r="G1893">
        <v>25201</v>
      </c>
    </row>
    <row r="1894" spans="1:7" x14ac:dyDescent="0.3">
      <c r="A1894" s="80">
        <v>45717</v>
      </c>
      <c r="B1894">
        <v>1010100</v>
      </c>
      <c r="C1894">
        <v>2740</v>
      </c>
      <c r="E1894" s="80">
        <v>45696</v>
      </c>
      <c r="F1894">
        <v>3010101</v>
      </c>
      <c r="G1894">
        <v>18268</v>
      </c>
    </row>
    <row r="1895" spans="1:7" x14ac:dyDescent="0.3">
      <c r="A1895" s="80">
        <v>45717</v>
      </c>
      <c r="B1895">
        <v>1010100</v>
      </c>
      <c r="C1895">
        <v>0</v>
      </c>
      <c r="E1895" s="80">
        <v>45696</v>
      </c>
      <c r="F1895">
        <v>3010101</v>
      </c>
      <c r="G1895">
        <v>25201</v>
      </c>
    </row>
    <row r="1896" spans="1:7" x14ac:dyDescent="0.3">
      <c r="A1896" s="80">
        <v>45717</v>
      </c>
      <c r="B1896">
        <v>1010100</v>
      </c>
      <c r="C1896">
        <v>0</v>
      </c>
      <c r="E1896" s="80">
        <v>45695</v>
      </c>
      <c r="F1896">
        <v>3010101</v>
      </c>
      <c r="G1896">
        <v>25201</v>
      </c>
    </row>
    <row r="1897" spans="1:7" x14ac:dyDescent="0.3">
      <c r="A1897" s="80">
        <v>45717</v>
      </c>
      <c r="B1897">
        <v>1010100</v>
      </c>
      <c r="C1897">
        <v>0</v>
      </c>
      <c r="E1897" s="80">
        <v>45695</v>
      </c>
      <c r="F1897">
        <v>3010101</v>
      </c>
      <c r="G1897">
        <v>25201</v>
      </c>
    </row>
    <row r="1898" spans="1:7" x14ac:dyDescent="0.3">
      <c r="A1898" s="80">
        <v>45717</v>
      </c>
      <c r="B1898">
        <v>1010100</v>
      </c>
      <c r="C1898">
        <v>2740</v>
      </c>
      <c r="E1898" s="80">
        <v>45695</v>
      </c>
      <c r="F1898">
        <v>3010101</v>
      </c>
      <c r="G1898">
        <v>25201</v>
      </c>
    </row>
    <row r="1899" spans="1:7" x14ac:dyDescent="0.3">
      <c r="A1899" s="80">
        <v>45716</v>
      </c>
      <c r="B1899">
        <v>1010100</v>
      </c>
      <c r="C1899">
        <v>4490</v>
      </c>
      <c r="E1899" s="80">
        <v>45695</v>
      </c>
      <c r="F1899">
        <v>3010101</v>
      </c>
      <c r="G1899">
        <v>25201</v>
      </c>
    </row>
    <row r="1900" spans="1:7" x14ac:dyDescent="0.3">
      <c r="A1900" s="80">
        <v>45716</v>
      </c>
      <c r="B1900">
        <v>1010100</v>
      </c>
      <c r="C1900">
        <v>2740</v>
      </c>
      <c r="E1900" s="80">
        <v>45695</v>
      </c>
      <c r="F1900">
        <v>3010101</v>
      </c>
      <c r="G1900">
        <v>25201</v>
      </c>
    </row>
    <row r="1901" spans="1:7" x14ac:dyDescent="0.3">
      <c r="A1901" s="80">
        <v>45716</v>
      </c>
      <c r="B1901">
        <v>1010100</v>
      </c>
      <c r="C1901">
        <v>2740</v>
      </c>
      <c r="E1901" s="80">
        <v>45695</v>
      </c>
      <c r="F1901">
        <v>3010101</v>
      </c>
      <c r="G1901">
        <v>25201</v>
      </c>
    </row>
    <row r="1902" spans="1:7" x14ac:dyDescent="0.3">
      <c r="A1902" s="80">
        <v>45716</v>
      </c>
      <c r="B1902">
        <v>1010100</v>
      </c>
      <c r="C1902">
        <v>2740</v>
      </c>
      <c r="E1902" s="80">
        <v>45694</v>
      </c>
      <c r="F1902">
        <v>3010101</v>
      </c>
      <c r="G1902">
        <v>25201</v>
      </c>
    </row>
    <row r="1903" spans="1:7" x14ac:dyDescent="0.3">
      <c r="A1903" s="80">
        <v>45716</v>
      </c>
      <c r="B1903">
        <v>1010100</v>
      </c>
      <c r="C1903">
        <v>1990</v>
      </c>
      <c r="E1903" s="80">
        <v>45694</v>
      </c>
      <c r="F1903">
        <v>3010101</v>
      </c>
      <c r="G1903">
        <v>25201</v>
      </c>
    </row>
    <row r="1904" spans="1:7" x14ac:dyDescent="0.3">
      <c r="A1904" s="80">
        <v>45716</v>
      </c>
      <c r="B1904">
        <v>1010100</v>
      </c>
      <c r="C1904">
        <v>0</v>
      </c>
      <c r="E1904" s="80">
        <v>45694</v>
      </c>
      <c r="F1904">
        <v>3010101</v>
      </c>
      <c r="G1904">
        <v>25201</v>
      </c>
    </row>
    <row r="1905" spans="1:7" x14ac:dyDescent="0.3">
      <c r="A1905" s="80">
        <v>45716</v>
      </c>
      <c r="B1905">
        <v>1010100</v>
      </c>
      <c r="C1905">
        <v>0</v>
      </c>
      <c r="E1905" s="80">
        <v>45694</v>
      </c>
      <c r="F1905">
        <v>3010101</v>
      </c>
      <c r="G1905">
        <v>18268</v>
      </c>
    </row>
    <row r="1906" spans="1:7" x14ac:dyDescent="0.3">
      <c r="A1906" s="80">
        <v>45716</v>
      </c>
      <c r="B1906">
        <v>1010100</v>
      </c>
      <c r="C1906">
        <v>0</v>
      </c>
      <c r="E1906" s="80">
        <v>45694</v>
      </c>
      <c r="F1906">
        <v>3010101</v>
      </c>
      <c r="G1906">
        <v>25201</v>
      </c>
    </row>
    <row r="1907" spans="1:7" x14ac:dyDescent="0.3">
      <c r="A1907" s="80">
        <v>45715</v>
      </c>
      <c r="B1907">
        <v>1010100</v>
      </c>
      <c r="C1907">
        <v>1990</v>
      </c>
      <c r="E1907" s="80">
        <v>45694</v>
      </c>
      <c r="F1907">
        <v>3010101</v>
      </c>
      <c r="G1907">
        <v>8394</v>
      </c>
    </row>
    <row r="1908" spans="1:7" x14ac:dyDescent="0.3">
      <c r="A1908" s="80">
        <v>45715</v>
      </c>
      <c r="B1908">
        <v>1010100</v>
      </c>
      <c r="C1908">
        <v>4521</v>
      </c>
      <c r="E1908" s="80">
        <v>45694</v>
      </c>
      <c r="F1908">
        <v>3010101</v>
      </c>
      <c r="G1908">
        <v>25201</v>
      </c>
    </row>
    <row r="1909" spans="1:7" x14ac:dyDescent="0.3">
      <c r="A1909" s="80">
        <v>45715</v>
      </c>
      <c r="B1909">
        <v>1010100</v>
      </c>
      <c r="C1909">
        <v>1990</v>
      </c>
      <c r="E1909" s="80">
        <v>45694</v>
      </c>
      <c r="F1909">
        <v>3010101</v>
      </c>
      <c r="G1909">
        <v>36537</v>
      </c>
    </row>
    <row r="1910" spans="1:7" x14ac:dyDescent="0.3">
      <c r="A1910" s="80">
        <v>45715</v>
      </c>
      <c r="B1910">
        <v>1010100</v>
      </c>
      <c r="C1910">
        <v>0</v>
      </c>
      <c r="E1910" s="80">
        <v>45694</v>
      </c>
      <c r="F1910">
        <v>3010101</v>
      </c>
      <c r="G1910">
        <v>25201</v>
      </c>
    </row>
    <row r="1911" spans="1:7" x14ac:dyDescent="0.3">
      <c r="A1911" s="80">
        <v>45714</v>
      </c>
      <c r="B1911">
        <v>1010100</v>
      </c>
      <c r="C1911">
        <v>1990</v>
      </c>
      <c r="E1911" s="80">
        <v>45694</v>
      </c>
      <c r="F1911">
        <v>3010101</v>
      </c>
      <c r="G1911">
        <v>25201</v>
      </c>
    </row>
    <row r="1912" spans="1:7" x14ac:dyDescent="0.3">
      <c r="A1912" s="80">
        <v>45714</v>
      </c>
      <c r="B1912">
        <v>1010100</v>
      </c>
      <c r="C1912">
        <v>0</v>
      </c>
      <c r="E1912" s="80">
        <v>45694</v>
      </c>
      <c r="F1912">
        <v>3010101</v>
      </c>
      <c r="G1912">
        <v>25201</v>
      </c>
    </row>
    <row r="1913" spans="1:7" x14ac:dyDescent="0.3">
      <c r="A1913" s="80">
        <v>45714</v>
      </c>
      <c r="B1913">
        <v>1010100</v>
      </c>
      <c r="C1913">
        <v>1990</v>
      </c>
      <c r="E1913" s="80">
        <v>45693</v>
      </c>
      <c r="F1913">
        <v>3010101</v>
      </c>
      <c r="G1913">
        <v>25201</v>
      </c>
    </row>
    <row r="1914" spans="1:7" x14ac:dyDescent="0.3">
      <c r="A1914" s="80">
        <v>45714</v>
      </c>
      <c r="B1914">
        <v>1010100</v>
      </c>
      <c r="C1914">
        <v>1990</v>
      </c>
      <c r="E1914" s="80">
        <v>45693</v>
      </c>
      <c r="F1914">
        <v>3010101</v>
      </c>
      <c r="G1914">
        <v>25201</v>
      </c>
    </row>
    <row r="1915" spans="1:7" x14ac:dyDescent="0.3">
      <c r="A1915" s="80">
        <v>45713</v>
      </c>
      <c r="B1915">
        <v>1010100</v>
      </c>
      <c r="C1915">
        <v>1990</v>
      </c>
      <c r="E1915" s="80">
        <v>45693</v>
      </c>
      <c r="F1915">
        <v>3010101</v>
      </c>
      <c r="G1915">
        <v>25201</v>
      </c>
    </row>
    <row r="1916" spans="1:7" x14ac:dyDescent="0.3">
      <c r="A1916" s="80">
        <v>45713</v>
      </c>
      <c r="B1916">
        <v>1010100</v>
      </c>
      <c r="C1916">
        <v>1990</v>
      </c>
      <c r="E1916" s="80">
        <v>45693</v>
      </c>
      <c r="F1916">
        <v>3010101</v>
      </c>
      <c r="G1916">
        <v>18268</v>
      </c>
    </row>
    <row r="1917" spans="1:7" x14ac:dyDescent="0.3">
      <c r="A1917" s="80">
        <v>45713</v>
      </c>
      <c r="B1917">
        <v>1010100</v>
      </c>
      <c r="C1917">
        <v>4390</v>
      </c>
      <c r="E1917" s="80">
        <v>45693</v>
      </c>
      <c r="F1917">
        <v>3010101</v>
      </c>
      <c r="G1917">
        <v>18268</v>
      </c>
    </row>
    <row r="1918" spans="1:7" x14ac:dyDescent="0.3">
      <c r="A1918" s="80">
        <v>45713</v>
      </c>
      <c r="B1918">
        <v>1010100</v>
      </c>
      <c r="C1918">
        <v>1990</v>
      </c>
      <c r="E1918" s="80">
        <v>45693</v>
      </c>
      <c r="F1918">
        <v>3010101</v>
      </c>
      <c r="G1918">
        <v>18268</v>
      </c>
    </row>
    <row r="1919" spans="1:7" x14ac:dyDescent="0.3">
      <c r="A1919" s="80">
        <v>45712</v>
      </c>
      <c r="B1919">
        <v>1010100</v>
      </c>
      <c r="C1919">
        <v>3790</v>
      </c>
      <c r="E1919" s="80">
        <v>45693</v>
      </c>
      <c r="F1919">
        <v>3010101</v>
      </c>
      <c r="G1919">
        <v>25201</v>
      </c>
    </row>
    <row r="1920" spans="1:7" x14ac:dyDescent="0.3">
      <c r="A1920" s="80">
        <v>45712</v>
      </c>
      <c r="B1920">
        <v>1010100</v>
      </c>
      <c r="C1920">
        <v>4290</v>
      </c>
      <c r="E1920" s="80">
        <v>45693</v>
      </c>
      <c r="F1920">
        <v>3010101</v>
      </c>
      <c r="G1920">
        <v>25201</v>
      </c>
    </row>
    <row r="1921" spans="1:7" x14ac:dyDescent="0.3">
      <c r="A1921" s="80">
        <v>45712</v>
      </c>
      <c r="B1921">
        <v>1010100</v>
      </c>
      <c r="C1921">
        <v>1990</v>
      </c>
      <c r="E1921" s="80">
        <v>45693</v>
      </c>
      <c r="F1921">
        <v>3010101</v>
      </c>
      <c r="G1921">
        <v>25201</v>
      </c>
    </row>
    <row r="1922" spans="1:7" x14ac:dyDescent="0.3">
      <c r="A1922" s="80">
        <v>45712</v>
      </c>
      <c r="B1922">
        <v>1010100</v>
      </c>
      <c r="C1922">
        <v>3490</v>
      </c>
      <c r="E1922" s="80">
        <v>45693</v>
      </c>
      <c r="F1922">
        <v>3010101</v>
      </c>
      <c r="G1922">
        <v>25201</v>
      </c>
    </row>
    <row r="1923" spans="1:7" x14ac:dyDescent="0.3">
      <c r="A1923" s="80">
        <v>45712</v>
      </c>
      <c r="B1923">
        <v>1010100</v>
      </c>
      <c r="C1923">
        <v>4790</v>
      </c>
      <c r="E1923" s="80">
        <v>45693</v>
      </c>
      <c r="F1923">
        <v>3010101</v>
      </c>
      <c r="G1923">
        <v>18268</v>
      </c>
    </row>
    <row r="1924" spans="1:7" x14ac:dyDescent="0.3">
      <c r="A1924" s="80">
        <v>45711</v>
      </c>
      <c r="B1924">
        <v>1010100</v>
      </c>
      <c r="C1924">
        <v>1990</v>
      </c>
      <c r="E1924" s="80">
        <v>45692</v>
      </c>
      <c r="F1924">
        <v>3010101</v>
      </c>
      <c r="G1924">
        <v>18268</v>
      </c>
    </row>
    <row r="1925" spans="1:7" x14ac:dyDescent="0.3">
      <c r="A1925" s="80">
        <v>45711</v>
      </c>
      <c r="B1925">
        <v>1010100</v>
      </c>
      <c r="C1925">
        <v>4390</v>
      </c>
      <c r="E1925" s="80">
        <v>45692</v>
      </c>
      <c r="F1925">
        <v>3010101</v>
      </c>
      <c r="G1925">
        <v>18268</v>
      </c>
    </row>
    <row r="1926" spans="1:7" x14ac:dyDescent="0.3">
      <c r="A1926" s="80">
        <v>45710</v>
      </c>
      <c r="B1926">
        <v>1010100</v>
      </c>
      <c r="C1926">
        <v>6190</v>
      </c>
      <c r="E1926" s="80">
        <v>45692</v>
      </c>
      <c r="F1926">
        <v>3010101</v>
      </c>
      <c r="G1926">
        <v>18268</v>
      </c>
    </row>
    <row r="1927" spans="1:7" x14ac:dyDescent="0.3">
      <c r="A1927" s="80">
        <v>45710</v>
      </c>
      <c r="B1927">
        <v>1010100</v>
      </c>
      <c r="C1927">
        <v>1990</v>
      </c>
      <c r="E1927" s="80">
        <v>45692</v>
      </c>
      <c r="F1927">
        <v>3010101</v>
      </c>
      <c r="G1927">
        <v>25201</v>
      </c>
    </row>
    <row r="1928" spans="1:7" x14ac:dyDescent="0.3">
      <c r="A1928" s="80">
        <v>45710</v>
      </c>
      <c r="B1928">
        <v>1010100</v>
      </c>
      <c r="C1928">
        <v>1990</v>
      </c>
      <c r="E1928" s="80">
        <v>45692</v>
      </c>
      <c r="F1928">
        <v>3010101</v>
      </c>
      <c r="G1928">
        <v>22681</v>
      </c>
    </row>
    <row r="1929" spans="1:7" x14ac:dyDescent="0.3">
      <c r="A1929" s="80">
        <v>45710</v>
      </c>
      <c r="B1929">
        <v>1010100</v>
      </c>
      <c r="C1929">
        <v>4790</v>
      </c>
      <c r="E1929" s="80">
        <v>45692</v>
      </c>
      <c r="F1929">
        <v>3010101</v>
      </c>
      <c r="G1929">
        <v>25201</v>
      </c>
    </row>
    <row r="1930" spans="1:7" x14ac:dyDescent="0.3">
      <c r="A1930" s="80">
        <v>45710</v>
      </c>
      <c r="B1930">
        <v>1010100</v>
      </c>
      <c r="C1930">
        <v>3990</v>
      </c>
      <c r="E1930" s="80">
        <v>45692</v>
      </c>
      <c r="F1930">
        <v>3010101</v>
      </c>
      <c r="G1930">
        <v>25201</v>
      </c>
    </row>
    <row r="1931" spans="1:7" x14ac:dyDescent="0.3">
      <c r="A1931" s="80">
        <v>45710</v>
      </c>
      <c r="B1931">
        <v>1010100</v>
      </c>
      <c r="C1931">
        <v>4390</v>
      </c>
      <c r="E1931" s="80">
        <v>45692</v>
      </c>
      <c r="F1931">
        <v>3010101</v>
      </c>
      <c r="G1931">
        <v>25201</v>
      </c>
    </row>
    <row r="1932" spans="1:7" x14ac:dyDescent="0.3">
      <c r="A1932" s="80">
        <v>45710</v>
      </c>
      <c r="B1932">
        <v>1010100</v>
      </c>
      <c r="C1932">
        <v>4890</v>
      </c>
      <c r="E1932" s="80">
        <v>45691</v>
      </c>
      <c r="F1932">
        <v>3010101</v>
      </c>
      <c r="G1932">
        <v>18268</v>
      </c>
    </row>
    <row r="1933" spans="1:7" x14ac:dyDescent="0.3">
      <c r="A1933" s="80">
        <v>45710</v>
      </c>
      <c r="B1933">
        <v>1010100</v>
      </c>
      <c r="C1933">
        <v>0</v>
      </c>
      <c r="E1933" s="80">
        <v>45691</v>
      </c>
      <c r="F1933">
        <v>3010101</v>
      </c>
      <c r="G1933">
        <v>25201</v>
      </c>
    </row>
    <row r="1934" spans="1:7" x14ac:dyDescent="0.3">
      <c r="A1934" s="80">
        <v>45710</v>
      </c>
      <c r="B1934">
        <v>1010100</v>
      </c>
      <c r="C1934">
        <v>1990</v>
      </c>
      <c r="E1934" s="80">
        <v>45691</v>
      </c>
      <c r="F1934">
        <v>3010101</v>
      </c>
      <c r="G1934">
        <v>18268</v>
      </c>
    </row>
    <row r="1935" spans="1:7" x14ac:dyDescent="0.3">
      <c r="A1935" s="80">
        <v>45710</v>
      </c>
      <c r="B1935">
        <v>1010100</v>
      </c>
      <c r="C1935">
        <v>1990</v>
      </c>
      <c r="E1935" s="80">
        <v>45691</v>
      </c>
      <c r="F1935">
        <v>3010101</v>
      </c>
      <c r="G1935">
        <v>25201</v>
      </c>
    </row>
    <row r="1936" spans="1:7" x14ac:dyDescent="0.3">
      <c r="A1936" s="80">
        <v>45709</v>
      </c>
      <c r="B1936">
        <v>1010100</v>
      </c>
      <c r="C1936">
        <v>3890</v>
      </c>
      <c r="E1936" s="80">
        <v>45691</v>
      </c>
      <c r="F1936">
        <v>3010101</v>
      </c>
      <c r="G1936">
        <v>18268</v>
      </c>
    </row>
    <row r="1937" spans="1:7" x14ac:dyDescent="0.3">
      <c r="A1937" s="80">
        <v>45709</v>
      </c>
      <c r="B1937">
        <v>1010100</v>
      </c>
      <c r="C1937">
        <v>0</v>
      </c>
      <c r="E1937" s="80">
        <v>45691</v>
      </c>
      <c r="F1937">
        <v>3010101</v>
      </c>
      <c r="G1937">
        <v>25201</v>
      </c>
    </row>
    <row r="1938" spans="1:7" x14ac:dyDescent="0.3">
      <c r="A1938" s="80">
        <v>45709</v>
      </c>
      <c r="B1938">
        <v>1010100</v>
      </c>
      <c r="C1938">
        <v>0</v>
      </c>
      <c r="E1938" s="80">
        <v>45690</v>
      </c>
      <c r="F1938">
        <v>3010101</v>
      </c>
      <c r="G1938">
        <v>25201</v>
      </c>
    </row>
    <row r="1939" spans="1:7" x14ac:dyDescent="0.3">
      <c r="A1939" s="80">
        <v>45709</v>
      </c>
      <c r="B1939">
        <v>1010100</v>
      </c>
      <c r="C1939">
        <v>1990</v>
      </c>
      <c r="E1939" s="80">
        <v>45690</v>
      </c>
      <c r="F1939">
        <v>3010101</v>
      </c>
      <c r="G1939">
        <v>27722</v>
      </c>
    </row>
    <row r="1940" spans="1:7" x14ac:dyDescent="0.3">
      <c r="A1940" s="80">
        <v>45709</v>
      </c>
      <c r="B1940">
        <v>1010100</v>
      </c>
      <c r="C1940">
        <v>1990</v>
      </c>
      <c r="E1940" s="80">
        <v>45690</v>
      </c>
      <c r="F1940">
        <v>3010101</v>
      </c>
      <c r="G1940">
        <v>18268</v>
      </c>
    </row>
    <row r="1941" spans="1:7" x14ac:dyDescent="0.3">
      <c r="A1941" s="80">
        <v>45709</v>
      </c>
      <c r="B1941">
        <v>1010100</v>
      </c>
      <c r="C1941">
        <v>1990</v>
      </c>
      <c r="E1941" s="80">
        <v>45690</v>
      </c>
      <c r="F1941">
        <v>3010101</v>
      </c>
      <c r="G1941">
        <v>25201</v>
      </c>
    </row>
    <row r="1942" spans="1:7" x14ac:dyDescent="0.3">
      <c r="A1942" s="80">
        <v>45709</v>
      </c>
      <c r="B1942">
        <v>1010100</v>
      </c>
      <c r="C1942">
        <v>5990</v>
      </c>
      <c r="E1942" s="80">
        <v>45690</v>
      </c>
      <c r="F1942">
        <v>3010101</v>
      </c>
      <c r="G1942">
        <v>25201</v>
      </c>
    </row>
    <row r="1943" spans="1:7" x14ac:dyDescent="0.3">
      <c r="A1943" s="80">
        <v>45709</v>
      </c>
      <c r="B1943">
        <v>1010100</v>
      </c>
      <c r="C1943">
        <v>0</v>
      </c>
      <c r="E1943" s="80">
        <v>45690</v>
      </c>
      <c r="F1943">
        <v>3010101</v>
      </c>
      <c r="G1943">
        <v>25201</v>
      </c>
    </row>
    <row r="1944" spans="1:7" x14ac:dyDescent="0.3">
      <c r="A1944" s="80">
        <v>45709</v>
      </c>
      <c r="B1944">
        <v>1010100</v>
      </c>
      <c r="C1944">
        <v>0</v>
      </c>
      <c r="E1944" s="80">
        <v>45690</v>
      </c>
      <c r="F1944">
        <v>3010101</v>
      </c>
      <c r="G1944">
        <v>25201</v>
      </c>
    </row>
    <row r="1945" spans="1:7" x14ac:dyDescent="0.3">
      <c r="A1945" s="80">
        <v>45709</v>
      </c>
      <c r="B1945">
        <v>1010100</v>
      </c>
      <c r="C1945">
        <v>1990</v>
      </c>
      <c r="E1945" s="80">
        <v>45690</v>
      </c>
      <c r="F1945">
        <v>3010101</v>
      </c>
      <c r="G1945">
        <v>25201</v>
      </c>
    </row>
    <row r="1946" spans="1:7" x14ac:dyDescent="0.3">
      <c r="A1946" s="80">
        <v>45709</v>
      </c>
      <c r="B1946">
        <v>1010100</v>
      </c>
      <c r="C1946">
        <v>3990</v>
      </c>
      <c r="E1946" s="80">
        <v>45690</v>
      </c>
      <c r="F1946">
        <v>3010101</v>
      </c>
      <c r="G1946">
        <v>25201</v>
      </c>
    </row>
    <row r="1947" spans="1:7" x14ac:dyDescent="0.3">
      <c r="A1947" s="80">
        <v>45709</v>
      </c>
      <c r="B1947">
        <v>1010100</v>
      </c>
      <c r="C1947">
        <v>1990</v>
      </c>
      <c r="E1947" s="80">
        <v>45690</v>
      </c>
      <c r="F1947">
        <v>3010101</v>
      </c>
      <c r="G1947">
        <v>27722</v>
      </c>
    </row>
    <row r="1948" spans="1:7" x14ac:dyDescent="0.3">
      <c r="A1948" s="80">
        <v>45708</v>
      </c>
      <c r="B1948">
        <v>1010100</v>
      </c>
      <c r="C1948">
        <v>3990</v>
      </c>
      <c r="E1948" s="80">
        <v>45690</v>
      </c>
      <c r="F1948">
        <v>3010101</v>
      </c>
      <c r="G1948">
        <v>25201</v>
      </c>
    </row>
    <row r="1949" spans="1:7" x14ac:dyDescent="0.3">
      <c r="A1949" s="80">
        <v>45708</v>
      </c>
      <c r="B1949">
        <v>1010100</v>
      </c>
      <c r="C1949">
        <v>1990</v>
      </c>
      <c r="E1949" s="80">
        <v>45690</v>
      </c>
      <c r="F1949">
        <v>3010101</v>
      </c>
      <c r="G1949">
        <v>25201</v>
      </c>
    </row>
    <row r="1950" spans="1:7" x14ac:dyDescent="0.3">
      <c r="A1950" s="80">
        <v>45708</v>
      </c>
      <c r="B1950">
        <v>1010100</v>
      </c>
      <c r="C1950">
        <v>4890</v>
      </c>
      <c r="E1950" s="80">
        <v>45690</v>
      </c>
      <c r="F1950">
        <v>3010101</v>
      </c>
      <c r="G1950">
        <v>25201</v>
      </c>
    </row>
    <row r="1951" spans="1:7" x14ac:dyDescent="0.3">
      <c r="A1951" s="80">
        <v>45708</v>
      </c>
      <c r="B1951">
        <v>1010100</v>
      </c>
      <c r="C1951">
        <v>1990</v>
      </c>
      <c r="E1951" s="80">
        <v>45690</v>
      </c>
      <c r="F1951">
        <v>3010101</v>
      </c>
      <c r="G1951">
        <v>25201</v>
      </c>
    </row>
    <row r="1952" spans="1:7" x14ac:dyDescent="0.3">
      <c r="A1952" s="80">
        <v>45708</v>
      </c>
      <c r="B1952">
        <v>1010100</v>
      </c>
      <c r="C1952">
        <v>1990</v>
      </c>
      <c r="E1952" s="80">
        <v>45690</v>
      </c>
      <c r="F1952">
        <v>3010101</v>
      </c>
      <c r="G1952">
        <v>25201</v>
      </c>
    </row>
    <row r="1953" spans="1:7" x14ac:dyDescent="0.3">
      <c r="A1953" s="80">
        <v>45708</v>
      </c>
      <c r="B1953">
        <v>1010100</v>
      </c>
      <c r="C1953">
        <v>0</v>
      </c>
      <c r="E1953" s="80">
        <v>45690</v>
      </c>
      <c r="F1953">
        <v>3010101</v>
      </c>
      <c r="G1953">
        <v>18268</v>
      </c>
    </row>
    <row r="1954" spans="1:7" x14ac:dyDescent="0.3">
      <c r="A1954" s="80">
        <v>45708</v>
      </c>
      <c r="B1954">
        <v>1010100</v>
      </c>
      <c r="C1954">
        <v>0</v>
      </c>
      <c r="E1954" s="80">
        <v>45690</v>
      </c>
      <c r="F1954">
        <v>3010101</v>
      </c>
      <c r="G1954">
        <v>25201</v>
      </c>
    </row>
    <row r="1955" spans="1:7" x14ac:dyDescent="0.3">
      <c r="A1955" s="80">
        <v>45707</v>
      </c>
      <c r="B1955">
        <v>1010100</v>
      </c>
      <c r="C1955">
        <v>1990</v>
      </c>
      <c r="E1955" s="80">
        <v>45690</v>
      </c>
      <c r="F1955">
        <v>3010101</v>
      </c>
      <c r="G1955">
        <v>8394</v>
      </c>
    </row>
    <row r="1956" spans="1:7" x14ac:dyDescent="0.3">
      <c r="A1956" s="80">
        <v>45705</v>
      </c>
      <c r="B1956">
        <v>1010100</v>
      </c>
      <c r="C1956">
        <v>0</v>
      </c>
      <c r="E1956" s="80">
        <v>45690</v>
      </c>
      <c r="F1956">
        <v>3010101</v>
      </c>
      <c r="G1956">
        <v>50403</v>
      </c>
    </row>
    <row r="1957" spans="1:7" x14ac:dyDescent="0.3">
      <c r="A1957" s="80">
        <v>45705</v>
      </c>
      <c r="B1957">
        <v>1010100</v>
      </c>
      <c r="C1957">
        <v>4290</v>
      </c>
      <c r="E1957" s="80">
        <v>45690</v>
      </c>
      <c r="F1957">
        <v>3010101</v>
      </c>
      <c r="G1957">
        <v>25201</v>
      </c>
    </row>
    <row r="1958" spans="1:7" x14ac:dyDescent="0.3">
      <c r="A1958" s="80">
        <v>45705</v>
      </c>
      <c r="B1958">
        <v>1010100</v>
      </c>
      <c r="C1958">
        <v>0</v>
      </c>
      <c r="E1958" s="80">
        <v>45690</v>
      </c>
      <c r="F1958">
        <v>3010101</v>
      </c>
      <c r="G1958">
        <v>25201</v>
      </c>
    </row>
    <row r="1959" spans="1:7" x14ac:dyDescent="0.3">
      <c r="A1959" s="80">
        <v>45704</v>
      </c>
      <c r="B1959">
        <v>1010100</v>
      </c>
      <c r="C1959">
        <v>3990</v>
      </c>
      <c r="E1959" s="80">
        <v>45690</v>
      </c>
      <c r="F1959">
        <v>3010101</v>
      </c>
      <c r="G1959">
        <v>27722</v>
      </c>
    </row>
    <row r="1960" spans="1:7" x14ac:dyDescent="0.3">
      <c r="A1960" s="80">
        <v>45704</v>
      </c>
      <c r="B1960">
        <v>1010100</v>
      </c>
      <c r="C1960">
        <v>0</v>
      </c>
      <c r="E1960" s="80">
        <v>45689</v>
      </c>
      <c r="F1960">
        <v>3010101</v>
      </c>
      <c r="G1960">
        <v>27722</v>
      </c>
    </row>
    <row r="1961" spans="1:7" x14ac:dyDescent="0.3">
      <c r="A1961" s="80">
        <v>45704</v>
      </c>
      <c r="B1961">
        <v>1010100</v>
      </c>
      <c r="C1961">
        <v>3690</v>
      </c>
      <c r="E1961" s="80">
        <v>45689</v>
      </c>
      <c r="F1961">
        <v>3010101</v>
      </c>
      <c r="G1961">
        <v>25201</v>
      </c>
    </row>
    <row r="1962" spans="1:7" x14ac:dyDescent="0.3">
      <c r="A1962" s="80">
        <v>45703</v>
      </c>
      <c r="B1962">
        <v>1010100</v>
      </c>
      <c r="C1962">
        <v>1990</v>
      </c>
      <c r="E1962" s="80">
        <v>45689</v>
      </c>
      <c r="F1962">
        <v>3010101</v>
      </c>
      <c r="G1962">
        <v>27722</v>
      </c>
    </row>
    <row r="1963" spans="1:7" x14ac:dyDescent="0.3">
      <c r="A1963" s="80">
        <v>45703</v>
      </c>
      <c r="B1963">
        <v>1010100</v>
      </c>
      <c r="C1963">
        <v>3990</v>
      </c>
      <c r="E1963" s="80">
        <v>45689</v>
      </c>
      <c r="F1963">
        <v>3010101</v>
      </c>
      <c r="G1963">
        <v>18268</v>
      </c>
    </row>
    <row r="1964" spans="1:7" x14ac:dyDescent="0.3">
      <c r="A1964" s="80">
        <v>45703</v>
      </c>
      <c r="B1964">
        <v>1010100</v>
      </c>
      <c r="C1964">
        <v>1990</v>
      </c>
      <c r="E1964" s="80">
        <v>45689</v>
      </c>
      <c r="F1964">
        <v>3010101</v>
      </c>
      <c r="G1964">
        <v>25201</v>
      </c>
    </row>
    <row r="1965" spans="1:7" x14ac:dyDescent="0.3">
      <c r="A1965" s="80">
        <v>45703</v>
      </c>
      <c r="B1965">
        <v>1010100</v>
      </c>
      <c r="C1965">
        <v>1990</v>
      </c>
      <c r="E1965" s="80">
        <v>45689</v>
      </c>
      <c r="F1965">
        <v>3010101</v>
      </c>
      <c r="G1965">
        <v>25201</v>
      </c>
    </row>
    <row r="1966" spans="1:7" x14ac:dyDescent="0.3">
      <c r="A1966" s="80">
        <v>45702</v>
      </c>
      <c r="B1966">
        <v>1010100</v>
      </c>
      <c r="C1966">
        <v>0</v>
      </c>
      <c r="E1966" s="80">
        <v>45688</v>
      </c>
      <c r="F1966">
        <v>3010101</v>
      </c>
      <c r="G1966">
        <v>50403</v>
      </c>
    </row>
    <row r="1967" spans="1:7" x14ac:dyDescent="0.3">
      <c r="A1967" s="80">
        <v>45702</v>
      </c>
      <c r="B1967">
        <v>1010100</v>
      </c>
      <c r="C1967">
        <v>0</v>
      </c>
      <c r="E1967" s="80">
        <v>45688</v>
      </c>
      <c r="F1967">
        <v>3010101</v>
      </c>
      <c r="G1967">
        <v>25201</v>
      </c>
    </row>
    <row r="1968" spans="1:7" x14ac:dyDescent="0.3">
      <c r="A1968" s="80">
        <v>45701</v>
      </c>
      <c r="B1968">
        <v>1010100</v>
      </c>
      <c r="C1968">
        <v>4390</v>
      </c>
      <c r="E1968" s="80">
        <v>45688</v>
      </c>
      <c r="F1968">
        <v>3010101</v>
      </c>
      <c r="G1968">
        <v>25201</v>
      </c>
    </row>
    <row r="1969" spans="1:7" x14ac:dyDescent="0.3">
      <c r="A1969" s="80">
        <v>45701</v>
      </c>
      <c r="B1969">
        <v>1010100</v>
      </c>
      <c r="C1969">
        <v>4290</v>
      </c>
      <c r="E1969" s="80">
        <v>45688</v>
      </c>
      <c r="F1969">
        <v>3010101</v>
      </c>
      <c r="G1969">
        <v>18268</v>
      </c>
    </row>
    <row r="1970" spans="1:7" x14ac:dyDescent="0.3">
      <c r="A1970" s="80">
        <v>45701</v>
      </c>
      <c r="B1970">
        <v>1010100</v>
      </c>
      <c r="C1970">
        <v>1990</v>
      </c>
      <c r="E1970" s="80">
        <v>45688</v>
      </c>
      <c r="F1970">
        <v>3010101</v>
      </c>
      <c r="G1970">
        <v>25201</v>
      </c>
    </row>
    <row r="1971" spans="1:7" x14ac:dyDescent="0.3">
      <c r="A1971" s="80">
        <v>45699</v>
      </c>
      <c r="B1971">
        <v>1010100</v>
      </c>
      <c r="C1971">
        <v>0</v>
      </c>
      <c r="E1971" s="80">
        <v>45688</v>
      </c>
      <c r="F1971">
        <v>3010101</v>
      </c>
      <c r="G1971">
        <v>25201</v>
      </c>
    </row>
    <row r="1972" spans="1:7" x14ac:dyDescent="0.3">
      <c r="A1972" s="80">
        <v>45699</v>
      </c>
      <c r="B1972">
        <v>1010100</v>
      </c>
      <c r="C1972">
        <v>3490</v>
      </c>
      <c r="E1972" s="80">
        <v>45687</v>
      </c>
      <c r="F1972">
        <v>3010101</v>
      </c>
      <c r="G1972">
        <v>25201</v>
      </c>
    </row>
    <row r="1973" spans="1:7" x14ac:dyDescent="0.3">
      <c r="A1973" s="80">
        <v>45699</v>
      </c>
      <c r="B1973">
        <v>1010100</v>
      </c>
      <c r="C1973">
        <v>0</v>
      </c>
      <c r="E1973" s="80">
        <v>45687</v>
      </c>
      <c r="F1973">
        <v>3010101</v>
      </c>
      <c r="G1973">
        <v>18268</v>
      </c>
    </row>
    <row r="1974" spans="1:7" x14ac:dyDescent="0.3">
      <c r="A1974" s="80">
        <v>45699</v>
      </c>
      <c r="B1974">
        <v>1010100</v>
      </c>
      <c r="C1974">
        <v>4490</v>
      </c>
      <c r="E1974" s="80">
        <v>45687</v>
      </c>
      <c r="F1974">
        <v>3010101</v>
      </c>
      <c r="G1974">
        <v>25201</v>
      </c>
    </row>
    <row r="1975" spans="1:7" x14ac:dyDescent="0.3">
      <c r="A1975" s="80">
        <v>45698</v>
      </c>
      <c r="B1975">
        <v>1010100</v>
      </c>
      <c r="C1975">
        <v>0</v>
      </c>
      <c r="E1975" s="80">
        <v>45687</v>
      </c>
      <c r="F1975">
        <v>3010101</v>
      </c>
      <c r="G1975">
        <v>25201</v>
      </c>
    </row>
    <row r="1976" spans="1:7" x14ac:dyDescent="0.3">
      <c r="A1976" s="80">
        <v>45698</v>
      </c>
      <c r="B1976">
        <v>1010100</v>
      </c>
      <c r="C1976">
        <v>1990</v>
      </c>
      <c r="E1976" s="80">
        <v>45687</v>
      </c>
      <c r="F1976">
        <v>3010101</v>
      </c>
      <c r="G1976">
        <v>18268</v>
      </c>
    </row>
    <row r="1977" spans="1:7" x14ac:dyDescent="0.3">
      <c r="A1977" s="80">
        <v>45698</v>
      </c>
      <c r="B1977">
        <v>1010100</v>
      </c>
      <c r="C1977">
        <v>1990</v>
      </c>
      <c r="E1977" s="80">
        <v>45687</v>
      </c>
      <c r="F1977">
        <v>3010101</v>
      </c>
      <c r="G1977">
        <v>18268</v>
      </c>
    </row>
    <row r="1978" spans="1:7" x14ac:dyDescent="0.3">
      <c r="A1978" s="80">
        <v>45698</v>
      </c>
      <c r="B1978">
        <v>1010100</v>
      </c>
      <c r="C1978">
        <v>4690</v>
      </c>
      <c r="E1978" s="80">
        <v>45687</v>
      </c>
      <c r="F1978">
        <v>3010101</v>
      </c>
      <c r="G1978">
        <v>27722</v>
      </c>
    </row>
    <row r="1979" spans="1:7" x14ac:dyDescent="0.3">
      <c r="A1979" s="80">
        <v>45698</v>
      </c>
      <c r="B1979">
        <v>1010100</v>
      </c>
      <c r="C1979">
        <v>0</v>
      </c>
      <c r="E1979" s="80">
        <v>45687</v>
      </c>
      <c r="F1979">
        <v>3010101</v>
      </c>
      <c r="G1979">
        <v>18268</v>
      </c>
    </row>
    <row r="1980" spans="1:7" x14ac:dyDescent="0.3">
      <c r="A1980" s="80">
        <v>45698</v>
      </c>
      <c r="B1980">
        <v>1010100</v>
      </c>
      <c r="C1980">
        <v>0</v>
      </c>
      <c r="E1980" s="80">
        <v>45687</v>
      </c>
      <c r="F1980">
        <v>3010101</v>
      </c>
      <c r="G1980">
        <v>25201</v>
      </c>
    </row>
    <row r="1981" spans="1:7" x14ac:dyDescent="0.3">
      <c r="A1981" s="80">
        <v>45697</v>
      </c>
      <c r="B1981">
        <v>1010100</v>
      </c>
      <c r="C1981">
        <v>0</v>
      </c>
      <c r="E1981" s="80">
        <v>45687</v>
      </c>
      <c r="F1981">
        <v>3010101</v>
      </c>
      <c r="G1981">
        <v>25201</v>
      </c>
    </row>
    <row r="1982" spans="1:7" x14ac:dyDescent="0.3">
      <c r="A1982" s="80">
        <v>45697</v>
      </c>
      <c r="B1982">
        <v>1010100</v>
      </c>
      <c r="C1982">
        <v>0</v>
      </c>
      <c r="E1982" s="80">
        <v>45687</v>
      </c>
      <c r="F1982">
        <v>3010101</v>
      </c>
      <c r="G1982">
        <v>18268</v>
      </c>
    </row>
    <row r="1983" spans="1:7" x14ac:dyDescent="0.3">
      <c r="A1983" s="80">
        <v>45696</v>
      </c>
      <c r="B1983">
        <v>1010100</v>
      </c>
      <c r="C1983">
        <v>0</v>
      </c>
      <c r="E1983" s="80">
        <v>45687</v>
      </c>
      <c r="F1983">
        <v>3010101</v>
      </c>
      <c r="G1983">
        <v>18268</v>
      </c>
    </row>
    <row r="1984" spans="1:7" x14ac:dyDescent="0.3">
      <c r="A1984" s="80">
        <v>45696</v>
      </c>
      <c r="B1984">
        <v>1010100</v>
      </c>
      <c r="C1984">
        <v>0</v>
      </c>
      <c r="E1984" s="80">
        <v>45687</v>
      </c>
      <c r="F1984">
        <v>3010101</v>
      </c>
      <c r="G1984">
        <v>25201</v>
      </c>
    </row>
    <row r="1985" spans="1:7" x14ac:dyDescent="0.3">
      <c r="A1985" s="80">
        <v>45696</v>
      </c>
      <c r="B1985">
        <v>1010100</v>
      </c>
      <c r="C1985">
        <v>3990</v>
      </c>
      <c r="E1985" s="80">
        <v>45687</v>
      </c>
      <c r="F1985">
        <v>3010101</v>
      </c>
      <c r="G1985">
        <v>25201</v>
      </c>
    </row>
    <row r="1986" spans="1:7" x14ac:dyDescent="0.3">
      <c r="A1986" s="80">
        <v>45696</v>
      </c>
      <c r="B1986">
        <v>1010100</v>
      </c>
      <c r="C1986">
        <v>1990</v>
      </c>
      <c r="E1986" s="80">
        <v>45687</v>
      </c>
      <c r="F1986">
        <v>3010101</v>
      </c>
      <c r="G1986">
        <v>27722</v>
      </c>
    </row>
    <row r="1987" spans="1:7" x14ac:dyDescent="0.3">
      <c r="A1987" s="80">
        <v>45696</v>
      </c>
      <c r="B1987">
        <v>1010100</v>
      </c>
      <c r="C1987">
        <v>4890</v>
      </c>
      <c r="E1987" s="80">
        <v>45687</v>
      </c>
      <c r="F1987">
        <v>3010101</v>
      </c>
      <c r="G1987">
        <v>25201</v>
      </c>
    </row>
    <row r="1988" spans="1:7" x14ac:dyDescent="0.3">
      <c r="A1988" s="80">
        <v>45695</v>
      </c>
      <c r="B1988">
        <v>1010100</v>
      </c>
      <c r="C1988">
        <v>5990</v>
      </c>
      <c r="E1988" s="80">
        <v>45687</v>
      </c>
      <c r="F1988">
        <v>3010101</v>
      </c>
      <c r="G1988">
        <v>25201</v>
      </c>
    </row>
    <row r="1989" spans="1:7" x14ac:dyDescent="0.3">
      <c r="A1989" s="80">
        <v>45695</v>
      </c>
      <c r="B1989">
        <v>1010100</v>
      </c>
      <c r="C1989">
        <v>1990</v>
      </c>
      <c r="E1989" s="80">
        <v>45686</v>
      </c>
      <c r="F1989">
        <v>3010101</v>
      </c>
      <c r="G1989">
        <v>45363</v>
      </c>
    </row>
    <row r="1990" spans="1:7" x14ac:dyDescent="0.3">
      <c r="A1990" s="80">
        <v>45695</v>
      </c>
      <c r="B1990">
        <v>1010100</v>
      </c>
      <c r="C1990">
        <v>0</v>
      </c>
      <c r="E1990" s="80">
        <v>45686</v>
      </c>
      <c r="F1990">
        <v>3010101</v>
      </c>
      <c r="G1990">
        <v>25201</v>
      </c>
    </row>
    <row r="1991" spans="1:7" x14ac:dyDescent="0.3">
      <c r="A1991" s="80">
        <v>45695</v>
      </c>
      <c r="B1991">
        <v>1010100</v>
      </c>
      <c r="C1991">
        <v>3590</v>
      </c>
      <c r="E1991" s="80">
        <v>45686</v>
      </c>
      <c r="F1991">
        <v>3010101</v>
      </c>
      <c r="G1991">
        <v>25201</v>
      </c>
    </row>
    <row r="1992" spans="1:7" x14ac:dyDescent="0.3">
      <c r="A1992" s="80">
        <v>45695</v>
      </c>
      <c r="B1992">
        <v>1010100</v>
      </c>
      <c r="C1992">
        <v>1990</v>
      </c>
      <c r="E1992" s="80">
        <v>45686</v>
      </c>
      <c r="F1992">
        <v>3010101</v>
      </c>
      <c r="G1992">
        <v>22681</v>
      </c>
    </row>
    <row r="1993" spans="1:7" x14ac:dyDescent="0.3">
      <c r="A1993" s="80">
        <v>45695</v>
      </c>
      <c r="B1993">
        <v>1010100</v>
      </c>
      <c r="C1993">
        <v>0</v>
      </c>
      <c r="E1993" s="80">
        <v>45686</v>
      </c>
      <c r="F1993">
        <v>3010101</v>
      </c>
      <c r="G1993">
        <v>25201</v>
      </c>
    </row>
    <row r="1994" spans="1:7" x14ac:dyDescent="0.3">
      <c r="A1994" s="80">
        <v>45694</v>
      </c>
      <c r="B1994">
        <v>1010100</v>
      </c>
      <c r="C1994">
        <v>3690</v>
      </c>
      <c r="E1994" s="80">
        <v>45686</v>
      </c>
      <c r="F1994">
        <v>3010101</v>
      </c>
      <c r="G1994">
        <v>25201</v>
      </c>
    </row>
    <row r="1995" spans="1:7" x14ac:dyDescent="0.3">
      <c r="A1995" s="80">
        <v>45694</v>
      </c>
      <c r="B1995">
        <v>1010100</v>
      </c>
      <c r="C1995">
        <v>4290</v>
      </c>
      <c r="E1995" s="80">
        <v>45686</v>
      </c>
      <c r="F1995">
        <v>3010101</v>
      </c>
      <c r="G1995">
        <v>25201</v>
      </c>
    </row>
    <row r="1996" spans="1:7" x14ac:dyDescent="0.3">
      <c r="A1996" s="80">
        <v>45694</v>
      </c>
      <c r="B1996">
        <v>1010100</v>
      </c>
      <c r="C1996">
        <v>1990</v>
      </c>
      <c r="E1996" s="80">
        <v>45686</v>
      </c>
      <c r="F1996">
        <v>3010101</v>
      </c>
      <c r="G1996">
        <v>25201</v>
      </c>
    </row>
    <row r="1997" spans="1:7" x14ac:dyDescent="0.3">
      <c r="A1997" s="80">
        <v>45694</v>
      </c>
      <c r="B1997">
        <v>1010100</v>
      </c>
      <c r="C1997">
        <v>1990</v>
      </c>
      <c r="E1997" s="80">
        <v>45686</v>
      </c>
      <c r="F1997">
        <v>3010101</v>
      </c>
      <c r="G1997">
        <v>25201</v>
      </c>
    </row>
    <row r="1998" spans="1:7" x14ac:dyDescent="0.3">
      <c r="A1998" s="80">
        <v>45694</v>
      </c>
      <c r="B1998">
        <v>1010100</v>
      </c>
      <c r="C1998">
        <v>1990</v>
      </c>
      <c r="E1998" s="80">
        <v>45686</v>
      </c>
      <c r="F1998">
        <v>3010101</v>
      </c>
      <c r="G1998">
        <v>25201</v>
      </c>
    </row>
    <row r="1999" spans="1:7" x14ac:dyDescent="0.3">
      <c r="A1999" s="80">
        <v>45694</v>
      </c>
      <c r="B1999">
        <v>1010100</v>
      </c>
      <c r="C1999">
        <v>0</v>
      </c>
      <c r="E1999" s="80">
        <v>45686</v>
      </c>
      <c r="F1999">
        <v>3010101</v>
      </c>
      <c r="G1999">
        <v>25201</v>
      </c>
    </row>
    <row r="2000" spans="1:7" x14ac:dyDescent="0.3">
      <c r="A2000" s="80">
        <v>45694</v>
      </c>
      <c r="B2000">
        <v>1010100</v>
      </c>
      <c r="C2000">
        <v>4290</v>
      </c>
      <c r="E2000" s="80">
        <v>45686</v>
      </c>
      <c r="F2000">
        <v>3010101</v>
      </c>
      <c r="G2000">
        <v>22681</v>
      </c>
    </row>
    <row r="2001" spans="1:7" x14ac:dyDescent="0.3">
      <c r="A2001" s="80">
        <v>45694</v>
      </c>
      <c r="B2001">
        <v>1010100</v>
      </c>
      <c r="C2001">
        <v>0</v>
      </c>
      <c r="E2001" s="80">
        <v>45685</v>
      </c>
      <c r="F2001">
        <v>3010101</v>
      </c>
      <c r="G2001">
        <v>27722</v>
      </c>
    </row>
    <row r="2002" spans="1:7" x14ac:dyDescent="0.3">
      <c r="A2002" s="80">
        <v>45694</v>
      </c>
      <c r="B2002">
        <v>1010100</v>
      </c>
      <c r="C2002">
        <v>0</v>
      </c>
      <c r="E2002" s="80">
        <v>45685</v>
      </c>
      <c r="F2002">
        <v>3010101</v>
      </c>
      <c r="G2002">
        <v>25201</v>
      </c>
    </row>
    <row r="2003" spans="1:7" x14ac:dyDescent="0.3">
      <c r="A2003" s="80">
        <v>45694</v>
      </c>
      <c r="B2003">
        <v>1010100</v>
      </c>
      <c r="C2003">
        <v>0</v>
      </c>
      <c r="E2003" s="80">
        <v>45685</v>
      </c>
      <c r="F2003">
        <v>3010101</v>
      </c>
      <c r="G2003">
        <v>25201</v>
      </c>
    </row>
    <row r="2004" spans="1:7" x14ac:dyDescent="0.3">
      <c r="A2004" s="80">
        <v>45694</v>
      </c>
      <c r="B2004">
        <v>1010100</v>
      </c>
      <c r="C2004">
        <v>1990</v>
      </c>
      <c r="E2004" s="80">
        <v>45685</v>
      </c>
      <c r="F2004">
        <v>3010101</v>
      </c>
      <c r="G2004">
        <v>25201</v>
      </c>
    </row>
    <row r="2005" spans="1:7" x14ac:dyDescent="0.3">
      <c r="A2005" s="80">
        <v>45693</v>
      </c>
      <c r="B2005">
        <v>1010100</v>
      </c>
      <c r="C2005">
        <v>3990</v>
      </c>
      <c r="E2005" s="80">
        <v>45685</v>
      </c>
      <c r="F2005">
        <v>3010101</v>
      </c>
      <c r="G2005">
        <v>25201</v>
      </c>
    </row>
    <row r="2006" spans="1:7" x14ac:dyDescent="0.3">
      <c r="A2006" s="80">
        <v>45693</v>
      </c>
      <c r="B2006">
        <v>1010100</v>
      </c>
      <c r="C2006">
        <v>3690</v>
      </c>
      <c r="E2006" s="80">
        <v>45685</v>
      </c>
      <c r="F2006">
        <v>3010101</v>
      </c>
      <c r="G2006">
        <v>25201</v>
      </c>
    </row>
    <row r="2007" spans="1:7" x14ac:dyDescent="0.3">
      <c r="A2007" s="80">
        <v>45693</v>
      </c>
      <c r="B2007">
        <v>1010100</v>
      </c>
      <c r="C2007">
        <v>6490</v>
      </c>
      <c r="E2007" s="80">
        <v>45685</v>
      </c>
      <c r="F2007">
        <v>3010101</v>
      </c>
      <c r="G2007">
        <v>25201</v>
      </c>
    </row>
    <row r="2008" spans="1:7" x14ac:dyDescent="0.3">
      <c r="A2008" s="80">
        <v>45693</v>
      </c>
      <c r="B2008">
        <v>1010100</v>
      </c>
      <c r="C2008">
        <v>0</v>
      </c>
      <c r="E2008" s="80">
        <v>45685</v>
      </c>
      <c r="F2008">
        <v>3010101</v>
      </c>
      <c r="G2008">
        <v>25201</v>
      </c>
    </row>
    <row r="2009" spans="1:7" x14ac:dyDescent="0.3">
      <c r="A2009" s="80">
        <v>45693</v>
      </c>
      <c r="B2009">
        <v>1010100</v>
      </c>
      <c r="C2009">
        <v>3690</v>
      </c>
      <c r="E2009" s="80">
        <v>45684</v>
      </c>
      <c r="F2009">
        <v>3010101</v>
      </c>
      <c r="G2009">
        <v>25201</v>
      </c>
    </row>
    <row r="2010" spans="1:7" x14ac:dyDescent="0.3">
      <c r="A2010" s="80">
        <v>45693</v>
      </c>
      <c r="B2010">
        <v>1010100</v>
      </c>
      <c r="C2010">
        <v>0</v>
      </c>
      <c r="E2010" s="80">
        <v>45684</v>
      </c>
      <c r="F2010">
        <v>3010101</v>
      </c>
      <c r="G2010">
        <v>25201</v>
      </c>
    </row>
    <row r="2011" spans="1:7" x14ac:dyDescent="0.3">
      <c r="A2011" s="80">
        <v>45693</v>
      </c>
      <c r="B2011">
        <v>1010100</v>
      </c>
      <c r="C2011">
        <v>4790</v>
      </c>
      <c r="E2011" s="80">
        <v>45684</v>
      </c>
      <c r="F2011">
        <v>3010101</v>
      </c>
      <c r="G2011">
        <v>27722</v>
      </c>
    </row>
    <row r="2012" spans="1:7" x14ac:dyDescent="0.3">
      <c r="A2012" s="80">
        <v>45693</v>
      </c>
      <c r="B2012">
        <v>1010100</v>
      </c>
      <c r="C2012">
        <v>4290</v>
      </c>
      <c r="E2012" s="80">
        <v>45684</v>
      </c>
      <c r="F2012">
        <v>3010101</v>
      </c>
      <c r="G2012">
        <v>25201</v>
      </c>
    </row>
    <row r="2013" spans="1:7" x14ac:dyDescent="0.3">
      <c r="A2013" s="80">
        <v>45693</v>
      </c>
      <c r="B2013">
        <v>1010100</v>
      </c>
      <c r="C2013">
        <v>1990</v>
      </c>
      <c r="E2013" s="80">
        <v>45684</v>
      </c>
      <c r="F2013">
        <v>3010101</v>
      </c>
      <c r="G2013">
        <v>25201</v>
      </c>
    </row>
    <row r="2014" spans="1:7" x14ac:dyDescent="0.3">
      <c r="A2014" s="80">
        <v>45693</v>
      </c>
      <c r="B2014">
        <v>1010100</v>
      </c>
      <c r="C2014">
        <v>4290</v>
      </c>
      <c r="E2014" s="80">
        <v>45684</v>
      </c>
      <c r="F2014">
        <v>3010101</v>
      </c>
      <c r="G2014">
        <v>25201</v>
      </c>
    </row>
    <row r="2015" spans="1:7" x14ac:dyDescent="0.3">
      <c r="A2015" s="80">
        <v>45693</v>
      </c>
      <c r="B2015">
        <v>1010100</v>
      </c>
      <c r="C2015">
        <v>0</v>
      </c>
      <c r="E2015" s="80">
        <v>45684</v>
      </c>
      <c r="F2015">
        <v>3010101</v>
      </c>
      <c r="G2015">
        <v>50403</v>
      </c>
    </row>
    <row r="2016" spans="1:7" x14ac:dyDescent="0.3">
      <c r="A2016" s="80">
        <v>45692</v>
      </c>
      <c r="B2016">
        <v>1010100</v>
      </c>
      <c r="C2016">
        <v>1990</v>
      </c>
      <c r="E2016" s="80">
        <v>45684</v>
      </c>
      <c r="F2016">
        <v>3010101</v>
      </c>
      <c r="G2016">
        <v>25201</v>
      </c>
    </row>
    <row r="2017" spans="1:7" x14ac:dyDescent="0.3">
      <c r="A2017" s="80">
        <v>45692</v>
      </c>
      <c r="B2017">
        <v>1010100</v>
      </c>
      <c r="C2017">
        <v>0</v>
      </c>
      <c r="E2017" s="80">
        <v>45683</v>
      </c>
      <c r="F2017">
        <v>3010101</v>
      </c>
      <c r="G2017">
        <v>25201</v>
      </c>
    </row>
    <row r="2018" spans="1:7" x14ac:dyDescent="0.3">
      <c r="A2018" s="80">
        <v>45692</v>
      </c>
      <c r="B2018">
        <v>1010100</v>
      </c>
      <c r="C2018">
        <v>1990</v>
      </c>
      <c r="E2018" s="80">
        <v>45683</v>
      </c>
      <c r="F2018">
        <v>3010101</v>
      </c>
      <c r="G2018">
        <v>25201</v>
      </c>
    </row>
    <row r="2019" spans="1:7" x14ac:dyDescent="0.3">
      <c r="A2019" s="80">
        <v>45692</v>
      </c>
      <c r="B2019">
        <v>1010100</v>
      </c>
      <c r="C2019">
        <v>10090</v>
      </c>
      <c r="E2019" s="80">
        <v>45683</v>
      </c>
      <c r="F2019">
        <v>3010101</v>
      </c>
      <c r="G2019">
        <v>25201</v>
      </c>
    </row>
    <row r="2020" spans="1:7" x14ac:dyDescent="0.3">
      <c r="A2020" s="80">
        <v>45692</v>
      </c>
      <c r="B2020">
        <v>1010100</v>
      </c>
      <c r="C2020">
        <v>1990</v>
      </c>
      <c r="E2020" s="80">
        <v>45683</v>
      </c>
      <c r="F2020">
        <v>3010101</v>
      </c>
      <c r="G2020">
        <v>27722</v>
      </c>
    </row>
    <row r="2021" spans="1:7" x14ac:dyDescent="0.3">
      <c r="A2021" s="80">
        <v>45692</v>
      </c>
      <c r="B2021">
        <v>1010100</v>
      </c>
      <c r="C2021">
        <v>1990</v>
      </c>
      <c r="E2021" s="80">
        <v>45683</v>
      </c>
      <c r="F2021">
        <v>3010101</v>
      </c>
      <c r="G2021">
        <v>25201</v>
      </c>
    </row>
    <row r="2022" spans="1:7" x14ac:dyDescent="0.3">
      <c r="A2022" s="80">
        <v>45692</v>
      </c>
      <c r="B2022">
        <v>1010100</v>
      </c>
      <c r="C2022">
        <v>3590</v>
      </c>
      <c r="E2022" s="80">
        <v>45683</v>
      </c>
      <c r="F2022">
        <v>3010101</v>
      </c>
      <c r="G2022">
        <v>25201</v>
      </c>
    </row>
    <row r="2023" spans="1:7" x14ac:dyDescent="0.3">
      <c r="A2023" s="80">
        <v>45692</v>
      </c>
      <c r="B2023">
        <v>1010100</v>
      </c>
      <c r="C2023">
        <v>4290</v>
      </c>
      <c r="E2023" s="80">
        <v>45683</v>
      </c>
      <c r="F2023">
        <v>3010101</v>
      </c>
      <c r="G2023">
        <v>25201</v>
      </c>
    </row>
    <row r="2024" spans="1:7" x14ac:dyDescent="0.3">
      <c r="A2024" s="80">
        <v>45691</v>
      </c>
      <c r="B2024">
        <v>1010100</v>
      </c>
      <c r="C2024">
        <v>3590</v>
      </c>
      <c r="E2024" s="80">
        <v>45683</v>
      </c>
      <c r="F2024">
        <v>3010101</v>
      </c>
      <c r="G2024">
        <v>25201</v>
      </c>
    </row>
    <row r="2025" spans="1:7" x14ac:dyDescent="0.3">
      <c r="A2025" s="80">
        <v>45691</v>
      </c>
      <c r="B2025">
        <v>1010100</v>
      </c>
      <c r="C2025">
        <v>1990</v>
      </c>
      <c r="E2025" s="80">
        <v>45682</v>
      </c>
      <c r="F2025">
        <v>3010101</v>
      </c>
      <c r="G2025">
        <v>25201</v>
      </c>
    </row>
    <row r="2026" spans="1:7" x14ac:dyDescent="0.3">
      <c r="A2026" s="80">
        <v>45691</v>
      </c>
      <c r="B2026">
        <v>1010100</v>
      </c>
      <c r="C2026">
        <v>0</v>
      </c>
      <c r="E2026" s="80">
        <v>45682</v>
      </c>
      <c r="F2026">
        <v>3010101</v>
      </c>
      <c r="G2026">
        <v>25201</v>
      </c>
    </row>
    <row r="2027" spans="1:7" x14ac:dyDescent="0.3">
      <c r="A2027" s="80">
        <v>45691</v>
      </c>
      <c r="B2027">
        <v>1010100</v>
      </c>
      <c r="C2027">
        <v>0</v>
      </c>
      <c r="E2027" s="80">
        <v>45682</v>
      </c>
      <c r="F2027">
        <v>3010101</v>
      </c>
      <c r="G2027">
        <v>27722</v>
      </c>
    </row>
    <row r="2028" spans="1:7" x14ac:dyDescent="0.3">
      <c r="A2028" s="80">
        <v>45691</v>
      </c>
      <c r="B2028">
        <v>1010100</v>
      </c>
      <c r="C2028">
        <v>1990</v>
      </c>
      <c r="E2028" s="80">
        <v>45682</v>
      </c>
      <c r="F2028">
        <v>3010101</v>
      </c>
      <c r="G2028">
        <v>25201</v>
      </c>
    </row>
    <row r="2029" spans="1:7" x14ac:dyDescent="0.3">
      <c r="A2029" s="80">
        <v>45691</v>
      </c>
      <c r="B2029">
        <v>1010100</v>
      </c>
      <c r="C2029">
        <v>4290</v>
      </c>
      <c r="E2029" s="80">
        <v>45682</v>
      </c>
      <c r="F2029">
        <v>3010101</v>
      </c>
      <c r="G2029">
        <v>25201</v>
      </c>
    </row>
    <row r="2030" spans="1:7" x14ac:dyDescent="0.3">
      <c r="A2030" s="80">
        <v>45690</v>
      </c>
      <c r="B2030">
        <v>1010100</v>
      </c>
      <c r="C2030">
        <v>4690</v>
      </c>
      <c r="E2030" s="80">
        <v>45682</v>
      </c>
      <c r="F2030">
        <v>3010101</v>
      </c>
      <c r="G2030">
        <v>27722</v>
      </c>
    </row>
    <row r="2031" spans="1:7" x14ac:dyDescent="0.3">
      <c r="A2031" s="80">
        <v>45690</v>
      </c>
      <c r="B2031">
        <v>1010100</v>
      </c>
      <c r="C2031">
        <v>0</v>
      </c>
      <c r="E2031" s="80">
        <v>45682</v>
      </c>
      <c r="F2031">
        <v>3010101</v>
      </c>
      <c r="G2031">
        <v>25201</v>
      </c>
    </row>
    <row r="2032" spans="1:7" x14ac:dyDescent="0.3">
      <c r="A2032" s="80">
        <v>45690</v>
      </c>
      <c r="B2032">
        <v>1010100</v>
      </c>
      <c r="C2032">
        <v>1990</v>
      </c>
      <c r="E2032" s="80">
        <v>45682</v>
      </c>
      <c r="F2032">
        <v>3010101</v>
      </c>
      <c r="G2032">
        <v>25201</v>
      </c>
    </row>
    <row r="2033" spans="1:7" x14ac:dyDescent="0.3">
      <c r="A2033" s="80">
        <v>45690</v>
      </c>
      <c r="B2033">
        <v>1010100</v>
      </c>
      <c r="C2033">
        <v>4490</v>
      </c>
      <c r="E2033" s="80">
        <v>45682</v>
      </c>
      <c r="F2033">
        <v>3010101</v>
      </c>
      <c r="G2033">
        <v>25201</v>
      </c>
    </row>
    <row r="2034" spans="1:7" x14ac:dyDescent="0.3">
      <c r="A2034" s="80">
        <v>45690</v>
      </c>
      <c r="B2034">
        <v>1010100</v>
      </c>
      <c r="C2034">
        <v>3990</v>
      </c>
      <c r="E2034" s="80">
        <v>45682</v>
      </c>
      <c r="F2034">
        <v>3010101</v>
      </c>
      <c r="G2034">
        <v>25201</v>
      </c>
    </row>
    <row r="2035" spans="1:7" x14ac:dyDescent="0.3">
      <c r="A2035" s="80">
        <v>45690</v>
      </c>
      <c r="B2035">
        <v>1010100</v>
      </c>
      <c r="C2035">
        <v>1990</v>
      </c>
      <c r="E2035" s="80">
        <v>45682</v>
      </c>
      <c r="F2035">
        <v>3010101</v>
      </c>
      <c r="G2035">
        <v>27722</v>
      </c>
    </row>
    <row r="2036" spans="1:7" x14ac:dyDescent="0.3">
      <c r="A2036" s="80">
        <v>45690</v>
      </c>
      <c r="B2036">
        <v>1010100</v>
      </c>
      <c r="C2036">
        <v>3590</v>
      </c>
      <c r="E2036" s="80">
        <v>45682</v>
      </c>
      <c r="F2036">
        <v>3010101</v>
      </c>
      <c r="G2036">
        <v>25201</v>
      </c>
    </row>
    <row r="2037" spans="1:7" x14ac:dyDescent="0.3">
      <c r="A2037" s="80">
        <v>45690</v>
      </c>
      <c r="B2037">
        <v>1010100</v>
      </c>
      <c r="C2037">
        <v>1990</v>
      </c>
      <c r="E2037" s="80">
        <v>45682</v>
      </c>
      <c r="F2037">
        <v>3010101</v>
      </c>
      <c r="G2037">
        <v>25201</v>
      </c>
    </row>
    <row r="2038" spans="1:7" x14ac:dyDescent="0.3">
      <c r="A2038" s="80">
        <v>45690</v>
      </c>
      <c r="B2038">
        <v>1010100</v>
      </c>
      <c r="C2038">
        <v>1990</v>
      </c>
      <c r="E2038" s="80">
        <v>45682</v>
      </c>
      <c r="F2038">
        <v>3010101</v>
      </c>
      <c r="G2038">
        <v>25201</v>
      </c>
    </row>
    <row r="2039" spans="1:7" x14ac:dyDescent="0.3">
      <c r="A2039" s="80">
        <v>45690</v>
      </c>
      <c r="B2039">
        <v>1010100</v>
      </c>
      <c r="C2039">
        <v>0</v>
      </c>
      <c r="E2039" s="80">
        <v>45682</v>
      </c>
      <c r="F2039">
        <v>3010101</v>
      </c>
      <c r="G2039">
        <v>25201</v>
      </c>
    </row>
    <row r="2040" spans="1:7" x14ac:dyDescent="0.3">
      <c r="A2040" s="80">
        <v>45690</v>
      </c>
      <c r="B2040">
        <v>1010100</v>
      </c>
      <c r="C2040">
        <v>1990</v>
      </c>
      <c r="E2040" s="80">
        <v>45681</v>
      </c>
      <c r="F2040">
        <v>3010101</v>
      </c>
      <c r="G2040">
        <v>25201</v>
      </c>
    </row>
    <row r="2041" spans="1:7" x14ac:dyDescent="0.3">
      <c r="A2041" s="80">
        <v>45690</v>
      </c>
      <c r="B2041">
        <v>1010100</v>
      </c>
      <c r="C2041">
        <v>3790</v>
      </c>
      <c r="E2041" s="80">
        <v>45681</v>
      </c>
      <c r="F2041">
        <v>3010101</v>
      </c>
      <c r="G2041">
        <v>25201</v>
      </c>
    </row>
    <row r="2042" spans="1:7" x14ac:dyDescent="0.3">
      <c r="A2042" s="80">
        <v>45690</v>
      </c>
      <c r="B2042">
        <v>1010100</v>
      </c>
      <c r="C2042">
        <v>4290</v>
      </c>
      <c r="E2042" s="80">
        <v>45681</v>
      </c>
      <c r="F2042">
        <v>3010101</v>
      </c>
      <c r="G2042">
        <v>25201</v>
      </c>
    </row>
    <row r="2043" spans="1:7" x14ac:dyDescent="0.3">
      <c r="A2043" s="80">
        <v>45690</v>
      </c>
      <c r="B2043">
        <v>1010100</v>
      </c>
      <c r="C2043">
        <v>1990</v>
      </c>
      <c r="E2043" s="80">
        <v>45681</v>
      </c>
      <c r="F2043">
        <v>3010101</v>
      </c>
      <c r="G2043">
        <v>25201</v>
      </c>
    </row>
    <row r="2044" spans="1:7" x14ac:dyDescent="0.3">
      <c r="A2044" s="80">
        <v>45690</v>
      </c>
      <c r="B2044">
        <v>1010100</v>
      </c>
      <c r="C2044">
        <v>5490</v>
      </c>
      <c r="E2044" s="80">
        <v>45681</v>
      </c>
      <c r="F2044">
        <v>3010101</v>
      </c>
      <c r="G2044">
        <v>25201</v>
      </c>
    </row>
    <row r="2045" spans="1:7" x14ac:dyDescent="0.3">
      <c r="A2045" s="80">
        <v>45690</v>
      </c>
      <c r="B2045">
        <v>1010100</v>
      </c>
      <c r="C2045">
        <v>0</v>
      </c>
      <c r="E2045" s="80">
        <v>45681</v>
      </c>
      <c r="F2045">
        <v>3010101</v>
      </c>
      <c r="G2045">
        <v>25201</v>
      </c>
    </row>
    <row r="2046" spans="1:7" x14ac:dyDescent="0.3">
      <c r="A2046" s="80">
        <v>45690</v>
      </c>
      <c r="B2046">
        <v>1010100</v>
      </c>
      <c r="C2046">
        <v>0</v>
      </c>
      <c r="E2046" s="80">
        <v>45681</v>
      </c>
      <c r="F2046">
        <v>3010101</v>
      </c>
      <c r="G2046">
        <v>25201</v>
      </c>
    </row>
    <row r="2047" spans="1:7" x14ac:dyDescent="0.3">
      <c r="A2047" s="80">
        <v>45690</v>
      </c>
      <c r="B2047">
        <v>1010100</v>
      </c>
      <c r="C2047">
        <v>0</v>
      </c>
      <c r="E2047" s="80">
        <v>45681</v>
      </c>
      <c r="F2047">
        <v>3010101</v>
      </c>
      <c r="G2047">
        <v>25201</v>
      </c>
    </row>
    <row r="2048" spans="1:7" x14ac:dyDescent="0.3">
      <c r="A2048" s="80">
        <v>45690</v>
      </c>
      <c r="B2048">
        <v>1010100</v>
      </c>
      <c r="C2048">
        <v>0</v>
      </c>
      <c r="E2048" s="80">
        <v>45680</v>
      </c>
      <c r="F2048">
        <v>3010101</v>
      </c>
      <c r="G2048">
        <v>25201</v>
      </c>
    </row>
    <row r="2049" spans="1:7" x14ac:dyDescent="0.3">
      <c r="A2049" s="80">
        <v>45690</v>
      </c>
      <c r="B2049">
        <v>1010100</v>
      </c>
      <c r="C2049">
        <v>0</v>
      </c>
      <c r="E2049" s="80">
        <v>45680</v>
      </c>
      <c r="F2049">
        <v>3010101</v>
      </c>
      <c r="G2049">
        <v>25201</v>
      </c>
    </row>
    <row r="2050" spans="1:7" x14ac:dyDescent="0.3">
      <c r="A2050" s="80">
        <v>45690</v>
      </c>
      <c r="B2050">
        <v>1010100</v>
      </c>
      <c r="C2050">
        <v>0</v>
      </c>
      <c r="E2050" s="80">
        <v>45680</v>
      </c>
      <c r="F2050">
        <v>3010101</v>
      </c>
      <c r="G2050">
        <v>25201</v>
      </c>
    </row>
    <row r="2051" spans="1:7" x14ac:dyDescent="0.3">
      <c r="A2051" s="80">
        <v>45690</v>
      </c>
      <c r="B2051">
        <v>1010100</v>
      </c>
      <c r="C2051">
        <v>0</v>
      </c>
      <c r="E2051" s="80">
        <v>45680</v>
      </c>
      <c r="F2051">
        <v>3010101</v>
      </c>
      <c r="G2051">
        <v>25201</v>
      </c>
    </row>
    <row r="2052" spans="1:7" x14ac:dyDescent="0.3">
      <c r="A2052" s="80">
        <v>45689</v>
      </c>
      <c r="B2052">
        <v>1010100</v>
      </c>
      <c r="C2052">
        <v>0</v>
      </c>
      <c r="E2052" s="80">
        <v>45680</v>
      </c>
      <c r="F2052">
        <v>3010101</v>
      </c>
      <c r="G2052">
        <v>25201</v>
      </c>
    </row>
    <row r="2053" spans="1:7" x14ac:dyDescent="0.3">
      <c r="A2053" s="80">
        <v>45689</v>
      </c>
      <c r="B2053">
        <v>1010100</v>
      </c>
      <c r="C2053">
        <v>3990</v>
      </c>
      <c r="E2053" s="80">
        <v>45680</v>
      </c>
      <c r="F2053">
        <v>3010101</v>
      </c>
      <c r="G2053">
        <v>25201</v>
      </c>
    </row>
    <row r="2054" spans="1:7" x14ac:dyDescent="0.3">
      <c r="A2054" s="80">
        <v>45689</v>
      </c>
      <c r="B2054">
        <v>1010100</v>
      </c>
      <c r="C2054">
        <v>0</v>
      </c>
      <c r="E2054" s="80">
        <v>45680</v>
      </c>
      <c r="F2054">
        <v>3010101</v>
      </c>
      <c r="G2054">
        <v>25201</v>
      </c>
    </row>
    <row r="2055" spans="1:7" x14ac:dyDescent="0.3">
      <c r="A2055" s="80">
        <v>45689</v>
      </c>
      <c r="B2055">
        <v>1010100</v>
      </c>
      <c r="C2055">
        <v>1990</v>
      </c>
      <c r="E2055" s="80">
        <v>45679</v>
      </c>
      <c r="F2055">
        <v>3010101</v>
      </c>
      <c r="G2055">
        <v>25201</v>
      </c>
    </row>
    <row r="2056" spans="1:7" x14ac:dyDescent="0.3">
      <c r="A2056" s="80">
        <v>45689</v>
      </c>
      <c r="B2056">
        <v>1010100</v>
      </c>
      <c r="C2056">
        <v>1990</v>
      </c>
      <c r="E2056" s="80">
        <v>45679</v>
      </c>
      <c r="F2056">
        <v>3010101</v>
      </c>
      <c r="G2056">
        <v>25201</v>
      </c>
    </row>
    <row r="2057" spans="1:7" x14ac:dyDescent="0.3">
      <c r="A2057" s="80">
        <v>45689</v>
      </c>
      <c r="B2057">
        <v>1010100</v>
      </c>
      <c r="C2057">
        <v>1990</v>
      </c>
      <c r="E2057" s="80">
        <v>45679</v>
      </c>
      <c r="F2057">
        <v>3010101</v>
      </c>
      <c r="G2057">
        <v>25201</v>
      </c>
    </row>
    <row r="2058" spans="1:7" x14ac:dyDescent="0.3">
      <c r="A2058" s="80">
        <v>45688</v>
      </c>
      <c r="B2058">
        <v>1010100</v>
      </c>
      <c r="C2058">
        <v>0</v>
      </c>
      <c r="E2058" s="80">
        <v>45679</v>
      </c>
      <c r="F2058">
        <v>3010101</v>
      </c>
      <c r="G2058">
        <v>25201</v>
      </c>
    </row>
    <row r="2059" spans="1:7" x14ac:dyDescent="0.3">
      <c r="A2059" s="80">
        <v>45688</v>
      </c>
      <c r="B2059">
        <v>1010100</v>
      </c>
      <c r="C2059">
        <v>1990</v>
      </c>
      <c r="E2059" s="80">
        <v>45679</v>
      </c>
      <c r="F2059">
        <v>3010101</v>
      </c>
      <c r="G2059">
        <v>25201</v>
      </c>
    </row>
    <row r="2060" spans="1:7" x14ac:dyDescent="0.3">
      <c r="A2060" s="80">
        <v>45688</v>
      </c>
      <c r="B2060">
        <v>1010100</v>
      </c>
      <c r="C2060">
        <v>4521</v>
      </c>
      <c r="E2060" s="80">
        <v>45679</v>
      </c>
      <c r="F2060">
        <v>3010101</v>
      </c>
      <c r="G2060">
        <v>25201</v>
      </c>
    </row>
    <row r="2061" spans="1:7" x14ac:dyDescent="0.3">
      <c r="A2061" s="80">
        <v>45688</v>
      </c>
      <c r="B2061">
        <v>1010100</v>
      </c>
      <c r="C2061">
        <v>0</v>
      </c>
      <c r="E2061" s="80">
        <v>45679</v>
      </c>
      <c r="F2061">
        <v>3010101</v>
      </c>
      <c r="G2061">
        <v>45363</v>
      </c>
    </row>
    <row r="2062" spans="1:7" x14ac:dyDescent="0.3">
      <c r="A2062" s="80">
        <v>45688</v>
      </c>
      <c r="B2062">
        <v>1010100</v>
      </c>
      <c r="C2062">
        <v>0</v>
      </c>
      <c r="E2062" s="80">
        <v>45679</v>
      </c>
      <c r="F2062">
        <v>3010101</v>
      </c>
      <c r="G2062">
        <v>22681</v>
      </c>
    </row>
    <row r="2063" spans="1:7" x14ac:dyDescent="0.3">
      <c r="A2063" s="80">
        <v>45688</v>
      </c>
      <c r="B2063">
        <v>1010100</v>
      </c>
      <c r="C2063">
        <v>1990</v>
      </c>
      <c r="E2063" s="80">
        <v>45679</v>
      </c>
      <c r="F2063">
        <v>3010101</v>
      </c>
      <c r="G2063">
        <v>25201</v>
      </c>
    </row>
    <row r="2064" spans="1:7" x14ac:dyDescent="0.3">
      <c r="A2064" s="80">
        <v>45687</v>
      </c>
      <c r="B2064">
        <v>1010100</v>
      </c>
      <c r="C2064">
        <v>1990</v>
      </c>
      <c r="E2064" s="80">
        <v>45678</v>
      </c>
      <c r="F2064">
        <v>3010101</v>
      </c>
      <c r="G2064">
        <v>25201</v>
      </c>
    </row>
    <row r="2065" spans="1:7" x14ac:dyDescent="0.3">
      <c r="A2065" s="80">
        <v>45687</v>
      </c>
      <c r="B2065">
        <v>1010100</v>
      </c>
      <c r="C2065">
        <v>3590</v>
      </c>
      <c r="E2065" s="80">
        <v>45678</v>
      </c>
      <c r="F2065">
        <v>3010101</v>
      </c>
      <c r="G2065">
        <v>25201</v>
      </c>
    </row>
    <row r="2066" spans="1:7" x14ac:dyDescent="0.3">
      <c r="A2066" s="80">
        <v>45687</v>
      </c>
      <c r="B2066">
        <v>1010100</v>
      </c>
      <c r="C2066">
        <v>1990</v>
      </c>
      <c r="E2066" s="80">
        <v>45678</v>
      </c>
      <c r="F2066">
        <v>3010101</v>
      </c>
      <c r="G2066">
        <v>25201</v>
      </c>
    </row>
    <row r="2067" spans="1:7" x14ac:dyDescent="0.3">
      <c r="A2067" s="80">
        <v>45687</v>
      </c>
      <c r="B2067">
        <v>1010100</v>
      </c>
      <c r="C2067">
        <v>1990</v>
      </c>
      <c r="E2067" s="80">
        <v>45678</v>
      </c>
      <c r="F2067">
        <v>3010101</v>
      </c>
      <c r="G2067">
        <v>25201</v>
      </c>
    </row>
    <row r="2068" spans="1:7" x14ac:dyDescent="0.3">
      <c r="A2068" s="80">
        <v>45687</v>
      </c>
      <c r="B2068">
        <v>1010100</v>
      </c>
      <c r="C2068">
        <v>2590</v>
      </c>
      <c r="E2068" s="80">
        <v>45678</v>
      </c>
      <c r="F2068">
        <v>3010101</v>
      </c>
      <c r="G2068">
        <v>25201</v>
      </c>
    </row>
    <row r="2069" spans="1:7" x14ac:dyDescent="0.3">
      <c r="A2069" s="80">
        <v>45687</v>
      </c>
      <c r="B2069">
        <v>1010100</v>
      </c>
      <c r="C2069">
        <v>1990</v>
      </c>
      <c r="E2069" s="80">
        <v>45678</v>
      </c>
      <c r="F2069">
        <v>3010101</v>
      </c>
      <c r="G2069">
        <v>25201</v>
      </c>
    </row>
    <row r="2070" spans="1:7" x14ac:dyDescent="0.3">
      <c r="A2070" s="80">
        <v>45687</v>
      </c>
      <c r="B2070">
        <v>1010100</v>
      </c>
      <c r="C2070">
        <v>0</v>
      </c>
      <c r="E2070" s="80">
        <v>45678</v>
      </c>
      <c r="F2070">
        <v>3010101</v>
      </c>
      <c r="G2070">
        <v>25201</v>
      </c>
    </row>
    <row r="2071" spans="1:7" x14ac:dyDescent="0.3">
      <c r="A2071" s="80">
        <v>45687</v>
      </c>
      <c r="B2071">
        <v>1010100</v>
      </c>
      <c r="C2071">
        <v>0</v>
      </c>
      <c r="E2071" s="80">
        <v>45678</v>
      </c>
      <c r="F2071">
        <v>3010101</v>
      </c>
      <c r="G2071">
        <v>25201</v>
      </c>
    </row>
    <row r="2072" spans="1:7" x14ac:dyDescent="0.3">
      <c r="A2072" s="80">
        <v>45687</v>
      </c>
      <c r="B2072">
        <v>1010100</v>
      </c>
      <c r="C2072">
        <v>0</v>
      </c>
      <c r="E2072" s="80">
        <v>45678</v>
      </c>
      <c r="F2072">
        <v>3010101</v>
      </c>
      <c r="G2072">
        <v>25201</v>
      </c>
    </row>
    <row r="2073" spans="1:7" x14ac:dyDescent="0.3">
      <c r="A2073" s="80">
        <v>45687</v>
      </c>
      <c r="B2073">
        <v>1010100</v>
      </c>
      <c r="C2073">
        <v>0</v>
      </c>
      <c r="E2073" s="80">
        <v>45678</v>
      </c>
      <c r="F2073">
        <v>3010101</v>
      </c>
      <c r="G2073">
        <v>25201</v>
      </c>
    </row>
    <row r="2074" spans="1:7" x14ac:dyDescent="0.3">
      <c r="A2074" s="80">
        <v>45687</v>
      </c>
      <c r="B2074">
        <v>1010100</v>
      </c>
      <c r="C2074">
        <v>3790</v>
      </c>
      <c r="E2074" s="80">
        <v>45678</v>
      </c>
      <c r="F2074">
        <v>3010101</v>
      </c>
      <c r="G2074">
        <v>22681</v>
      </c>
    </row>
    <row r="2075" spans="1:7" x14ac:dyDescent="0.3">
      <c r="A2075" s="80">
        <v>45687</v>
      </c>
      <c r="B2075">
        <v>1010100</v>
      </c>
      <c r="C2075">
        <v>1990</v>
      </c>
      <c r="E2075" s="80">
        <v>45678</v>
      </c>
      <c r="F2075">
        <v>3010101</v>
      </c>
      <c r="G2075">
        <v>25201</v>
      </c>
    </row>
    <row r="2076" spans="1:7" x14ac:dyDescent="0.3">
      <c r="A2076" s="80">
        <v>45687</v>
      </c>
      <c r="B2076">
        <v>1010100</v>
      </c>
      <c r="C2076">
        <v>1990</v>
      </c>
      <c r="E2076" s="80">
        <v>45678</v>
      </c>
      <c r="F2076">
        <v>3010101</v>
      </c>
      <c r="G2076">
        <v>25201</v>
      </c>
    </row>
    <row r="2077" spans="1:7" x14ac:dyDescent="0.3">
      <c r="A2077" s="80">
        <v>45687</v>
      </c>
      <c r="B2077">
        <v>1010100</v>
      </c>
      <c r="C2077">
        <v>1990</v>
      </c>
      <c r="E2077" s="80">
        <v>45678</v>
      </c>
      <c r="F2077">
        <v>3010101</v>
      </c>
      <c r="G2077">
        <v>25201</v>
      </c>
    </row>
    <row r="2078" spans="1:7" x14ac:dyDescent="0.3">
      <c r="A2078" s="80">
        <v>45687</v>
      </c>
      <c r="B2078">
        <v>1010100</v>
      </c>
      <c r="C2078">
        <v>0</v>
      </c>
      <c r="E2078" s="80">
        <v>45677</v>
      </c>
      <c r="F2078">
        <v>3010101</v>
      </c>
      <c r="G2078">
        <v>25201</v>
      </c>
    </row>
    <row r="2079" spans="1:7" x14ac:dyDescent="0.3">
      <c r="A2079" s="80">
        <v>45687</v>
      </c>
      <c r="B2079">
        <v>1010100</v>
      </c>
      <c r="C2079">
        <v>1990</v>
      </c>
      <c r="E2079" s="80">
        <v>45677</v>
      </c>
      <c r="F2079">
        <v>3010101</v>
      </c>
      <c r="G2079">
        <v>25201</v>
      </c>
    </row>
    <row r="2080" spans="1:7" x14ac:dyDescent="0.3">
      <c r="A2080" s="80">
        <v>45687</v>
      </c>
      <c r="B2080">
        <v>1010100</v>
      </c>
      <c r="C2080">
        <v>0</v>
      </c>
      <c r="E2080" s="80">
        <v>45677</v>
      </c>
      <c r="F2080">
        <v>3010101</v>
      </c>
      <c r="G2080">
        <v>25201</v>
      </c>
    </row>
    <row r="2081" spans="1:7" x14ac:dyDescent="0.3">
      <c r="A2081" s="80">
        <v>45686</v>
      </c>
      <c r="B2081">
        <v>1010100</v>
      </c>
      <c r="C2081">
        <v>0</v>
      </c>
      <c r="E2081" s="80">
        <v>45677</v>
      </c>
      <c r="F2081">
        <v>3010101</v>
      </c>
      <c r="G2081">
        <v>27722</v>
      </c>
    </row>
    <row r="2082" spans="1:7" x14ac:dyDescent="0.3">
      <c r="A2082" s="80">
        <v>45686</v>
      </c>
      <c r="B2082">
        <v>1010100</v>
      </c>
      <c r="C2082">
        <v>1990</v>
      </c>
      <c r="E2082" s="80">
        <v>45677</v>
      </c>
      <c r="F2082">
        <v>3010101</v>
      </c>
      <c r="G2082">
        <v>25201</v>
      </c>
    </row>
    <row r="2083" spans="1:7" x14ac:dyDescent="0.3">
      <c r="A2083" s="80">
        <v>45686</v>
      </c>
      <c r="B2083">
        <v>1010100</v>
      </c>
      <c r="C2083">
        <v>3990</v>
      </c>
      <c r="E2083" s="80">
        <v>45677</v>
      </c>
      <c r="F2083">
        <v>3010101</v>
      </c>
      <c r="G2083">
        <v>25201</v>
      </c>
    </row>
    <row r="2084" spans="1:7" x14ac:dyDescent="0.3">
      <c r="A2084" s="80">
        <v>45686</v>
      </c>
      <c r="B2084">
        <v>1010100</v>
      </c>
      <c r="C2084">
        <v>1990</v>
      </c>
      <c r="E2084" s="80">
        <v>45676</v>
      </c>
      <c r="F2084">
        <v>3010101</v>
      </c>
      <c r="G2084">
        <v>25201</v>
      </c>
    </row>
    <row r="2085" spans="1:7" x14ac:dyDescent="0.3">
      <c r="A2085" s="80">
        <v>45686</v>
      </c>
      <c r="B2085">
        <v>1010100</v>
      </c>
      <c r="C2085">
        <v>4390</v>
      </c>
      <c r="E2085" s="80">
        <v>45676</v>
      </c>
      <c r="F2085">
        <v>3010101</v>
      </c>
      <c r="G2085">
        <v>25201</v>
      </c>
    </row>
    <row r="2086" spans="1:7" x14ac:dyDescent="0.3">
      <c r="A2086" s="80">
        <v>45686</v>
      </c>
      <c r="B2086">
        <v>1010100</v>
      </c>
      <c r="C2086">
        <v>3590</v>
      </c>
      <c r="E2086" s="80">
        <v>45676</v>
      </c>
      <c r="F2086">
        <v>3010101</v>
      </c>
      <c r="G2086">
        <v>27722</v>
      </c>
    </row>
    <row r="2087" spans="1:7" x14ac:dyDescent="0.3">
      <c r="A2087" s="80">
        <v>45686</v>
      </c>
      <c r="B2087">
        <v>1010100</v>
      </c>
      <c r="C2087">
        <v>0</v>
      </c>
      <c r="E2087" s="80">
        <v>45676</v>
      </c>
      <c r="F2087">
        <v>3010101</v>
      </c>
      <c r="G2087">
        <v>25201</v>
      </c>
    </row>
    <row r="2088" spans="1:7" x14ac:dyDescent="0.3">
      <c r="A2088" s="80">
        <v>45686</v>
      </c>
      <c r="B2088">
        <v>1010100</v>
      </c>
      <c r="C2088">
        <v>1990</v>
      </c>
      <c r="E2088" s="80">
        <v>45676</v>
      </c>
      <c r="F2088">
        <v>3010101</v>
      </c>
      <c r="G2088">
        <v>25201</v>
      </c>
    </row>
    <row r="2089" spans="1:7" x14ac:dyDescent="0.3">
      <c r="A2089" s="80">
        <v>45686</v>
      </c>
      <c r="B2089">
        <v>1010100</v>
      </c>
      <c r="C2089">
        <v>5290</v>
      </c>
      <c r="E2089" s="80">
        <v>45676</v>
      </c>
      <c r="F2089">
        <v>3010101</v>
      </c>
      <c r="G2089">
        <v>25201</v>
      </c>
    </row>
    <row r="2090" spans="1:7" x14ac:dyDescent="0.3">
      <c r="A2090" s="80">
        <v>45686</v>
      </c>
      <c r="B2090">
        <v>1010100</v>
      </c>
      <c r="C2090">
        <v>4790</v>
      </c>
      <c r="E2090" s="80">
        <v>45676</v>
      </c>
      <c r="F2090">
        <v>3010101</v>
      </c>
      <c r="G2090">
        <v>25201</v>
      </c>
    </row>
    <row r="2091" spans="1:7" x14ac:dyDescent="0.3">
      <c r="A2091" s="80">
        <v>45686</v>
      </c>
      <c r="B2091">
        <v>1010100</v>
      </c>
      <c r="C2091">
        <v>1990</v>
      </c>
      <c r="E2091" s="80">
        <v>45676</v>
      </c>
      <c r="F2091">
        <v>3010101</v>
      </c>
      <c r="G2091">
        <v>25201</v>
      </c>
    </row>
    <row r="2092" spans="1:7" x14ac:dyDescent="0.3">
      <c r="A2092" s="80">
        <v>45686</v>
      </c>
      <c r="B2092">
        <v>1010100</v>
      </c>
      <c r="C2092">
        <v>1990</v>
      </c>
      <c r="E2092" s="80">
        <v>45676</v>
      </c>
      <c r="F2092">
        <v>3010101</v>
      </c>
      <c r="G2092">
        <v>25201</v>
      </c>
    </row>
    <row r="2093" spans="1:7" x14ac:dyDescent="0.3">
      <c r="A2093" s="80">
        <v>45685</v>
      </c>
      <c r="B2093">
        <v>1010100</v>
      </c>
      <c r="C2093">
        <v>0</v>
      </c>
      <c r="E2093" s="80">
        <v>45676</v>
      </c>
      <c r="F2093">
        <v>3010101</v>
      </c>
      <c r="G2093">
        <v>25201</v>
      </c>
    </row>
    <row r="2094" spans="1:7" x14ac:dyDescent="0.3">
      <c r="A2094" s="80">
        <v>45685</v>
      </c>
      <c r="B2094">
        <v>1010100</v>
      </c>
      <c r="C2094">
        <v>1990</v>
      </c>
      <c r="E2094" s="80">
        <v>45676</v>
      </c>
      <c r="F2094">
        <v>3010101</v>
      </c>
      <c r="G2094">
        <v>25201</v>
      </c>
    </row>
    <row r="2095" spans="1:7" x14ac:dyDescent="0.3">
      <c r="A2095" s="80">
        <v>45685</v>
      </c>
      <c r="B2095">
        <v>1010100</v>
      </c>
      <c r="C2095">
        <v>1990</v>
      </c>
      <c r="E2095" s="80">
        <v>45676</v>
      </c>
      <c r="F2095">
        <v>3010101</v>
      </c>
      <c r="G2095">
        <v>8394</v>
      </c>
    </row>
    <row r="2096" spans="1:7" x14ac:dyDescent="0.3">
      <c r="A2096" s="80">
        <v>45685</v>
      </c>
      <c r="B2096">
        <v>1010100</v>
      </c>
      <c r="C2096">
        <v>3790</v>
      </c>
      <c r="E2096" s="80">
        <v>45676</v>
      </c>
      <c r="F2096">
        <v>3010101</v>
      </c>
      <c r="G2096">
        <v>25201</v>
      </c>
    </row>
    <row r="2097" spans="1:7" x14ac:dyDescent="0.3">
      <c r="A2097" s="80">
        <v>45685</v>
      </c>
      <c r="B2097">
        <v>1010100</v>
      </c>
      <c r="C2097">
        <v>1990</v>
      </c>
      <c r="E2097" s="80">
        <v>45676</v>
      </c>
      <c r="F2097">
        <v>3010101</v>
      </c>
      <c r="G2097">
        <v>25201</v>
      </c>
    </row>
    <row r="2098" spans="1:7" x14ac:dyDescent="0.3">
      <c r="A2098" s="80">
        <v>45685</v>
      </c>
      <c r="B2098">
        <v>1010100</v>
      </c>
      <c r="C2098">
        <v>1990</v>
      </c>
      <c r="E2098" s="80">
        <v>45676</v>
      </c>
      <c r="F2098">
        <v>3010101</v>
      </c>
      <c r="G2098">
        <v>25201</v>
      </c>
    </row>
    <row r="2099" spans="1:7" x14ac:dyDescent="0.3">
      <c r="A2099" s="80">
        <v>45685</v>
      </c>
      <c r="B2099">
        <v>1010100</v>
      </c>
      <c r="C2099">
        <v>3990</v>
      </c>
      <c r="E2099" s="80">
        <v>45676</v>
      </c>
      <c r="F2099">
        <v>3010101</v>
      </c>
      <c r="G2099">
        <v>25201</v>
      </c>
    </row>
    <row r="2100" spans="1:7" x14ac:dyDescent="0.3">
      <c r="A2100" s="80">
        <v>45685</v>
      </c>
      <c r="B2100">
        <v>1010100</v>
      </c>
      <c r="C2100">
        <v>1990</v>
      </c>
      <c r="E2100" s="80">
        <v>45676</v>
      </c>
      <c r="F2100">
        <v>3010101</v>
      </c>
      <c r="G2100">
        <v>25201</v>
      </c>
    </row>
    <row r="2101" spans="1:7" x14ac:dyDescent="0.3">
      <c r="A2101" s="80">
        <v>45684</v>
      </c>
      <c r="B2101">
        <v>1010100</v>
      </c>
      <c r="C2101">
        <v>1990</v>
      </c>
      <c r="E2101" s="80">
        <v>45676</v>
      </c>
      <c r="F2101">
        <v>3010101</v>
      </c>
      <c r="G2101">
        <v>8394</v>
      </c>
    </row>
    <row r="2102" spans="1:7" x14ac:dyDescent="0.3">
      <c r="A2102" s="80">
        <v>45684</v>
      </c>
      <c r="B2102">
        <v>1010100</v>
      </c>
      <c r="C2102">
        <v>1990</v>
      </c>
      <c r="E2102" s="80">
        <v>45675</v>
      </c>
      <c r="F2102">
        <v>3010101</v>
      </c>
      <c r="G2102">
        <v>25201</v>
      </c>
    </row>
    <row r="2103" spans="1:7" x14ac:dyDescent="0.3">
      <c r="A2103" s="80">
        <v>45684</v>
      </c>
      <c r="B2103">
        <v>1010100</v>
      </c>
      <c r="C2103">
        <v>0</v>
      </c>
      <c r="E2103" s="80">
        <v>45675</v>
      </c>
      <c r="F2103">
        <v>3010101</v>
      </c>
      <c r="G2103">
        <v>25201</v>
      </c>
    </row>
    <row r="2104" spans="1:7" x14ac:dyDescent="0.3">
      <c r="A2104" s="80">
        <v>45684</v>
      </c>
      <c r="B2104">
        <v>1010100</v>
      </c>
      <c r="C2104">
        <v>1990</v>
      </c>
      <c r="E2104" s="80">
        <v>45675</v>
      </c>
      <c r="F2104">
        <v>3010101</v>
      </c>
      <c r="G2104">
        <v>25201</v>
      </c>
    </row>
    <row r="2105" spans="1:7" x14ac:dyDescent="0.3">
      <c r="A2105" s="80">
        <v>45684</v>
      </c>
      <c r="B2105">
        <v>1010100</v>
      </c>
      <c r="C2105">
        <v>4190</v>
      </c>
      <c r="E2105" s="80">
        <v>45675</v>
      </c>
      <c r="F2105">
        <v>3010101</v>
      </c>
      <c r="G2105">
        <v>27722</v>
      </c>
    </row>
    <row r="2106" spans="1:7" x14ac:dyDescent="0.3">
      <c r="A2106" s="80">
        <v>45684</v>
      </c>
      <c r="B2106">
        <v>1010100</v>
      </c>
      <c r="C2106">
        <v>4190</v>
      </c>
      <c r="E2106" s="80">
        <v>45675</v>
      </c>
      <c r="F2106">
        <v>3010101</v>
      </c>
      <c r="G2106">
        <v>22681</v>
      </c>
    </row>
    <row r="2107" spans="1:7" x14ac:dyDescent="0.3">
      <c r="A2107" s="80">
        <v>45684</v>
      </c>
      <c r="B2107">
        <v>1010100</v>
      </c>
      <c r="C2107">
        <v>0</v>
      </c>
      <c r="E2107" s="80">
        <v>45675</v>
      </c>
      <c r="F2107">
        <v>3010101</v>
      </c>
      <c r="G2107">
        <v>25201</v>
      </c>
    </row>
    <row r="2108" spans="1:7" x14ac:dyDescent="0.3">
      <c r="A2108" s="80">
        <v>45684</v>
      </c>
      <c r="B2108">
        <v>1010100</v>
      </c>
      <c r="C2108">
        <v>0</v>
      </c>
      <c r="E2108" s="80">
        <v>45675</v>
      </c>
      <c r="F2108">
        <v>3010101</v>
      </c>
      <c r="G2108">
        <v>25201</v>
      </c>
    </row>
    <row r="2109" spans="1:7" x14ac:dyDescent="0.3">
      <c r="A2109" s="80">
        <v>45683</v>
      </c>
      <c r="B2109">
        <v>1010100</v>
      </c>
      <c r="C2109">
        <v>3590</v>
      </c>
      <c r="E2109" s="80">
        <v>45675</v>
      </c>
      <c r="F2109">
        <v>3010101</v>
      </c>
      <c r="G2109">
        <v>25201</v>
      </c>
    </row>
    <row r="2110" spans="1:7" x14ac:dyDescent="0.3">
      <c r="A2110" s="80">
        <v>45683</v>
      </c>
      <c r="B2110">
        <v>1010100</v>
      </c>
      <c r="C2110">
        <v>3790</v>
      </c>
      <c r="E2110" s="80">
        <v>45675</v>
      </c>
      <c r="F2110">
        <v>3010101</v>
      </c>
      <c r="G2110">
        <v>22681</v>
      </c>
    </row>
    <row r="2111" spans="1:7" x14ac:dyDescent="0.3">
      <c r="A2111" s="80">
        <v>45683</v>
      </c>
      <c r="B2111">
        <v>1010100</v>
      </c>
      <c r="C2111">
        <v>1990</v>
      </c>
      <c r="E2111" s="80">
        <v>45675</v>
      </c>
      <c r="F2111">
        <v>3010101</v>
      </c>
      <c r="G2111">
        <v>25201</v>
      </c>
    </row>
    <row r="2112" spans="1:7" x14ac:dyDescent="0.3">
      <c r="A2112" s="80">
        <v>45683</v>
      </c>
      <c r="B2112">
        <v>1010100</v>
      </c>
      <c r="C2112">
        <v>0</v>
      </c>
      <c r="E2112" s="80">
        <v>45675</v>
      </c>
      <c r="F2112">
        <v>3010101</v>
      </c>
      <c r="G2112">
        <v>25201</v>
      </c>
    </row>
    <row r="2113" spans="1:7" x14ac:dyDescent="0.3">
      <c r="A2113" s="80">
        <v>45683</v>
      </c>
      <c r="B2113">
        <v>1010100</v>
      </c>
      <c r="C2113">
        <v>3590</v>
      </c>
      <c r="E2113" s="80">
        <v>45674</v>
      </c>
      <c r="F2113">
        <v>3010101</v>
      </c>
      <c r="G2113">
        <v>22681</v>
      </c>
    </row>
    <row r="2114" spans="1:7" x14ac:dyDescent="0.3">
      <c r="A2114" s="80">
        <v>45683</v>
      </c>
      <c r="B2114">
        <v>1010100</v>
      </c>
      <c r="C2114">
        <v>1990</v>
      </c>
      <c r="E2114" s="80">
        <v>45674</v>
      </c>
      <c r="F2114">
        <v>3010101</v>
      </c>
      <c r="G2114">
        <v>27722</v>
      </c>
    </row>
    <row r="2115" spans="1:7" x14ac:dyDescent="0.3">
      <c r="A2115" s="80">
        <v>45683</v>
      </c>
      <c r="B2115">
        <v>1010100</v>
      </c>
      <c r="C2115">
        <v>1990</v>
      </c>
      <c r="E2115" s="80">
        <v>45674</v>
      </c>
      <c r="F2115">
        <v>3010101</v>
      </c>
      <c r="G2115">
        <v>25201</v>
      </c>
    </row>
    <row r="2116" spans="1:7" x14ac:dyDescent="0.3">
      <c r="A2116" s="80">
        <v>45683</v>
      </c>
      <c r="B2116">
        <v>1010100</v>
      </c>
      <c r="C2116">
        <v>1990</v>
      </c>
      <c r="E2116" s="80">
        <v>45674</v>
      </c>
      <c r="F2116">
        <v>3010101</v>
      </c>
      <c r="G2116">
        <v>25201</v>
      </c>
    </row>
    <row r="2117" spans="1:7" x14ac:dyDescent="0.3">
      <c r="A2117" s="80">
        <v>45682</v>
      </c>
      <c r="B2117">
        <v>1010100</v>
      </c>
      <c r="C2117">
        <v>3490</v>
      </c>
      <c r="E2117" s="80">
        <v>45674</v>
      </c>
      <c r="F2117">
        <v>3010101</v>
      </c>
      <c r="G2117">
        <v>22681</v>
      </c>
    </row>
    <row r="2118" spans="1:7" x14ac:dyDescent="0.3">
      <c r="A2118" s="80">
        <v>45682</v>
      </c>
      <c r="B2118">
        <v>1010100</v>
      </c>
      <c r="C2118">
        <v>5990</v>
      </c>
      <c r="E2118" s="80">
        <v>45674</v>
      </c>
      <c r="F2118">
        <v>3010101</v>
      </c>
      <c r="G2118">
        <v>25201</v>
      </c>
    </row>
    <row r="2119" spans="1:7" x14ac:dyDescent="0.3">
      <c r="A2119" s="80">
        <v>45682</v>
      </c>
      <c r="B2119">
        <v>1010100</v>
      </c>
      <c r="C2119">
        <v>0</v>
      </c>
      <c r="E2119" s="80">
        <v>45674</v>
      </c>
      <c r="F2119">
        <v>3010101</v>
      </c>
      <c r="G2119">
        <v>22681</v>
      </c>
    </row>
    <row r="2120" spans="1:7" x14ac:dyDescent="0.3">
      <c r="A2120" s="80">
        <v>45682</v>
      </c>
      <c r="B2120">
        <v>1010100</v>
      </c>
      <c r="C2120">
        <v>4290</v>
      </c>
      <c r="E2120" s="80">
        <v>45674</v>
      </c>
      <c r="F2120">
        <v>3010101</v>
      </c>
      <c r="G2120">
        <v>25201</v>
      </c>
    </row>
    <row r="2121" spans="1:7" x14ac:dyDescent="0.3">
      <c r="A2121" s="80">
        <v>45682</v>
      </c>
      <c r="B2121">
        <v>1010100</v>
      </c>
      <c r="C2121">
        <v>1990</v>
      </c>
      <c r="E2121" s="80">
        <v>45674</v>
      </c>
      <c r="F2121">
        <v>3010101</v>
      </c>
      <c r="G2121">
        <v>25201</v>
      </c>
    </row>
    <row r="2122" spans="1:7" x14ac:dyDescent="0.3">
      <c r="A2122" s="80">
        <v>45682</v>
      </c>
      <c r="B2122">
        <v>1010100</v>
      </c>
      <c r="C2122">
        <v>0</v>
      </c>
      <c r="E2122" s="80">
        <v>45674</v>
      </c>
      <c r="F2122">
        <v>3010101</v>
      </c>
      <c r="G2122">
        <v>8394</v>
      </c>
    </row>
    <row r="2123" spans="1:7" x14ac:dyDescent="0.3">
      <c r="A2123" s="80">
        <v>45682</v>
      </c>
      <c r="B2123">
        <v>1010100</v>
      </c>
      <c r="C2123">
        <v>4390</v>
      </c>
      <c r="E2123" s="80">
        <v>45674</v>
      </c>
      <c r="F2123">
        <v>3010101</v>
      </c>
      <c r="G2123">
        <v>25201</v>
      </c>
    </row>
    <row r="2124" spans="1:7" x14ac:dyDescent="0.3">
      <c r="A2124" s="80">
        <v>45682</v>
      </c>
      <c r="B2124">
        <v>1010100</v>
      </c>
      <c r="C2124">
        <v>4690</v>
      </c>
      <c r="E2124" s="80">
        <v>45673</v>
      </c>
      <c r="F2124">
        <v>3010101</v>
      </c>
      <c r="G2124">
        <v>25201</v>
      </c>
    </row>
    <row r="2125" spans="1:7" x14ac:dyDescent="0.3">
      <c r="A2125" s="80">
        <v>45682</v>
      </c>
      <c r="B2125">
        <v>1010100</v>
      </c>
      <c r="C2125">
        <v>4390</v>
      </c>
      <c r="E2125" s="80">
        <v>45673</v>
      </c>
      <c r="F2125">
        <v>3010101</v>
      </c>
      <c r="G2125">
        <v>25201</v>
      </c>
    </row>
    <row r="2126" spans="1:7" x14ac:dyDescent="0.3">
      <c r="A2126" s="80">
        <v>45682</v>
      </c>
      <c r="B2126">
        <v>1010100</v>
      </c>
      <c r="C2126">
        <v>0</v>
      </c>
      <c r="E2126" s="80">
        <v>45673</v>
      </c>
      <c r="F2126">
        <v>3010101</v>
      </c>
      <c r="G2126">
        <v>25201</v>
      </c>
    </row>
    <row r="2127" spans="1:7" x14ac:dyDescent="0.3">
      <c r="A2127" s="80">
        <v>45682</v>
      </c>
      <c r="B2127">
        <v>1010100</v>
      </c>
      <c r="C2127">
        <v>0</v>
      </c>
      <c r="E2127" s="80">
        <v>45673</v>
      </c>
      <c r="F2127">
        <v>3010101</v>
      </c>
      <c r="G2127">
        <v>25201</v>
      </c>
    </row>
    <row r="2128" spans="1:7" x14ac:dyDescent="0.3">
      <c r="A2128" s="80">
        <v>45682</v>
      </c>
      <c r="B2128">
        <v>1010100</v>
      </c>
      <c r="C2128">
        <v>0</v>
      </c>
      <c r="E2128" s="80">
        <v>45673</v>
      </c>
      <c r="F2128">
        <v>3010101</v>
      </c>
      <c r="G2128">
        <v>25201</v>
      </c>
    </row>
    <row r="2129" spans="1:7" x14ac:dyDescent="0.3">
      <c r="A2129" s="80">
        <v>45682</v>
      </c>
      <c r="B2129">
        <v>1010100</v>
      </c>
      <c r="C2129">
        <v>1990</v>
      </c>
      <c r="E2129" s="80">
        <v>45673</v>
      </c>
      <c r="F2129">
        <v>3010101</v>
      </c>
      <c r="G2129">
        <v>27722</v>
      </c>
    </row>
    <row r="2130" spans="1:7" x14ac:dyDescent="0.3">
      <c r="A2130" s="80">
        <v>45682</v>
      </c>
      <c r="B2130">
        <v>1010100</v>
      </c>
      <c r="C2130">
        <v>4290</v>
      </c>
      <c r="E2130" s="80">
        <v>45672</v>
      </c>
      <c r="F2130">
        <v>3010101</v>
      </c>
      <c r="G2130">
        <v>22681</v>
      </c>
    </row>
    <row r="2131" spans="1:7" x14ac:dyDescent="0.3">
      <c r="A2131" s="80">
        <v>45682</v>
      </c>
      <c r="B2131">
        <v>1010100</v>
      </c>
      <c r="C2131">
        <v>1990</v>
      </c>
      <c r="E2131" s="80">
        <v>45672</v>
      </c>
      <c r="F2131">
        <v>3010101</v>
      </c>
      <c r="G2131">
        <v>25201</v>
      </c>
    </row>
    <row r="2132" spans="1:7" x14ac:dyDescent="0.3">
      <c r="A2132" s="80">
        <v>45681</v>
      </c>
      <c r="B2132">
        <v>1010100</v>
      </c>
      <c r="C2132">
        <v>1990</v>
      </c>
      <c r="E2132" s="80">
        <v>45672</v>
      </c>
      <c r="F2132">
        <v>3010101</v>
      </c>
      <c r="G2132">
        <v>25201</v>
      </c>
    </row>
    <row r="2133" spans="1:7" x14ac:dyDescent="0.3">
      <c r="A2133" s="80">
        <v>45681</v>
      </c>
      <c r="B2133">
        <v>1010100</v>
      </c>
      <c r="C2133">
        <v>0</v>
      </c>
      <c r="E2133" s="80">
        <v>45672</v>
      </c>
      <c r="F2133">
        <v>3010101</v>
      </c>
      <c r="G2133">
        <v>25201</v>
      </c>
    </row>
    <row r="2134" spans="1:7" x14ac:dyDescent="0.3">
      <c r="A2134" s="80">
        <v>45681</v>
      </c>
      <c r="B2134">
        <v>1010100</v>
      </c>
      <c r="C2134">
        <v>3790</v>
      </c>
      <c r="E2134" s="80">
        <v>45672</v>
      </c>
      <c r="F2134">
        <v>3010101</v>
      </c>
      <c r="G2134">
        <v>25201</v>
      </c>
    </row>
    <row r="2135" spans="1:7" x14ac:dyDescent="0.3">
      <c r="A2135" s="80">
        <v>45681</v>
      </c>
      <c r="B2135">
        <v>1010100</v>
      </c>
      <c r="C2135">
        <v>4190</v>
      </c>
      <c r="E2135" s="80">
        <v>45672</v>
      </c>
      <c r="F2135">
        <v>3010101</v>
      </c>
      <c r="G2135">
        <v>25201</v>
      </c>
    </row>
    <row r="2136" spans="1:7" x14ac:dyDescent="0.3">
      <c r="A2136" s="80">
        <v>45681</v>
      </c>
      <c r="B2136">
        <v>1010100</v>
      </c>
      <c r="C2136">
        <v>0</v>
      </c>
      <c r="E2136" s="80">
        <v>45672</v>
      </c>
      <c r="F2136">
        <v>3010101</v>
      </c>
      <c r="G2136">
        <v>25201</v>
      </c>
    </row>
    <row r="2137" spans="1:7" x14ac:dyDescent="0.3">
      <c r="A2137" s="80">
        <v>45681</v>
      </c>
      <c r="B2137">
        <v>1010100</v>
      </c>
      <c r="C2137">
        <v>5990</v>
      </c>
      <c r="E2137" s="80">
        <v>45672</v>
      </c>
      <c r="F2137">
        <v>3010101</v>
      </c>
      <c r="G2137">
        <v>25201</v>
      </c>
    </row>
    <row r="2138" spans="1:7" x14ac:dyDescent="0.3">
      <c r="A2138" s="80">
        <v>45681</v>
      </c>
      <c r="B2138">
        <v>1010100</v>
      </c>
      <c r="C2138">
        <v>1990</v>
      </c>
      <c r="E2138" s="80">
        <v>45672</v>
      </c>
      <c r="F2138">
        <v>3010101</v>
      </c>
      <c r="G2138">
        <v>25201</v>
      </c>
    </row>
    <row r="2139" spans="1:7" x14ac:dyDescent="0.3">
      <c r="A2139" s="80">
        <v>45681</v>
      </c>
      <c r="B2139">
        <v>1010100</v>
      </c>
      <c r="C2139">
        <v>0</v>
      </c>
      <c r="E2139" s="80">
        <v>45672</v>
      </c>
      <c r="F2139">
        <v>3010101</v>
      </c>
      <c r="G2139">
        <v>25201</v>
      </c>
    </row>
    <row r="2140" spans="1:7" x14ac:dyDescent="0.3">
      <c r="A2140" s="80">
        <v>45680</v>
      </c>
      <c r="B2140">
        <v>1010100</v>
      </c>
      <c r="C2140">
        <v>3590</v>
      </c>
      <c r="E2140" s="80">
        <v>45672</v>
      </c>
      <c r="F2140">
        <v>3010101</v>
      </c>
      <c r="G2140">
        <v>25201</v>
      </c>
    </row>
    <row r="2141" spans="1:7" x14ac:dyDescent="0.3">
      <c r="A2141" s="80">
        <v>45680</v>
      </c>
      <c r="B2141">
        <v>1010100</v>
      </c>
      <c r="C2141">
        <v>0</v>
      </c>
      <c r="E2141" s="80">
        <v>45672</v>
      </c>
      <c r="F2141">
        <v>3010101</v>
      </c>
      <c r="G2141">
        <v>25201</v>
      </c>
    </row>
    <row r="2142" spans="1:7" x14ac:dyDescent="0.3">
      <c r="A2142" s="80">
        <v>45680</v>
      </c>
      <c r="B2142">
        <v>1010100</v>
      </c>
      <c r="C2142">
        <v>1990</v>
      </c>
      <c r="E2142" s="80">
        <v>45672</v>
      </c>
      <c r="F2142">
        <v>3010101</v>
      </c>
      <c r="G2142">
        <v>25201</v>
      </c>
    </row>
    <row r="2143" spans="1:7" x14ac:dyDescent="0.3">
      <c r="A2143" s="80">
        <v>45680</v>
      </c>
      <c r="B2143">
        <v>1010100</v>
      </c>
      <c r="C2143">
        <v>4490</v>
      </c>
      <c r="E2143" s="80">
        <v>45671</v>
      </c>
      <c r="F2143">
        <v>3010101</v>
      </c>
      <c r="G2143">
        <v>25201</v>
      </c>
    </row>
    <row r="2144" spans="1:7" x14ac:dyDescent="0.3">
      <c r="A2144" s="80">
        <v>45680</v>
      </c>
      <c r="B2144">
        <v>1010100</v>
      </c>
      <c r="C2144">
        <v>4190</v>
      </c>
      <c r="E2144" s="80">
        <v>45671</v>
      </c>
      <c r="F2144">
        <v>3010101</v>
      </c>
      <c r="G2144">
        <v>25201</v>
      </c>
    </row>
    <row r="2145" spans="1:7" x14ac:dyDescent="0.3">
      <c r="A2145" s="80">
        <v>45680</v>
      </c>
      <c r="B2145">
        <v>1010100</v>
      </c>
      <c r="C2145">
        <v>1990</v>
      </c>
      <c r="E2145" s="80">
        <v>45671</v>
      </c>
      <c r="F2145">
        <v>3010101</v>
      </c>
      <c r="G2145">
        <v>25201</v>
      </c>
    </row>
    <row r="2146" spans="1:7" x14ac:dyDescent="0.3">
      <c r="A2146" s="80">
        <v>45680</v>
      </c>
      <c r="B2146">
        <v>1010100</v>
      </c>
      <c r="C2146">
        <v>0</v>
      </c>
      <c r="E2146" s="80">
        <v>45671</v>
      </c>
      <c r="F2146">
        <v>3010101</v>
      </c>
      <c r="G2146">
        <v>25201</v>
      </c>
    </row>
    <row r="2147" spans="1:7" x14ac:dyDescent="0.3">
      <c r="A2147" s="80">
        <v>45679</v>
      </c>
      <c r="B2147">
        <v>1010100</v>
      </c>
      <c r="C2147">
        <v>6090</v>
      </c>
      <c r="E2147" s="80">
        <v>45671</v>
      </c>
      <c r="F2147">
        <v>3010101</v>
      </c>
      <c r="G2147">
        <v>8394</v>
      </c>
    </row>
    <row r="2148" spans="1:7" x14ac:dyDescent="0.3">
      <c r="A2148" s="80">
        <v>45679</v>
      </c>
      <c r="B2148">
        <v>1010100</v>
      </c>
      <c r="C2148">
        <v>1990</v>
      </c>
      <c r="E2148" s="80">
        <v>45671</v>
      </c>
      <c r="F2148">
        <v>3010101</v>
      </c>
      <c r="G2148">
        <v>25201</v>
      </c>
    </row>
    <row r="2149" spans="1:7" x14ac:dyDescent="0.3">
      <c r="A2149" s="80">
        <v>45679</v>
      </c>
      <c r="B2149">
        <v>1010100</v>
      </c>
      <c r="C2149">
        <v>1990</v>
      </c>
      <c r="E2149" s="80">
        <v>45671</v>
      </c>
      <c r="F2149">
        <v>3010101</v>
      </c>
      <c r="G2149">
        <v>25201</v>
      </c>
    </row>
    <row r="2150" spans="1:7" x14ac:dyDescent="0.3">
      <c r="A2150" s="80">
        <v>45679</v>
      </c>
      <c r="B2150">
        <v>1010100</v>
      </c>
      <c r="C2150">
        <v>0</v>
      </c>
      <c r="E2150" s="80">
        <v>45671</v>
      </c>
      <c r="F2150">
        <v>3010101</v>
      </c>
      <c r="G2150">
        <v>27722</v>
      </c>
    </row>
    <row r="2151" spans="1:7" x14ac:dyDescent="0.3">
      <c r="A2151" s="80">
        <v>45679</v>
      </c>
      <c r="B2151">
        <v>1010100</v>
      </c>
      <c r="C2151">
        <v>0</v>
      </c>
      <c r="E2151" s="80">
        <v>45671</v>
      </c>
      <c r="F2151">
        <v>3010101</v>
      </c>
      <c r="G2151">
        <v>27722</v>
      </c>
    </row>
    <row r="2152" spans="1:7" x14ac:dyDescent="0.3">
      <c r="A2152" s="80">
        <v>45679</v>
      </c>
      <c r="B2152">
        <v>1010100</v>
      </c>
      <c r="C2152">
        <v>1990</v>
      </c>
      <c r="E2152" s="80">
        <v>45670</v>
      </c>
      <c r="F2152">
        <v>3010101</v>
      </c>
      <c r="G2152">
        <v>25201</v>
      </c>
    </row>
    <row r="2153" spans="1:7" x14ac:dyDescent="0.3">
      <c r="A2153" s="80">
        <v>45679</v>
      </c>
      <c r="B2153">
        <v>1010100</v>
      </c>
      <c r="C2153">
        <v>0</v>
      </c>
      <c r="E2153" s="80">
        <v>45670</v>
      </c>
      <c r="F2153">
        <v>3010101</v>
      </c>
      <c r="G2153">
        <v>25201</v>
      </c>
    </row>
    <row r="2154" spans="1:7" x14ac:dyDescent="0.3">
      <c r="A2154" s="80">
        <v>45679</v>
      </c>
      <c r="B2154">
        <v>1010100</v>
      </c>
      <c r="C2154">
        <v>1990</v>
      </c>
      <c r="E2154" s="80">
        <v>45670</v>
      </c>
      <c r="F2154">
        <v>3010101</v>
      </c>
      <c r="G2154">
        <v>25201</v>
      </c>
    </row>
    <row r="2155" spans="1:7" x14ac:dyDescent="0.3">
      <c r="A2155" s="80">
        <v>45679</v>
      </c>
      <c r="B2155">
        <v>1010100</v>
      </c>
      <c r="C2155">
        <v>1990</v>
      </c>
      <c r="E2155" s="80">
        <v>45670</v>
      </c>
      <c r="F2155">
        <v>3010101</v>
      </c>
      <c r="G2155">
        <v>25201</v>
      </c>
    </row>
    <row r="2156" spans="1:7" x14ac:dyDescent="0.3">
      <c r="A2156" s="80">
        <v>45678</v>
      </c>
      <c r="B2156">
        <v>1010100</v>
      </c>
      <c r="C2156">
        <v>1990</v>
      </c>
      <c r="E2156" s="80">
        <v>45670</v>
      </c>
      <c r="F2156">
        <v>3010101</v>
      </c>
      <c r="G2156">
        <v>25201</v>
      </c>
    </row>
    <row r="2157" spans="1:7" x14ac:dyDescent="0.3">
      <c r="A2157" s="80">
        <v>45678</v>
      </c>
      <c r="B2157">
        <v>1010100</v>
      </c>
      <c r="C2157">
        <v>3990</v>
      </c>
      <c r="E2157" s="80">
        <v>45670</v>
      </c>
      <c r="F2157">
        <v>3010101</v>
      </c>
      <c r="G2157">
        <v>22681</v>
      </c>
    </row>
    <row r="2158" spans="1:7" x14ac:dyDescent="0.3">
      <c r="A2158" s="80">
        <v>45678</v>
      </c>
      <c r="B2158">
        <v>1010100</v>
      </c>
      <c r="C2158">
        <v>0</v>
      </c>
      <c r="E2158" s="80">
        <v>45669</v>
      </c>
      <c r="F2158">
        <v>3010101</v>
      </c>
      <c r="G2158">
        <v>27722</v>
      </c>
    </row>
    <row r="2159" spans="1:7" x14ac:dyDescent="0.3">
      <c r="A2159" s="80">
        <v>45678</v>
      </c>
      <c r="B2159">
        <v>1010100</v>
      </c>
      <c r="C2159">
        <v>4690</v>
      </c>
      <c r="E2159" s="80">
        <v>45669</v>
      </c>
      <c r="F2159">
        <v>3010101</v>
      </c>
      <c r="G2159">
        <v>27722</v>
      </c>
    </row>
    <row r="2160" spans="1:7" x14ac:dyDescent="0.3">
      <c r="A2160" s="80">
        <v>45678</v>
      </c>
      <c r="B2160">
        <v>1010100</v>
      </c>
      <c r="C2160">
        <v>1990</v>
      </c>
      <c r="E2160" s="80">
        <v>45669</v>
      </c>
      <c r="F2160">
        <v>3010101</v>
      </c>
      <c r="G2160">
        <v>27722</v>
      </c>
    </row>
    <row r="2161" spans="1:7" x14ac:dyDescent="0.3">
      <c r="A2161" s="80">
        <v>45678</v>
      </c>
      <c r="B2161">
        <v>1010100</v>
      </c>
      <c r="C2161">
        <v>1990</v>
      </c>
      <c r="E2161" s="80">
        <v>45669</v>
      </c>
      <c r="F2161">
        <v>3010101</v>
      </c>
      <c r="G2161">
        <v>27722</v>
      </c>
    </row>
    <row r="2162" spans="1:7" x14ac:dyDescent="0.3">
      <c r="A2162" s="80">
        <v>45678</v>
      </c>
      <c r="B2162">
        <v>1010100</v>
      </c>
      <c r="C2162">
        <v>1990</v>
      </c>
      <c r="E2162" s="80">
        <v>45669</v>
      </c>
      <c r="F2162">
        <v>3010101</v>
      </c>
      <c r="G2162">
        <v>27722</v>
      </c>
    </row>
    <row r="2163" spans="1:7" x14ac:dyDescent="0.3">
      <c r="A2163" s="80">
        <v>45678</v>
      </c>
      <c r="B2163">
        <v>1010100</v>
      </c>
      <c r="C2163">
        <v>1990</v>
      </c>
      <c r="E2163" s="80">
        <v>45669</v>
      </c>
      <c r="F2163">
        <v>3010101</v>
      </c>
      <c r="G2163">
        <v>27722</v>
      </c>
    </row>
    <row r="2164" spans="1:7" x14ac:dyDescent="0.3">
      <c r="A2164" s="80">
        <v>45678</v>
      </c>
      <c r="B2164">
        <v>1010100</v>
      </c>
      <c r="C2164">
        <v>1990</v>
      </c>
      <c r="E2164" s="80">
        <v>45669</v>
      </c>
      <c r="F2164">
        <v>3010101</v>
      </c>
      <c r="G2164">
        <v>27722</v>
      </c>
    </row>
    <row r="2165" spans="1:7" x14ac:dyDescent="0.3">
      <c r="A2165" s="80">
        <v>45678</v>
      </c>
      <c r="B2165">
        <v>1010100</v>
      </c>
      <c r="C2165">
        <v>4190</v>
      </c>
      <c r="E2165" s="80">
        <v>45669</v>
      </c>
      <c r="F2165">
        <v>3010101</v>
      </c>
      <c r="G2165">
        <v>27722</v>
      </c>
    </row>
    <row r="2166" spans="1:7" x14ac:dyDescent="0.3">
      <c r="A2166" s="80">
        <v>45678</v>
      </c>
      <c r="B2166">
        <v>1010100</v>
      </c>
      <c r="C2166">
        <v>1990</v>
      </c>
      <c r="E2166" s="80">
        <v>45668</v>
      </c>
      <c r="F2166">
        <v>3010101</v>
      </c>
      <c r="G2166">
        <v>25201</v>
      </c>
    </row>
    <row r="2167" spans="1:7" x14ac:dyDescent="0.3">
      <c r="A2167" s="80">
        <v>45678</v>
      </c>
      <c r="B2167">
        <v>1010100</v>
      </c>
      <c r="C2167">
        <v>1990</v>
      </c>
      <c r="E2167" s="80">
        <v>45668</v>
      </c>
      <c r="F2167">
        <v>3010101</v>
      </c>
      <c r="G2167">
        <v>25201</v>
      </c>
    </row>
    <row r="2168" spans="1:7" x14ac:dyDescent="0.3">
      <c r="A2168" s="80">
        <v>45678</v>
      </c>
      <c r="B2168">
        <v>1010100</v>
      </c>
      <c r="C2168">
        <v>1990</v>
      </c>
      <c r="E2168" s="80">
        <v>45668</v>
      </c>
      <c r="F2168">
        <v>3010101</v>
      </c>
      <c r="G2168">
        <v>25201</v>
      </c>
    </row>
    <row r="2169" spans="1:7" x14ac:dyDescent="0.3">
      <c r="A2169" s="80">
        <v>45678</v>
      </c>
      <c r="B2169">
        <v>1010100</v>
      </c>
      <c r="C2169">
        <v>3790</v>
      </c>
      <c r="E2169" s="80">
        <v>45668</v>
      </c>
      <c r="F2169">
        <v>3010101</v>
      </c>
      <c r="G2169">
        <v>25201</v>
      </c>
    </row>
    <row r="2170" spans="1:7" x14ac:dyDescent="0.3">
      <c r="A2170" s="80">
        <v>45677</v>
      </c>
      <c r="B2170">
        <v>1010100</v>
      </c>
      <c r="C2170">
        <v>1990</v>
      </c>
      <c r="E2170" s="80">
        <v>45668</v>
      </c>
      <c r="F2170">
        <v>3010101</v>
      </c>
      <c r="G2170">
        <v>25201</v>
      </c>
    </row>
    <row r="2171" spans="1:7" x14ac:dyDescent="0.3">
      <c r="A2171" s="80">
        <v>45677</v>
      </c>
      <c r="B2171">
        <v>1010100</v>
      </c>
      <c r="C2171">
        <v>4790</v>
      </c>
      <c r="E2171" s="80">
        <v>45668</v>
      </c>
      <c r="F2171">
        <v>3010101</v>
      </c>
      <c r="G2171">
        <v>25201</v>
      </c>
    </row>
    <row r="2172" spans="1:7" x14ac:dyDescent="0.3">
      <c r="A2172" s="80">
        <v>45677</v>
      </c>
      <c r="B2172">
        <v>1010100</v>
      </c>
      <c r="C2172">
        <v>1990</v>
      </c>
      <c r="E2172" s="80">
        <v>45668</v>
      </c>
      <c r="F2172">
        <v>3010101</v>
      </c>
      <c r="G2172">
        <v>25201</v>
      </c>
    </row>
    <row r="2173" spans="1:7" x14ac:dyDescent="0.3">
      <c r="A2173" s="80">
        <v>45677</v>
      </c>
      <c r="B2173">
        <v>1010100</v>
      </c>
      <c r="C2173">
        <v>0</v>
      </c>
      <c r="E2173" s="80">
        <v>45668</v>
      </c>
      <c r="F2173">
        <v>3010101</v>
      </c>
      <c r="G2173">
        <v>25201</v>
      </c>
    </row>
    <row r="2174" spans="1:7" x14ac:dyDescent="0.3">
      <c r="A2174" s="80">
        <v>45677</v>
      </c>
      <c r="B2174">
        <v>1010100</v>
      </c>
      <c r="C2174">
        <v>1990</v>
      </c>
      <c r="E2174" s="80">
        <v>45668</v>
      </c>
      <c r="F2174">
        <v>3010101</v>
      </c>
      <c r="G2174">
        <v>25201</v>
      </c>
    </row>
    <row r="2175" spans="1:7" x14ac:dyDescent="0.3">
      <c r="A2175" s="80">
        <v>45677</v>
      </c>
      <c r="B2175">
        <v>1010100</v>
      </c>
      <c r="C2175">
        <v>1990</v>
      </c>
      <c r="E2175" s="80">
        <v>45668</v>
      </c>
      <c r="F2175">
        <v>3010101</v>
      </c>
      <c r="G2175">
        <v>25201</v>
      </c>
    </row>
    <row r="2176" spans="1:7" x14ac:dyDescent="0.3">
      <c r="A2176" s="80">
        <v>45676</v>
      </c>
      <c r="B2176">
        <v>1010100</v>
      </c>
      <c r="C2176">
        <v>1990</v>
      </c>
      <c r="E2176" s="80">
        <v>45668</v>
      </c>
      <c r="F2176">
        <v>3010101</v>
      </c>
      <c r="G2176">
        <v>25201</v>
      </c>
    </row>
    <row r="2177" spans="1:7" x14ac:dyDescent="0.3">
      <c r="A2177" s="80">
        <v>45676</v>
      </c>
      <c r="B2177">
        <v>1010100</v>
      </c>
      <c r="C2177">
        <v>6890</v>
      </c>
      <c r="E2177" s="80">
        <v>45668</v>
      </c>
      <c r="F2177">
        <v>3010101</v>
      </c>
      <c r="G2177">
        <v>25201</v>
      </c>
    </row>
    <row r="2178" spans="1:7" x14ac:dyDescent="0.3">
      <c r="A2178" s="80">
        <v>45676</v>
      </c>
      <c r="B2178">
        <v>1010100</v>
      </c>
      <c r="C2178">
        <v>0</v>
      </c>
      <c r="E2178" s="80">
        <v>45668</v>
      </c>
      <c r="F2178">
        <v>3010101</v>
      </c>
      <c r="G2178">
        <v>25201</v>
      </c>
    </row>
    <row r="2179" spans="1:7" x14ac:dyDescent="0.3">
      <c r="A2179" s="80">
        <v>45676</v>
      </c>
      <c r="B2179">
        <v>1010100</v>
      </c>
      <c r="C2179">
        <v>1990</v>
      </c>
      <c r="E2179" s="80">
        <v>45668</v>
      </c>
      <c r="F2179">
        <v>3010101</v>
      </c>
      <c r="G2179">
        <v>25201</v>
      </c>
    </row>
    <row r="2180" spans="1:7" x14ac:dyDescent="0.3">
      <c r="A2180" s="80">
        <v>45676</v>
      </c>
      <c r="B2180">
        <v>1010100</v>
      </c>
      <c r="C2180">
        <v>1990</v>
      </c>
      <c r="E2180" s="80">
        <v>45668</v>
      </c>
      <c r="F2180">
        <v>3010101</v>
      </c>
      <c r="G2180">
        <v>25201</v>
      </c>
    </row>
    <row r="2181" spans="1:7" x14ac:dyDescent="0.3">
      <c r="A2181" s="80">
        <v>45676</v>
      </c>
      <c r="B2181">
        <v>1010100</v>
      </c>
      <c r="C2181">
        <v>4390</v>
      </c>
      <c r="E2181" s="80">
        <v>45667</v>
      </c>
      <c r="F2181">
        <v>3010101</v>
      </c>
      <c r="G2181">
        <v>25201</v>
      </c>
    </row>
    <row r="2182" spans="1:7" x14ac:dyDescent="0.3">
      <c r="A2182" s="80">
        <v>45676</v>
      </c>
      <c r="B2182">
        <v>1010100</v>
      </c>
      <c r="C2182">
        <v>4190</v>
      </c>
      <c r="E2182" s="80">
        <v>45667</v>
      </c>
      <c r="F2182">
        <v>3010101</v>
      </c>
      <c r="G2182">
        <v>25201</v>
      </c>
    </row>
    <row r="2183" spans="1:7" x14ac:dyDescent="0.3">
      <c r="A2183" s="80">
        <v>45676</v>
      </c>
      <c r="B2183">
        <v>1010100</v>
      </c>
      <c r="C2183">
        <v>1990</v>
      </c>
      <c r="E2183" s="80">
        <v>45667</v>
      </c>
      <c r="F2183">
        <v>3010101</v>
      </c>
      <c r="G2183">
        <v>25201</v>
      </c>
    </row>
    <row r="2184" spans="1:7" x14ac:dyDescent="0.3">
      <c r="A2184" s="80">
        <v>45676</v>
      </c>
      <c r="B2184">
        <v>1010100</v>
      </c>
      <c r="C2184">
        <v>0</v>
      </c>
      <c r="E2184" s="80">
        <v>45667</v>
      </c>
      <c r="F2184">
        <v>3010101</v>
      </c>
      <c r="G2184">
        <v>25201</v>
      </c>
    </row>
    <row r="2185" spans="1:7" x14ac:dyDescent="0.3">
      <c r="A2185" s="80">
        <v>45676</v>
      </c>
      <c r="B2185">
        <v>1010100</v>
      </c>
      <c r="C2185">
        <v>1990</v>
      </c>
      <c r="E2185" s="80">
        <v>45667</v>
      </c>
      <c r="F2185">
        <v>3010101</v>
      </c>
      <c r="G2185">
        <v>25201</v>
      </c>
    </row>
    <row r="2186" spans="1:7" x14ac:dyDescent="0.3">
      <c r="A2186" s="80">
        <v>45676</v>
      </c>
      <c r="B2186">
        <v>1010100</v>
      </c>
      <c r="C2186">
        <v>0</v>
      </c>
      <c r="E2186" s="80">
        <v>45667</v>
      </c>
      <c r="F2186">
        <v>3010101</v>
      </c>
      <c r="G2186">
        <v>25201</v>
      </c>
    </row>
    <row r="2187" spans="1:7" x14ac:dyDescent="0.3">
      <c r="A2187" s="80">
        <v>45676</v>
      </c>
      <c r="B2187">
        <v>1010100</v>
      </c>
      <c r="C2187">
        <v>0</v>
      </c>
      <c r="E2187" s="80">
        <v>45667</v>
      </c>
      <c r="F2187">
        <v>3010101</v>
      </c>
      <c r="G2187">
        <v>25201</v>
      </c>
    </row>
    <row r="2188" spans="1:7" x14ac:dyDescent="0.3">
      <c r="A2188" s="80">
        <v>45676</v>
      </c>
      <c r="B2188">
        <v>1010100</v>
      </c>
      <c r="C2188">
        <v>0</v>
      </c>
      <c r="E2188" s="80">
        <v>45667</v>
      </c>
      <c r="F2188">
        <v>3010101</v>
      </c>
      <c r="G2188">
        <v>25201</v>
      </c>
    </row>
    <row r="2189" spans="1:7" x14ac:dyDescent="0.3">
      <c r="A2189" s="80">
        <v>45676</v>
      </c>
      <c r="B2189">
        <v>1010100</v>
      </c>
      <c r="C2189">
        <v>1990</v>
      </c>
      <c r="E2189" s="80">
        <v>45667</v>
      </c>
      <c r="F2189">
        <v>3010101</v>
      </c>
      <c r="G2189">
        <v>25201</v>
      </c>
    </row>
    <row r="2190" spans="1:7" x14ac:dyDescent="0.3">
      <c r="A2190" s="80">
        <v>45676</v>
      </c>
      <c r="B2190">
        <v>1010100</v>
      </c>
      <c r="C2190">
        <v>4690</v>
      </c>
      <c r="E2190" s="80">
        <v>45667</v>
      </c>
      <c r="F2190">
        <v>3010101</v>
      </c>
      <c r="G2190">
        <v>25201</v>
      </c>
    </row>
    <row r="2191" spans="1:7" x14ac:dyDescent="0.3">
      <c r="A2191" s="80">
        <v>45676</v>
      </c>
      <c r="B2191">
        <v>1010100</v>
      </c>
      <c r="C2191">
        <v>1990</v>
      </c>
      <c r="E2191" s="80">
        <v>45667</v>
      </c>
      <c r="F2191">
        <v>3010101</v>
      </c>
      <c r="G2191">
        <v>25201</v>
      </c>
    </row>
    <row r="2192" spans="1:7" x14ac:dyDescent="0.3">
      <c r="A2192" s="80">
        <v>45676</v>
      </c>
      <c r="B2192">
        <v>1010100</v>
      </c>
      <c r="C2192">
        <v>3990</v>
      </c>
      <c r="E2192" s="80">
        <v>45667</v>
      </c>
      <c r="F2192">
        <v>3010101</v>
      </c>
      <c r="G2192">
        <v>25201</v>
      </c>
    </row>
    <row r="2193" spans="1:7" x14ac:dyDescent="0.3">
      <c r="A2193" s="80">
        <v>45676</v>
      </c>
      <c r="B2193">
        <v>1010100</v>
      </c>
      <c r="C2193">
        <v>1990</v>
      </c>
      <c r="E2193" s="80">
        <v>45667</v>
      </c>
      <c r="F2193">
        <v>3010101</v>
      </c>
      <c r="G2193">
        <v>25201</v>
      </c>
    </row>
    <row r="2194" spans="1:7" x14ac:dyDescent="0.3">
      <c r="A2194" s="80">
        <v>45675</v>
      </c>
      <c r="B2194">
        <v>1010100</v>
      </c>
      <c r="C2194">
        <v>1990</v>
      </c>
      <c r="E2194" s="80">
        <v>45667</v>
      </c>
      <c r="F2194">
        <v>3010101</v>
      </c>
      <c r="G2194">
        <v>25201</v>
      </c>
    </row>
    <row r="2195" spans="1:7" x14ac:dyDescent="0.3">
      <c r="A2195" s="80">
        <v>45675</v>
      </c>
      <c r="B2195">
        <v>1010100</v>
      </c>
      <c r="C2195">
        <v>0</v>
      </c>
      <c r="E2195" s="80">
        <v>45667</v>
      </c>
      <c r="F2195">
        <v>3010101</v>
      </c>
      <c r="G2195">
        <v>25201</v>
      </c>
    </row>
    <row r="2196" spans="1:7" x14ac:dyDescent="0.3">
      <c r="A2196" s="80">
        <v>45675</v>
      </c>
      <c r="B2196">
        <v>1010100</v>
      </c>
      <c r="C2196">
        <v>3590</v>
      </c>
      <c r="E2196" s="80">
        <v>45666</v>
      </c>
      <c r="F2196">
        <v>3010101</v>
      </c>
      <c r="G2196">
        <v>25201</v>
      </c>
    </row>
    <row r="2197" spans="1:7" x14ac:dyDescent="0.3">
      <c r="A2197" s="80">
        <v>45675</v>
      </c>
      <c r="B2197">
        <v>1010100</v>
      </c>
      <c r="C2197">
        <v>0</v>
      </c>
      <c r="E2197" s="80">
        <v>45666</v>
      </c>
      <c r="F2197">
        <v>3010101</v>
      </c>
      <c r="G2197">
        <v>25201</v>
      </c>
    </row>
    <row r="2198" spans="1:7" x14ac:dyDescent="0.3">
      <c r="A2198" s="80">
        <v>45675</v>
      </c>
      <c r="B2198">
        <v>1010100</v>
      </c>
      <c r="C2198">
        <v>4190</v>
      </c>
      <c r="E2198" s="80">
        <v>45666</v>
      </c>
      <c r="F2198">
        <v>3010101</v>
      </c>
      <c r="G2198">
        <v>25201</v>
      </c>
    </row>
    <row r="2199" spans="1:7" x14ac:dyDescent="0.3">
      <c r="A2199" s="80">
        <v>45675</v>
      </c>
      <c r="B2199">
        <v>1010100</v>
      </c>
      <c r="C2199">
        <v>0</v>
      </c>
      <c r="E2199" s="80">
        <v>45666</v>
      </c>
      <c r="F2199">
        <v>3010101</v>
      </c>
      <c r="G2199">
        <v>25201</v>
      </c>
    </row>
    <row r="2200" spans="1:7" x14ac:dyDescent="0.3">
      <c r="A2200" s="80">
        <v>45675</v>
      </c>
      <c r="B2200">
        <v>1010100</v>
      </c>
      <c r="C2200">
        <v>1990</v>
      </c>
      <c r="E2200" s="80">
        <v>45666</v>
      </c>
      <c r="F2200">
        <v>3010101</v>
      </c>
      <c r="G2200">
        <v>25201</v>
      </c>
    </row>
    <row r="2201" spans="1:7" x14ac:dyDescent="0.3">
      <c r="A2201" s="80">
        <v>45675</v>
      </c>
      <c r="B2201">
        <v>1010100</v>
      </c>
      <c r="C2201">
        <v>1990</v>
      </c>
      <c r="E2201" s="80">
        <v>45666</v>
      </c>
      <c r="F2201">
        <v>3010101</v>
      </c>
      <c r="G2201">
        <v>25201</v>
      </c>
    </row>
    <row r="2202" spans="1:7" x14ac:dyDescent="0.3">
      <c r="A2202" s="80">
        <v>45675</v>
      </c>
      <c r="B2202">
        <v>1010100</v>
      </c>
      <c r="C2202">
        <v>1990</v>
      </c>
      <c r="E2202" s="80">
        <v>45666</v>
      </c>
      <c r="F2202">
        <v>3010101</v>
      </c>
      <c r="G2202">
        <v>25201</v>
      </c>
    </row>
    <row r="2203" spans="1:7" x14ac:dyDescent="0.3">
      <c r="A2203" s="80">
        <v>45675</v>
      </c>
      <c r="B2203">
        <v>1010100</v>
      </c>
      <c r="C2203">
        <v>1990</v>
      </c>
      <c r="E2203" s="80">
        <v>45666</v>
      </c>
      <c r="F2203">
        <v>3010101</v>
      </c>
      <c r="G2203">
        <v>25201</v>
      </c>
    </row>
    <row r="2204" spans="1:7" x14ac:dyDescent="0.3">
      <c r="A2204" s="80">
        <v>45675</v>
      </c>
      <c r="B2204">
        <v>1010100</v>
      </c>
      <c r="C2204">
        <v>6390</v>
      </c>
      <c r="E2204" s="80">
        <v>45666</v>
      </c>
      <c r="F2204">
        <v>3010101</v>
      </c>
      <c r="G2204">
        <v>25201</v>
      </c>
    </row>
    <row r="2205" spans="1:7" x14ac:dyDescent="0.3">
      <c r="A2205" s="80">
        <v>45674</v>
      </c>
      <c r="B2205">
        <v>1010100</v>
      </c>
      <c r="C2205">
        <v>6790</v>
      </c>
      <c r="E2205" s="80">
        <v>45666</v>
      </c>
      <c r="F2205">
        <v>3010101</v>
      </c>
      <c r="G2205">
        <v>25201</v>
      </c>
    </row>
    <row r="2206" spans="1:7" x14ac:dyDescent="0.3">
      <c r="A2206" s="80">
        <v>45674</v>
      </c>
      <c r="B2206">
        <v>1010100</v>
      </c>
      <c r="C2206">
        <v>0</v>
      </c>
      <c r="E2206" s="80">
        <v>45666</v>
      </c>
      <c r="F2206">
        <v>3010101</v>
      </c>
      <c r="G2206">
        <v>25201</v>
      </c>
    </row>
    <row r="2207" spans="1:7" x14ac:dyDescent="0.3">
      <c r="A2207" s="80">
        <v>45674</v>
      </c>
      <c r="B2207">
        <v>1010100</v>
      </c>
      <c r="C2207">
        <v>0</v>
      </c>
      <c r="E2207" s="80">
        <v>45666</v>
      </c>
      <c r="F2207">
        <v>3010101</v>
      </c>
      <c r="G2207">
        <v>25201</v>
      </c>
    </row>
    <row r="2208" spans="1:7" x14ac:dyDescent="0.3">
      <c r="A2208" s="80">
        <v>45674</v>
      </c>
      <c r="B2208">
        <v>1010100</v>
      </c>
      <c r="C2208">
        <v>1990</v>
      </c>
      <c r="E2208" s="80">
        <v>45666</v>
      </c>
      <c r="F2208">
        <v>3010101</v>
      </c>
      <c r="G2208">
        <v>25201</v>
      </c>
    </row>
    <row r="2209" spans="1:7" x14ac:dyDescent="0.3">
      <c r="A2209" s="80">
        <v>45674</v>
      </c>
      <c r="B2209">
        <v>1010100</v>
      </c>
      <c r="C2209">
        <v>3590</v>
      </c>
      <c r="E2209" s="80">
        <v>45666</v>
      </c>
      <c r="F2209">
        <v>3010101</v>
      </c>
      <c r="G2209">
        <v>25201</v>
      </c>
    </row>
    <row r="2210" spans="1:7" x14ac:dyDescent="0.3">
      <c r="A2210" s="80">
        <v>45674</v>
      </c>
      <c r="B2210">
        <v>1010100</v>
      </c>
      <c r="C2210">
        <v>0</v>
      </c>
      <c r="E2210" s="80">
        <v>45666</v>
      </c>
      <c r="F2210">
        <v>3010101</v>
      </c>
      <c r="G2210">
        <v>25201</v>
      </c>
    </row>
    <row r="2211" spans="1:7" x14ac:dyDescent="0.3">
      <c r="A2211" s="80">
        <v>45674</v>
      </c>
      <c r="B2211">
        <v>1010100</v>
      </c>
      <c r="C2211">
        <v>1990</v>
      </c>
      <c r="E2211" s="80">
        <v>45666</v>
      </c>
      <c r="F2211">
        <v>3010101</v>
      </c>
      <c r="G2211">
        <v>25201</v>
      </c>
    </row>
    <row r="2212" spans="1:7" x14ac:dyDescent="0.3">
      <c r="A2212" s="80">
        <v>45674</v>
      </c>
      <c r="B2212">
        <v>1010100</v>
      </c>
      <c r="C2212">
        <v>4990</v>
      </c>
      <c r="E2212" s="80">
        <v>45666</v>
      </c>
      <c r="F2212">
        <v>3010101</v>
      </c>
      <c r="G2212">
        <v>25201</v>
      </c>
    </row>
    <row r="2213" spans="1:7" x14ac:dyDescent="0.3">
      <c r="A2213" s="80">
        <v>45674</v>
      </c>
      <c r="B2213">
        <v>1010100</v>
      </c>
      <c r="C2213">
        <v>0</v>
      </c>
      <c r="E2213" s="80">
        <v>45666</v>
      </c>
      <c r="F2213">
        <v>3010101</v>
      </c>
      <c r="G2213">
        <v>25201</v>
      </c>
    </row>
    <row r="2214" spans="1:7" x14ac:dyDescent="0.3">
      <c r="A2214" s="80">
        <v>45674</v>
      </c>
      <c r="B2214">
        <v>1010100</v>
      </c>
      <c r="C2214">
        <v>0</v>
      </c>
      <c r="E2214" s="80">
        <v>45665</v>
      </c>
      <c r="F2214">
        <v>3010101</v>
      </c>
      <c r="G2214">
        <v>25201</v>
      </c>
    </row>
    <row r="2215" spans="1:7" x14ac:dyDescent="0.3">
      <c r="A2215" s="80">
        <v>45674</v>
      </c>
      <c r="B2215">
        <v>1010100</v>
      </c>
      <c r="C2215">
        <v>1990</v>
      </c>
      <c r="E2215" s="80">
        <v>45665</v>
      </c>
      <c r="F2215">
        <v>3010101</v>
      </c>
      <c r="G2215">
        <v>25201</v>
      </c>
    </row>
    <row r="2216" spans="1:7" x14ac:dyDescent="0.3">
      <c r="A2216" s="80">
        <v>45673</v>
      </c>
      <c r="B2216">
        <v>1010100</v>
      </c>
      <c r="C2216">
        <v>1990</v>
      </c>
      <c r="E2216" s="80">
        <v>45665</v>
      </c>
      <c r="F2216">
        <v>3010101</v>
      </c>
      <c r="G2216">
        <v>25201</v>
      </c>
    </row>
    <row r="2217" spans="1:7" x14ac:dyDescent="0.3">
      <c r="A2217" s="80">
        <v>45673</v>
      </c>
      <c r="B2217">
        <v>1010100</v>
      </c>
      <c r="C2217">
        <v>1990</v>
      </c>
      <c r="E2217" s="80">
        <v>45665</v>
      </c>
      <c r="F2217">
        <v>3010101</v>
      </c>
      <c r="G2217">
        <v>25201</v>
      </c>
    </row>
    <row r="2218" spans="1:7" x14ac:dyDescent="0.3">
      <c r="A2218" s="80">
        <v>45673</v>
      </c>
      <c r="B2218">
        <v>1010100</v>
      </c>
      <c r="C2218">
        <v>1990</v>
      </c>
      <c r="E2218" s="80">
        <v>45665</v>
      </c>
      <c r="F2218">
        <v>3010101</v>
      </c>
      <c r="G2218">
        <v>25201</v>
      </c>
    </row>
    <row r="2219" spans="1:7" x14ac:dyDescent="0.3">
      <c r="A2219" s="80">
        <v>45673</v>
      </c>
      <c r="B2219">
        <v>1010100</v>
      </c>
      <c r="C2219">
        <v>1990</v>
      </c>
      <c r="E2219" s="80">
        <v>45665</v>
      </c>
      <c r="F2219">
        <v>3010101</v>
      </c>
      <c r="G2219">
        <v>25201</v>
      </c>
    </row>
    <row r="2220" spans="1:7" x14ac:dyDescent="0.3">
      <c r="A2220" s="80">
        <v>45673</v>
      </c>
      <c r="B2220">
        <v>1010100</v>
      </c>
      <c r="C2220">
        <v>1990</v>
      </c>
      <c r="E2220" s="80">
        <v>45665</v>
      </c>
      <c r="F2220">
        <v>3010101</v>
      </c>
      <c r="G2220">
        <v>25201</v>
      </c>
    </row>
    <row r="2221" spans="1:7" x14ac:dyDescent="0.3">
      <c r="A2221" s="80">
        <v>45673</v>
      </c>
      <c r="B2221">
        <v>1010100</v>
      </c>
      <c r="C2221">
        <v>0</v>
      </c>
      <c r="E2221" s="80">
        <v>45665</v>
      </c>
      <c r="F2221">
        <v>3010101</v>
      </c>
      <c r="G2221">
        <v>25201</v>
      </c>
    </row>
    <row r="2222" spans="1:7" x14ac:dyDescent="0.3">
      <c r="A2222" s="80">
        <v>45672</v>
      </c>
      <c r="B2222">
        <v>1010100</v>
      </c>
      <c r="C2222">
        <v>1990</v>
      </c>
      <c r="E2222" s="80">
        <v>45665</v>
      </c>
      <c r="F2222">
        <v>3010101</v>
      </c>
      <c r="G2222">
        <v>25201</v>
      </c>
    </row>
    <row r="2223" spans="1:7" x14ac:dyDescent="0.3">
      <c r="A2223" s="80">
        <v>45672</v>
      </c>
      <c r="B2223">
        <v>1010100</v>
      </c>
      <c r="C2223">
        <v>4690</v>
      </c>
      <c r="E2223" s="80">
        <v>45665</v>
      </c>
      <c r="F2223">
        <v>3010101</v>
      </c>
      <c r="G2223">
        <v>25201</v>
      </c>
    </row>
    <row r="2224" spans="1:7" x14ac:dyDescent="0.3">
      <c r="A2224" s="80">
        <v>45672</v>
      </c>
      <c r="B2224">
        <v>1010100</v>
      </c>
      <c r="C2224">
        <v>4290</v>
      </c>
      <c r="E2224" s="80">
        <v>45665</v>
      </c>
      <c r="F2224">
        <v>3010101</v>
      </c>
      <c r="G2224">
        <v>25201</v>
      </c>
    </row>
    <row r="2225" spans="1:7" x14ac:dyDescent="0.3">
      <c r="A2225" s="80">
        <v>45672</v>
      </c>
      <c r="B2225">
        <v>1010100</v>
      </c>
      <c r="C2225">
        <v>1990</v>
      </c>
      <c r="E2225" s="80">
        <v>45665</v>
      </c>
      <c r="F2225">
        <v>3010101</v>
      </c>
      <c r="G2225">
        <v>25201</v>
      </c>
    </row>
    <row r="2226" spans="1:7" x14ac:dyDescent="0.3">
      <c r="A2226" s="80">
        <v>45672</v>
      </c>
      <c r="B2226">
        <v>1010100</v>
      </c>
      <c r="C2226">
        <v>1990</v>
      </c>
      <c r="E2226" s="80">
        <v>45665</v>
      </c>
      <c r="F2226">
        <v>3010101</v>
      </c>
      <c r="G2226">
        <v>25201</v>
      </c>
    </row>
    <row r="2227" spans="1:7" x14ac:dyDescent="0.3">
      <c r="A2227" s="80">
        <v>45672</v>
      </c>
      <c r="B2227">
        <v>1010100</v>
      </c>
      <c r="C2227">
        <v>1990</v>
      </c>
      <c r="E2227" s="80">
        <v>45665</v>
      </c>
      <c r="F2227">
        <v>3010101</v>
      </c>
      <c r="G2227">
        <v>25201</v>
      </c>
    </row>
    <row r="2228" spans="1:7" x14ac:dyDescent="0.3">
      <c r="A2228" s="80">
        <v>45672</v>
      </c>
      <c r="B2228">
        <v>1010100</v>
      </c>
      <c r="C2228">
        <v>1990</v>
      </c>
      <c r="E2228" s="80">
        <v>45665</v>
      </c>
      <c r="F2228">
        <v>3010101</v>
      </c>
      <c r="G2228">
        <v>25201</v>
      </c>
    </row>
    <row r="2229" spans="1:7" x14ac:dyDescent="0.3">
      <c r="A2229" s="80">
        <v>45672</v>
      </c>
      <c r="B2229">
        <v>1010100</v>
      </c>
      <c r="C2229">
        <v>0</v>
      </c>
      <c r="E2229" s="80">
        <v>45665</v>
      </c>
      <c r="F2229">
        <v>3010101</v>
      </c>
      <c r="G2229">
        <v>25201</v>
      </c>
    </row>
    <row r="2230" spans="1:7" x14ac:dyDescent="0.3">
      <c r="A2230" s="80">
        <v>45672</v>
      </c>
      <c r="B2230">
        <v>1010100</v>
      </c>
      <c r="C2230">
        <v>0</v>
      </c>
      <c r="E2230" s="80">
        <v>45665</v>
      </c>
      <c r="F2230">
        <v>3010101</v>
      </c>
      <c r="G2230">
        <v>25201</v>
      </c>
    </row>
    <row r="2231" spans="1:7" x14ac:dyDescent="0.3">
      <c r="A2231" s="80">
        <v>45672</v>
      </c>
      <c r="B2231">
        <v>1010100</v>
      </c>
      <c r="C2231">
        <v>3990</v>
      </c>
      <c r="E2231" s="80">
        <v>45665</v>
      </c>
      <c r="F2231">
        <v>3010101</v>
      </c>
      <c r="G2231">
        <v>25201</v>
      </c>
    </row>
    <row r="2232" spans="1:7" x14ac:dyDescent="0.3">
      <c r="A2232" s="80">
        <v>45672</v>
      </c>
      <c r="B2232">
        <v>1010100</v>
      </c>
      <c r="C2232">
        <v>1990</v>
      </c>
      <c r="E2232" s="80">
        <v>45665</v>
      </c>
      <c r="F2232">
        <v>3010101</v>
      </c>
      <c r="G2232">
        <v>25201</v>
      </c>
    </row>
    <row r="2233" spans="1:7" x14ac:dyDescent="0.3">
      <c r="A2233" s="80">
        <v>45672</v>
      </c>
      <c r="B2233">
        <v>1010100</v>
      </c>
      <c r="C2233">
        <v>1990</v>
      </c>
      <c r="E2233" s="80">
        <v>45665</v>
      </c>
      <c r="F2233">
        <v>3010101</v>
      </c>
      <c r="G2233">
        <v>25201</v>
      </c>
    </row>
    <row r="2234" spans="1:7" x14ac:dyDescent="0.3">
      <c r="A2234" s="80">
        <v>45672</v>
      </c>
      <c r="B2234">
        <v>1010100</v>
      </c>
      <c r="C2234">
        <v>1990</v>
      </c>
      <c r="E2234" s="80">
        <v>45665</v>
      </c>
      <c r="F2234">
        <v>3010101</v>
      </c>
      <c r="G2234">
        <v>25201</v>
      </c>
    </row>
    <row r="2235" spans="1:7" x14ac:dyDescent="0.3">
      <c r="A2235" s="80">
        <v>45671</v>
      </c>
      <c r="B2235">
        <v>1010100</v>
      </c>
      <c r="C2235">
        <v>4690</v>
      </c>
      <c r="E2235" s="80">
        <v>45665</v>
      </c>
      <c r="F2235">
        <v>3010101</v>
      </c>
      <c r="G2235">
        <v>25201</v>
      </c>
    </row>
    <row r="2236" spans="1:7" x14ac:dyDescent="0.3">
      <c r="A2236" s="80">
        <v>45671</v>
      </c>
      <c r="B2236">
        <v>1010100</v>
      </c>
      <c r="C2236">
        <v>4790</v>
      </c>
      <c r="E2236" s="80">
        <v>45665</v>
      </c>
      <c r="F2236">
        <v>3010101</v>
      </c>
      <c r="G2236">
        <v>25201</v>
      </c>
    </row>
    <row r="2237" spans="1:7" x14ac:dyDescent="0.3">
      <c r="A2237" s="80">
        <v>45671</v>
      </c>
      <c r="B2237">
        <v>1010100</v>
      </c>
      <c r="C2237">
        <v>1990</v>
      </c>
      <c r="E2237" s="80">
        <v>45665</v>
      </c>
      <c r="F2237">
        <v>3010101</v>
      </c>
      <c r="G2237">
        <v>25201</v>
      </c>
    </row>
    <row r="2238" spans="1:7" x14ac:dyDescent="0.3">
      <c r="A2238" s="80">
        <v>45671</v>
      </c>
      <c r="B2238">
        <v>1010100</v>
      </c>
      <c r="C2238">
        <v>1990</v>
      </c>
      <c r="E2238" s="80">
        <v>45664</v>
      </c>
      <c r="F2238">
        <v>3010101</v>
      </c>
      <c r="G2238">
        <v>25201</v>
      </c>
    </row>
    <row r="2239" spans="1:7" x14ac:dyDescent="0.3">
      <c r="A2239" s="80">
        <v>45671</v>
      </c>
      <c r="B2239">
        <v>1010100</v>
      </c>
      <c r="C2239">
        <v>0</v>
      </c>
      <c r="E2239" s="80">
        <v>45664</v>
      </c>
      <c r="F2239">
        <v>3010101</v>
      </c>
      <c r="G2239">
        <v>25201</v>
      </c>
    </row>
    <row r="2240" spans="1:7" x14ac:dyDescent="0.3">
      <c r="A2240" s="80">
        <v>45671</v>
      </c>
      <c r="B2240">
        <v>1010100</v>
      </c>
      <c r="C2240">
        <v>0</v>
      </c>
      <c r="E2240" s="80">
        <v>45664</v>
      </c>
      <c r="F2240">
        <v>3010101</v>
      </c>
      <c r="G2240">
        <v>25201</v>
      </c>
    </row>
    <row r="2241" spans="1:7" x14ac:dyDescent="0.3">
      <c r="A2241" s="80">
        <v>45671</v>
      </c>
      <c r="B2241">
        <v>1010100</v>
      </c>
      <c r="C2241">
        <v>1990</v>
      </c>
      <c r="E2241" s="80">
        <v>45664</v>
      </c>
      <c r="F2241">
        <v>3010101</v>
      </c>
      <c r="G2241">
        <v>25201</v>
      </c>
    </row>
    <row r="2242" spans="1:7" x14ac:dyDescent="0.3">
      <c r="A2242" s="80">
        <v>45671</v>
      </c>
      <c r="B2242">
        <v>1010100</v>
      </c>
      <c r="C2242">
        <v>0</v>
      </c>
      <c r="E2242" s="80">
        <v>45664</v>
      </c>
      <c r="F2242">
        <v>3010101</v>
      </c>
      <c r="G2242">
        <v>25201</v>
      </c>
    </row>
    <row r="2243" spans="1:7" x14ac:dyDescent="0.3">
      <c r="A2243" s="80">
        <v>45671</v>
      </c>
      <c r="B2243">
        <v>1010100</v>
      </c>
      <c r="C2243">
        <v>0</v>
      </c>
      <c r="E2243" s="80">
        <v>45664</v>
      </c>
      <c r="F2243">
        <v>3010101</v>
      </c>
      <c r="G2243">
        <v>25201</v>
      </c>
    </row>
    <row r="2244" spans="1:7" x14ac:dyDescent="0.3">
      <c r="A2244" s="80">
        <v>45670</v>
      </c>
      <c r="B2244">
        <v>1010100</v>
      </c>
      <c r="C2244">
        <v>4190</v>
      </c>
      <c r="E2244" s="80">
        <v>45664</v>
      </c>
      <c r="F2244">
        <v>3010101</v>
      </c>
      <c r="G2244">
        <v>25201</v>
      </c>
    </row>
    <row r="2245" spans="1:7" x14ac:dyDescent="0.3">
      <c r="A2245" s="80">
        <v>45670</v>
      </c>
      <c r="B2245">
        <v>1010100</v>
      </c>
      <c r="C2245">
        <v>3990</v>
      </c>
      <c r="E2245" s="80">
        <v>45664</v>
      </c>
      <c r="F2245">
        <v>3010101</v>
      </c>
      <c r="G2245">
        <v>50403</v>
      </c>
    </row>
    <row r="2246" spans="1:7" x14ac:dyDescent="0.3">
      <c r="A2246" s="80">
        <v>45670</v>
      </c>
      <c r="B2246">
        <v>1010100</v>
      </c>
      <c r="C2246">
        <v>1990</v>
      </c>
      <c r="E2246" s="80">
        <v>45664</v>
      </c>
      <c r="F2246">
        <v>3010101</v>
      </c>
      <c r="G2246">
        <v>50403</v>
      </c>
    </row>
    <row r="2247" spans="1:7" x14ac:dyDescent="0.3">
      <c r="A2247" s="80">
        <v>45670</v>
      </c>
      <c r="B2247">
        <v>1010100</v>
      </c>
      <c r="C2247">
        <v>1990</v>
      </c>
      <c r="E2247" s="80">
        <v>45664</v>
      </c>
      <c r="F2247">
        <v>3010101</v>
      </c>
      <c r="G2247">
        <v>25201</v>
      </c>
    </row>
    <row r="2248" spans="1:7" x14ac:dyDescent="0.3">
      <c r="A2248" s="80">
        <v>45670</v>
      </c>
      <c r="B2248">
        <v>1010100</v>
      </c>
      <c r="C2248">
        <v>1990</v>
      </c>
      <c r="E2248" s="80">
        <v>45664</v>
      </c>
      <c r="F2248">
        <v>3010101</v>
      </c>
      <c r="G2248">
        <v>25201</v>
      </c>
    </row>
    <row r="2249" spans="1:7" x14ac:dyDescent="0.3">
      <c r="A2249" s="80">
        <v>45670</v>
      </c>
      <c r="B2249">
        <v>1010100</v>
      </c>
      <c r="C2249">
        <v>3790</v>
      </c>
      <c r="E2249" s="80">
        <v>45664</v>
      </c>
      <c r="F2249">
        <v>3010101</v>
      </c>
      <c r="G2249">
        <v>25201</v>
      </c>
    </row>
    <row r="2250" spans="1:7" x14ac:dyDescent="0.3">
      <c r="A2250" s="80">
        <v>45669</v>
      </c>
      <c r="B2250">
        <v>1010100</v>
      </c>
      <c r="C2250">
        <v>0</v>
      </c>
      <c r="E2250" s="80">
        <v>45664</v>
      </c>
      <c r="F2250">
        <v>3010101</v>
      </c>
      <c r="G2250">
        <v>25201</v>
      </c>
    </row>
    <row r="2251" spans="1:7" x14ac:dyDescent="0.3">
      <c r="A2251" s="80">
        <v>45669</v>
      </c>
      <c r="B2251">
        <v>1010100</v>
      </c>
      <c r="C2251">
        <v>1990</v>
      </c>
      <c r="E2251" s="80">
        <v>45664</v>
      </c>
      <c r="F2251">
        <v>3010101</v>
      </c>
      <c r="G2251">
        <v>25201</v>
      </c>
    </row>
    <row r="2252" spans="1:7" x14ac:dyDescent="0.3">
      <c r="A2252" s="80">
        <v>45669</v>
      </c>
      <c r="B2252">
        <v>1010100</v>
      </c>
      <c r="C2252">
        <v>1990</v>
      </c>
      <c r="E2252" s="80">
        <v>45664</v>
      </c>
      <c r="F2252">
        <v>3010101</v>
      </c>
      <c r="G2252">
        <v>25201</v>
      </c>
    </row>
    <row r="2253" spans="1:7" x14ac:dyDescent="0.3">
      <c r="A2253" s="80">
        <v>45669</v>
      </c>
      <c r="B2253">
        <v>1010100</v>
      </c>
      <c r="C2253">
        <v>3590</v>
      </c>
      <c r="E2253" s="80">
        <v>45664</v>
      </c>
      <c r="F2253">
        <v>3010101</v>
      </c>
      <c r="G2253">
        <v>25201</v>
      </c>
    </row>
    <row r="2254" spans="1:7" x14ac:dyDescent="0.3">
      <c r="A2254" s="80">
        <v>45669</v>
      </c>
      <c r="B2254">
        <v>1010100</v>
      </c>
      <c r="C2254">
        <v>1990</v>
      </c>
      <c r="E2254" s="80">
        <v>45664</v>
      </c>
      <c r="F2254">
        <v>3010101</v>
      </c>
      <c r="G2254">
        <v>25201</v>
      </c>
    </row>
    <row r="2255" spans="1:7" x14ac:dyDescent="0.3">
      <c r="A2255" s="80">
        <v>45669</v>
      </c>
      <c r="B2255">
        <v>1010100</v>
      </c>
      <c r="C2255">
        <v>4190</v>
      </c>
      <c r="E2255" s="80">
        <v>45663</v>
      </c>
      <c r="F2255">
        <v>3010101</v>
      </c>
      <c r="G2255">
        <v>25201</v>
      </c>
    </row>
    <row r="2256" spans="1:7" x14ac:dyDescent="0.3">
      <c r="A2256" s="80">
        <v>45669</v>
      </c>
      <c r="B2256">
        <v>1010100</v>
      </c>
      <c r="C2256">
        <v>1990</v>
      </c>
      <c r="E2256" s="80">
        <v>45663</v>
      </c>
      <c r="F2256">
        <v>3010101</v>
      </c>
      <c r="G2256">
        <v>25201</v>
      </c>
    </row>
    <row r="2257" spans="1:7" x14ac:dyDescent="0.3">
      <c r="A2257" s="80">
        <v>45669</v>
      </c>
      <c r="B2257">
        <v>1010100</v>
      </c>
      <c r="C2257">
        <v>1990</v>
      </c>
      <c r="E2257" s="80">
        <v>45663</v>
      </c>
      <c r="F2257">
        <v>3010101</v>
      </c>
      <c r="G2257">
        <v>25201</v>
      </c>
    </row>
    <row r="2258" spans="1:7" x14ac:dyDescent="0.3">
      <c r="A2258" s="80">
        <v>45668</v>
      </c>
      <c r="B2258">
        <v>1010100</v>
      </c>
      <c r="C2258">
        <v>1990</v>
      </c>
      <c r="E2258" s="80">
        <v>45663</v>
      </c>
      <c r="F2258">
        <v>3010101</v>
      </c>
      <c r="G2258">
        <v>25201</v>
      </c>
    </row>
    <row r="2259" spans="1:7" x14ac:dyDescent="0.3">
      <c r="A2259" s="80">
        <v>45668</v>
      </c>
      <c r="B2259">
        <v>1010100</v>
      </c>
      <c r="C2259">
        <v>4790</v>
      </c>
      <c r="E2259" s="80">
        <v>45663</v>
      </c>
      <c r="F2259">
        <v>3010101</v>
      </c>
      <c r="G2259">
        <v>22681</v>
      </c>
    </row>
    <row r="2260" spans="1:7" x14ac:dyDescent="0.3">
      <c r="A2260" s="80">
        <v>45668</v>
      </c>
      <c r="B2260">
        <v>1010100</v>
      </c>
      <c r="C2260">
        <v>4390</v>
      </c>
      <c r="E2260" s="80">
        <v>45663</v>
      </c>
      <c r="F2260">
        <v>3010101</v>
      </c>
      <c r="G2260">
        <v>25201</v>
      </c>
    </row>
    <row r="2261" spans="1:7" x14ac:dyDescent="0.3">
      <c r="A2261" s="80">
        <v>45668</v>
      </c>
      <c r="B2261">
        <v>1010100</v>
      </c>
      <c r="C2261">
        <v>3590</v>
      </c>
      <c r="E2261" s="80">
        <v>45663</v>
      </c>
      <c r="F2261">
        <v>3010101</v>
      </c>
      <c r="G2261">
        <v>25201</v>
      </c>
    </row>
    <row r="2262" spans="1:7" x14ac:dyDescent="0.3">
      <c r="A2262" s="80">
        <v>45668</v>
      </c>
      <c r="B2262">
        <v>1010100</v>
      </c>
      <c r="C2262">
        <v>4521</v>
      </c>
      <c r="E2262" s="80">
        <v>45663</v>
      </c>
      <c r="F2262">
        <v>3010101</v>
      </c>
      <c r="G2262">
        <v>25201</v>
      </c>
    </row>
    <row r="2263" spans="1:7" x14ac:dyDescent="0.3">
      <c r="A2263" s="80">
        <v>45668</v>
      </c>
      <c r="B2263">
        <v>1010100</v>
      </c>
      <c r="C2263">
        <v>1990</v>
      </c>
      <c r="E2263" s="80">
        <v>45663</v>
      </c>
      <c r="F2263">
        <v>3010101</v>
      </c>
      <c r="G2263">
        <v>25201</v>
      </c>
    </row>
    <row r="2264" spans="1:7" x14ac:dyDescent="0.3">
      <c r="A2264" s="80">
        <v>45668</v>
      </c>
      <c r="B2264">
        <v>1010100</v>
      </c>
      <c r="C2264">
        <v>1990</v>
      </c>
      <c r="E2264" s="80">
        <v>45663</v>
      </c>
      <c r="F2264">
        <v>3010101</v>
      </c>
      <c r="G2264">
        <v>25201</v>
      </c>
    </row>
    <row r="2265" spans="1:7" x14ac:dyDescent="0.3">
      <c r="A2265" s="80">
        <v>45668</v>
      </c>
      <c r="B2265">
        <v>1010100</v>
      </c>
      <c r="C2265">
        <v>0</v>
      </c>
      <c r="E2265" s="80">
        <v>45663</v>
      </c>
      <c r="F2265">
        <v>3010101</v>
      </c>
      <c r="G2265">
        <v>25201</v>
      </c>
    </row>
    <row r="2266" spans="1:7" x14ac:dyDescent="0.3">
      <c r="A2266" s="80">
        <v>45668</v>
      </c>
      <c r="B2266">
        <v>1010100</v>
      </c>
      <c r="C2266">
        <v>0</v>
      </c>
      <c r="E2266" s="80">
        <v>45663</v>
      </c>
      <c r="F2266">
        <v>3010101</v>
      </c>
      <c r="G2266">
        <v>25201</v>
      </c>
    </row>
    <row r="2267" spans="1:7" x14ac:dyDescent="0.3">
      <c r="A2267" s="80">
        <v>45668</v>
      </c>
      <c r="B2267">
        <v>1010100</v>
      </c>
      <c r="C2267">
        <v>1990</v>
      </c>
      <c r="E2267" s="80">
        <v>45663</v>
      </c>
      <c r="F2267">
        <v>3010101</v>
      </c>
      <c r="G2267">
        <v>25201</v>
      </c>
    </row>
    <row r="2268" spans="1:7" x14ac:dyDescent="0.3">
      <c r="A2268" s="80">
        <v>45668</v>
      </c>
      <c r="B2268">
        <v>1010100</v>
      </c>
      <c r="C2268">
        <v>1990</v>
      </c>
      <c r="E2268" s="80">
        <v>45663</v>
      </c>
      <c r="F2268">
        <v>3010101</v>
      </c>
      <c r="G2268">
        <v>840</v>
      </c>
    </row>
    <row r="2269" spans="1:7" x14ac:dyDescent="0.3">
      <c r="A2269" s="80">
        <v>45668</v>
      </c>
      <c r="B2269">
        <v>1010100</v>
      </c>
      <c r="C2269">
        <v>1990</v>
      </c>
      <c r="E2269" s="80">
        <v>45663</v>
      </c>
      <c r="F2269">
        <v>3010101</v>
      </c>
      <c r="G2269">
        <v>22681</v>
      </c>
    </row>
    <row r="2270" spans="1:7" x14ac:dyDescent="0.3">
      <c r="A2270" s="80">
        <v>45668</v>
      </c>
      <c r="B2270">
        <v>1010100</v>
      </c>
      <c r="C2270">
        <v>1990</v>
      </c>
      <c r="E2270" s="80">
        <v>45663</v>
      </c>
      <c r="F2270">
        <v>3010101</v>
      </c>
      <c r="G2270">
        <v>25201</v>
      </c>
    </row>
    <row r="2271" spans="1:7" x14ac:dyDescent="0.3">
      <c r="A2271" s="80">
        <v>45668</v>
      </c>
      <c r="B2271">
        <v>1010100</v>
      </c>
      <c r="C2271">
        <v>0</v>
      </c>
      <c r="E2271" s="80">
        <v>45663</v>
      </c>
      <c r="F2271">
        <v>3010101</v>
      </c>
      <c r="G2271">
        <v>25201</v>
      </c>
    </row>
    <row r="2272" spans="1:7" x14ac:dyDescent="0.3">
      <c r="A2272" s="80">
        <v>45668</v>
      </c>
      <c r="B2272">
        <v>1010100</v>
      </c>
      <c r="C2272">
        <v>3590</v>
      </c>
      <c r="E2272" s="80">
        <v>45663</v>
      </c>
      <c r="F2272">
        <v>3010101</v>
      </c>
      <c r="G2272">
        <v>25201</v>
      </c>
    </row>
    <row r="2273" spans="1:7" x14ac:dyDescent="0.3">
      <c r="A2273" s="80">
        <v>45667</v>
      </c>
      <c r="B2273">
        <v>1010100</v>
      </c>
      <c r="C2273">
        <v>3990</v>
      </c>
      <c r="E2273" s="80">
        <v>45663</v>
      </c>
      <c r="F2273">
        <v>3010101</v>
      </c>
      <c r="G2273">
        <v>25201</v>
      </c>
    </row>
    <row r="2274" spans="1:7" x14ac:dyDescent="0.3">
      <c r="A2274" s="80">
        <v>45667</v>
      </c>
      <c r="B2274">
        <v>1010100</v>
      </c>
      <c r="C2274">
        <v>1990</v>
      </c>
      <c r="E2274" s="80">
        <v>45663</v>
      </c>
      <c r="F2274">
        <v>3010101</v>
      </c>
      <c r="G2274">
        <v>25201</v>
      </c>
    </row>
    <row r="2275" spans="1:7" x14ac:dyDescent="0.3">
      <c r="A2275" s="80">
        <v>45667</v>
      </c>
      <c r="B2275">
        <v>1010100</v>
      </c>
      <c r="C2275">
        <v>1990</v>
      </c>
      <c r="E2275" s="80">
        <v>45663</v>
      </c>
      <c r="F2275">
        <v>3010101</v>
      </c>
      <c r="G2275">
        <v>8394</v>
      </c>
    </row>
    <row r="2276" spans="1:7" x14ac:dyDescent="0.3">
      <c r="A2276" s="80">
        <v>45667</v>
      </c>
      <c r="B2276">
        <v>1010100</v>
      </c>
      <c r="C2276">
        <v>0</v>
      </c>
      <c r="E2276" s="80">
        <v>45663</v>
      </c>
      <c r="F2276">
        <v>3010101</v>
      </c>
      <c r="G2276">
        <v>25201</v>
      </c>
    </row>
    <row r="2277" spans="1:7" x14ac:dyDescent="0.3">
      <c r="A2277" s="80">
        <v>45667</v>
      </c>
      <c r="B2277">
        <v>1010100</v>
      </c>
      <c r="C2277">
        <v>0</v>
      </c>
      <c r="E2277" s="80">
        <v>45663</v>
      </c>
      <c r="F2277">
        <v>3010101</v>
      </c>
      <c r="G2277">
        <v>25201</v>
      </c>
    </row>
    <row r="2278" spans="1:7" x14ac:dyDescent="0.3">
      <c r="A2278" s="80">
        <v>45667</v>
      </c>
      <c r="B2278">
        <v>1010100</v>
      </c>
      <c r="C2278">
        <v>1990</v>
      </c>
      <c r="E2278" s="80">
        <v>45663</v>
      </c>
      <c r="F2278">
        <v>3010101</v>
      </c>
      <c r="G2278">
        <v>25201</v>
      </c>
    </row>
    <row r="2279" spans="1:7" x14ac:dyDescent="0.3">
      <c r="A2279" s="80">
        <v>45667</v>
      </c>
      <c r="B2279">
        <v>1010100</v>
      </c>
      <c r="C2279">
        <v>4490</v>
      </c>
      <c r="E2279" s="80">
        <v>45663</v>
      </c>
      <c r="F2279">
        <v>3010101</v>
      </c>
      <c r="G2279">
        <v>25201</v>
      </c>
    </row>
    <row r="2280" spans="1:7" x14ac:dyDescent="0.3">
      <c r="A2280" s="80">
        <v>45667</v>
      </c>
      <c r="B2280">
        <v>1010100</v>
      </c>
      <c r="C2280">
        <v>0</v>
      </c>
      <c r="E2280" s="80">
        <v>45662</v>
      </c>
      <c r="F2280">
        <v>3010101</v>
      </c>
      <c r="G2280">
        <v>25201</v>
      </c>
    </row>
    <row r="2281" spans="1:7" x14ac:dyDescent="0.3">
      <c r="A2281" s="80">
        <v>45667</v>
      </c>
      <c r="B2281">
        <v>1010100</v>
      </c>
      <c r="C2281">
        <v>0</v>
      </c>
      <c r="E2281" s="80">
        <v>45662</v>
      </c>
      <c r="F2281">
        <v>3010101</v>
      </c>
      <c r="G2281">
        <v>25201</v>
      </c>
    </row>
    <row r="2282" spans="1:7" x14ac:dyDescent="0.3">
      <c r="A2282" s="80">
        <v>45667</v>
      </c>
      <c r="B2282">
        <v>1010100</v>
      </c>
      <c r="C2282">
        <v>1990</v>
      </c>
      <c r="E2282" s="80">
        <v>45662</v>
      </c>
      <c r="F2282">
        <v>3010101</v>
      </c>
      <c r="G2282">
        <v>25201</v>
      </c>
    </row>
    <row r="2283" spans="1:7" x14ac:dyDescent="0.3">
      <c r="A2283" s="80">
        <v>45667</v>
      </c>
      <c r="B2283">
        <v>1010100</v>
      </c>
      <c r="C2283">
        <v>0</v>
      </c>
      <c r="E2283" s="80">
        <v>45662</v>
      </c>
      <c r="F2283">
        <v>3010101</v>
      </c>
      <c r="G2283">
        <v>25201</v>
      </c>
    </row>
    <row r="2284" spans="1:7" x14ac:dyDescent="0.3">
      <c r="A2284" s="80">
        <v>45667</v>
      </c>
      <c r="B2284">
        <v>1010100</v>
      </c>
      <c r="C2284">
        <v>0</v>
      </c>
      <c r="E2284" s="80">
        <v>45662</v>
      </c>
      <c r="F2284">
        <v>3010101</v>
      </c>
      <c r="G2284">
        <v>25201</v>
      </c>
    </row>
    <row r="2285" spans="1:7" x14ac:dyDescent="0.3">
      <c r="A2285" s="80">
        <v>45667</v>
      </c>
      <c r="B2285">
        <v>1010100</v>
      </c>
      <c r="C2285">
        <v>1990</v>
      </c>
      <c r="E2285" s="80">
        <v>45662</v>
      </c>
      <c r="F2285">
        <v>3010101</v>
      </c>
      <c r="G2285">
        <v>25201</v>
      </c>
    </row>
    <row r="2286" spans="1:7" x14ac:dyDescent="0.3">
      <c r="A2286" s="80">
        <v>45667</v>
      </c>
      <c r="B2286">
        <v>1010100</v>
      </c>
      <c r="C2286">
        <v>1990</v>
      </c>
      <c r="E2286" s="80">
        <v>45662</v>
      </c>
      <c r="F2286">
        <v>3010101</v>
      </c>
      <c r="G2286">
        <v>22681</v>
      </c>
    </row>
    <row r="2287" spans="1:7" x14ac:dyDescent="0.3">
      <c r="A2287" s="80">
        <v>45667</v>
      </c>
      <c r="B2287">
        <v>1010100</v>
      </c>
      <c r="C2287">
        <v>0</v>
      </c>
      <c r="E2287" s="80">
        <v>45662</v>
      </c>
      <c r="F2287">
        <v>3010101</v>
      </c>
      <c r="G2287">
        <v>25201</v>
      </c>
    </row>
    <row r="2288" spans="1:7" x14ac:dyDescent="0.3">
      <c r="A2288" s="80">
        <v>45666</v>
      </c>
      <c r="B2288">
        <v>1010100</v>
      </c>
      <c r="C2288">
        <v>0</v>
      </c>
      <c r="E2288" s="80">
        <v>45662</v>
      </c>
      <c r="F2288">
        <v>3010101</v>
      </c>
      <c r="G2288">
        <v>25201</v>
      </c>
    </row>
    <row r="2289" spans="1:7" x14ac:dyDescent="0.3">
      <c r="A2289" s="80">
        <v>45666</v>
      </c>
      <c r="B2289">
        <v>1010100</v>
      </c>
      <c r="C2289">
        <v>1990</v>
      </c>
      <c r="E2289" s="80">
        <v>45662</v>
      </c>
      <c r="F2289">
        <v>3010101</v>
      </c>
      <c r="G2289">
        <v>25201</v>
      </c>
    </row>
    <row r="2290" spans="1:7" x14ac:dyDescent="0.3">
      <c r="A2290" s="80">
        <v>45666</v>
      </c>
      <c r="B2290">
        <v>1010100</v>
      </c>
      <c r="C2290">
        <v>1990</v>
      </c>
      <c r="E2290" s="80">
        <v>45662</v>
      </c>
      <c r="F2290">
        <v>3010101</v>
      </c>
      <c r="G2290">
        <v>25201</v>
      </c>
    </row>
    <row r="2291" spans="1:7" x14ac:dyDescent="0.3">
      <c r="A2291" s="80">
        <v>45666</v>
      </c>
      <c r="B2291">
        <v>1010100</v>
      </c>
      <c r="C2291">
        <v>1990</v>
      </c>
      <c r="E2291" s="80">
        <v>45662</v>
      </c>
      <c r="F2291">
        <v>3010101</v>
      </c>
      <c r="G2291">
        <v>25201</v>
      </c>
    </row>
    <row r="2292" spans="1:7" x14ac:dyDescent="0.3">
      <c r="A2292" s="80">
        <v>45666</v>
      </c>
      <c r="B2292">
        <v>1010100</v>
      </c>
      <c r="C2292">
        <v>1990</v>
      </c>
      <c r="E2292" s="80">
        <v>45662</v>
      </c>
      <c r="F2292">
        <v>3010101</v>
      </c>
      <c r="G2292">
        <v>25201</v>
      </c>
    </row>
    <row r="2293" spans="1:7" x14ac:dyDescent="0.3">
      <c r="A2293" s="80">
        <v>45666</v>
      </c>
      <c r="B2293">
        <v>1010100</v>
      </c>
      <c r="C2293">
        <v>5490</v>
      </c>
      <c r="E2293" s="80">
        <v>45662</v>
      </c>
      <c r="F2293">
        <v>3010101</v>
      </c>
      <c r="G2293">
        <v>8394</v>
      </c>
    </row>
    <row r="2294" spans="1:7" x14ac:dyDescent="0.3">
      <c r="A2294" s="80">
        <v>45666</v>
      </c>
      <c r="B2294">
        <v>1010100</v>
      </c>
      <c r="C2294">
        <v>4390</v>
      </c>
      <c r="E2294" s="80">
        <v>45662</v>
      </c>
      <c r="F2294">
        <v>3010101</v>
      </c>
      <c r="G2294">
        <v>25201</v>
      </c>
    </row>
    <row r="2295" spans="1:7" x14ac:dyDescent="0.3">
      <c r="A2295" s="80">
        <v>45666</v>
      </c>
      <c r="B2295">
        <v>1010100</v>
      </c>
      <c r="C2295">
        <v>1990</v>
      </c>
      <c r="E2295" s="80">
        <v>45662</v>
      </c>
      <c r="F2295">
        <v>3010101</v>
      </c>
      <c r="G2295">
        <v>25201</v>
      </c>
    </row>
    <row r="2296" spans="1:7" x14ac:dyDescent="0.3">
      <c r="A2296" s="80">
        <v>45666</v>
      </c>
      <c r="B2296">
        <v>1010100</v>
      </c>
      <c r="C2296">
        <v>0</v>
      </c>
      <c r="E2296" s="80">
        <v>45662</v>
      </c>
      <c r="F2296">
        <v>3010101</v>
      </c>
      <c r="G2296">
        <v>50403</v>
      </c>
    </row>
    <row r="2297" spans="1:7" x14ac:dyDescent="0.3">
      <c r="A2297" s="80">
        <v>45666</v>
      </c>
      <c r="B2297">
        <v>1010100</v>
      </c>
      <c r="C2297">
        <v>4790</v>
      </c>
      <c r="E2297" s="80">
        <v>45662</v>
      </c>
      <c r="F2297">
        <v>3010101</v>
      </c>
      <c r="G2297">
        <v>25201</v>
      </c>
    </row>
    <row r="2298" spans="1:7" x14ac:dyDescent="0.3">
      <c r="A2298" s="80">
        <v>45666</v>
      </c>
      <c r="B2298">
        <v>1010100</v>
      </c>
      <c r="C2298">
        <v>1990</v>
      </c>
      <c r="E2298" s="80">
        <v>45662</v>
      </c>
      <c r="F2298">
        <v>3010101</v>
      </c>
      <c r="G2298">
        <v>25201</v>
      </c>
    </row>
    <row r="2299" spans="1:7" x14ac:dyDescent="0.3">
      <c r="A2299" s="80">
        <v>45666</v>
      </c>
      <c r="B2299">
        <v>1010100</v>
      </c>
      <c r="C2299">
        <v>3790</v>
      </c>
      <c r="E2299" s="80">
        <v>45662</v>
      </c>
      <c r="F2299">
        <v>3010101</v>
      </c>
      <c r="G2299">
        <v>25201</v>
      </c>
    </row>
    <row r="2300" spans="1:7" x14ac:dyDescent="0.3">
      <c r="A2300" s="80">
        <v>45666</v>
      </c>
      <c r="B2300">
        <v>1010100</v>
      </c>
      <c r="C2300">
        <v>1990</v>
      </c>
      <c r="E2300" s="80">
        <v>45662</v>
      </c>
      <c r="F2300">
        <v>3010101</v>
      </c>
      <c r="G2300">
        <v>25201</v>
      </c>
    </row>
    <row r="2301" spans="1:7" x14ac:dyDescent="0.3">
      <c r="A2301" s="80">
        <v>45666</v>
      </c>
      <c r="B2301">
        <v>1010100</v>
      </c>
      <c r="C2301">
        <v>0</v>
      </c>
      <c r="E2301" s="80">
        <v>45662</v>
      </c>
      <c r="F2301">
        <v>3010101</v>
      </c>
      <c r="G2301">
        <v>25201</v>
      </c>
    </row>
    <row r="2302" spans="1:7" x14ac:dyDescent="0.3">
      <c r="A2302" s="80">
        <v>45666</v>
      </c>
      <c r="B2302">
        <v>1010100</v>
      </c>
      <c r="C2302">
        <v>0</v>
      </c>
      <c r="E2302" s="80">
        <v>45662</v>
      </c>
      <c r="F2302">
        <v>3010101</v>
      </c>
      <c r="G2302">
        <v>25201</v>
      </c>
    </row>
    <row r="2303" spans="1:7" x14ac:dyDescent="0.3">
      <c r="A2303" s="80">
        <v>45666</v>
      </c>
      <c r="B2303">
        <v>1010100</v>
      </c>
      <c r="C2303">
        <v>0</v>
      </c>
      <c r="E2303" s="80">
        <v>45662</v>
      </c>
      <c r="F2303">
        <v>3010101</v>
      </c>
      <c r="G2303">
        <v>25201</v>
      </c>
    </row>
    <row r="2304" spans="1:7" x14ac:dyDescent="0.3">
      <c r="A2304" s="80">
        <v>45666</v>
      </c>
      <c r="B2304">
        <v>1010100</v>
      </c>
      <c r="C2304">
        <v>0</v>
      </c>
      <c r="E2304" s="80">
        <v>45661</v>
      </c>
      <c r="F2304">
        <v>3010101</v>
      </c>
      <c r="G2304">
        <v>25201</v>
      </c>
    </row>
    <row r="2305" spans="1:7" x14ac:dyDescent="0.3">
      <c r="A2305" s="80">
        <v>45666</v>
      </c>
      <c r="B2305">
        <v>1010100</v>
      </c>
      <c r="C2305">
        <v>1990</v>
      </c>
      <c r="E2305" s="80">
        <v>45661</v>
      </c>
      <c r="F2305">
        <v>3010101</v>
      </c>
      <c r="G2305">
        <v>25201</v>
      </c>
    </row>
    <row r="2306" spans="1:7" x14ac:dyDescent="0.3">
      <c r="A2306" s="80">
        <v>45665</v>
      </c>
      <c r="B2306">
        <v>1010100</v>
      </c>
      <c r="C2306">
        <v>1990</v>
      </c>
      <c r="E2306" s="80">
        <v>45661</v>
      </c>
      <c r="F2306">
        <v>3010101</v>
      </c>
      <c r="G2306">
        <v>25201</v>
      </c>
    </row>
    <row r="2307" spans="1:7" x14ac:dyDescent="0.3">
      <c r="A2307" s="80">
        <v>45665</v>
      </c>
      <c r="B2307">
        <v>1010100</v>
      </c>
      <c r="C2307">
        <v>1990</v>
      </c>
      <c r="E2307" s="80">
        <v>45661</v>
      </c>
      <c r="F2307">
        <v>3010101</v>
      </c>
      <c r="G2307">
        <v>25201</v>
      </c>
    </row>
    <row r="2308" spans="1:7" x14ac:dyDescent="0.3">
      <c r="A2308" s="80">
        <v>45665</v>
      </c>
      <c r="B2308">
        <v>1010100</v>
      </c>
      <c r="C2308">
        <v>1990</v>
      </c>
      <c r="E2308" s="80">
        <v>45661</v>
      </c>
      <c r="F2308">
        <v>3010101</v>
      </c>
      <c r="G2308">
        <v>25201</v>
      </c>
    </row>
    <row r="2309" spans="1:7" x14ac:dyDescent="0.3">
      <c r="A2309" s="80">
        <v>45665</v>
      </c>
      <c r="B2309">
        <v>1010100</v>
      </c>
      <c r="C2309">
        <v>0</v>
      </c>
      <c r="E2309" s="80">
        <v>45661</v>
      </c>
      <c r="F2309">
        <v>3010101</v>
      </c>
      <c r="G2309">
        <v>25201</v>
      </c>
    </row>
    <row r="2310" spans="1:7" x14ac:dyDescent="0.3">
      <c r="A2310" s="80">
        <v>45665</v>
      </c>
      <c r="B2310">
        <v>1010100</v>
      </c>
      <c r="C2310">
        <v>0</v>
      </c>
      <c r="E2310" s="80">
        <v>45661</v>
      </c>
      <c r="F2310">
        <v>3010101</v>
      </c>
      <c r="G2310">
        <v>25201</v>
      </c>
    </row>
    <row r="2311" spans="1:7" x14ac:dyDescent="0.3">
      <c r="A2311" s="80">
        <v>45665</v>
      </c>
      <c r="B2311">
        <v>1010100</v>
      </c>
      <c r="C2311">
        <v>3790</v>
      </c>
      <c r="E2311" s="80">
        <v>45661</v>
      </c>
      <c r="F2311">
        <v>3010101</v>
      </c>
      <c r="G2311">
        <v>25201</v>
      </c>
    </row>
    <row r="2312" spans="1:7" x14ac:dyDescent="0.3">
      <c r="A2312" s="80">
        <v>45665</v>
      </c>
      <c r="B2312">
        <v>1010100</v>
      </c>
      <c r="C2312">
        <v>0</v>
      </c>
      <c r="E2312" s="80">
        <v>45661</v>
      </c>
      <c r="F2312">
        <v>3010101</v>
      </c>
      <c r="G2312">
        <v>25201</v>
      </c>
    </row>
    <row r="2313" spans="1:7" x14ac:dyDescent="0.3">
      <c r="A2313" s="80">
        <v>45665</v>
      </c>
      <c r="B2313">
        <v>1010100</v>
      </c>
      <c r="C2313">
        <v>4190</v>
      </c>
      <c r="E2313" s="80">
        <v>45661</v>
      </c>
      <c r="F2313">
        <v>3010101</v>
      </c>
      <c r="G2313">
        <v>8394</v>
      </c>
    </row>
    <row r="2314" spans="1:7" x14ac:dyDescent="0.3">
      <c r="A2314" s="80">
        <v>45665</v>
      </c>
      <c r="B2314">
        <v>1010100</v>
      </c>
      <c r="C2314">
        <v>1990</v>
      </c>
      <c r="E2314" s="80">
        <v>45661</v>
      </c>
      <c r="F2314">
        <v>3010101</v>
      </c>
      <c r="G2314">
        <v>25201</v>
      </c>
    </row>
    <row r="2315" spans="1:7" x14ac:dyDescent="0.3">
      <c r="A2315" s="80">
        <v>45665</v>
      </c>
      <c r="B2315">
        <v>1010100</v>
      </c>
      <c r="C2315">
        <v>4190</v>
      </c>
      <c r="E2315" s="80">
        <v>45661</v>
      </c>
      <c r="F2315">
        <v>3010101</v>
      </c>
      <c r="G2315">
        <v>25201</v>
      </c>
    </row>
    <row r="2316" spans="1:7" x14ac:dyDescent="0.3">
      <c r="A2316" s="80">
        <v>45665</v>
      </c>
      <c r="B2316">
        <v>1010100</v>
      </c>
      <c r="C2316">
        <v>0</v>
      </c>
      <c r="E2316" s="80">
        <v>45661</v>
      </c>
      <c r="F2316">
        <v>3010101</v>
      </c>
      <c r="G2316">
        <v>25201</v>
      </c>
    </row>
    <row r="2317" spans="1:7" x14ac:dyDescent="0.3">
      <c r="A2317" s="80">
        <v>45665</v>
      </c>
      <c r="B2317">
        <v>1010100</v>
      </c>
      <c r="C2317">
        <v>1990</v>
      </c>
      <c r="E2317" s="80">
        <v>45661</v>
      </c>
      <c r="F2317">
        <v>3010101</v>
      </c>
      <c r="G2317">
        <v>25201</v>
      </c>
    </row>
    <row r="2318" spans="1:7" x14ac:dyDescent="0.3">
      <c r="A2318" s="80">
        <v>45665</v>
      </c>
      <c r="B2318">
        <v>1010100</v>
      </c>
      <c r="C2318">
        <v>3990</v>
      </c>
      <c r="E2318" s="80">
        <v>45661</v>
      </c>
      <c r="F2318">
        <v>3010101</v>
      </c>
      <c r="G2318">
        <v>25201</v>
      </c>
    </row>
    <row r="2319" spans="1:7" x14ac:dyDescent="0.3">
      <c r="A2319" s="80">
        <v>45665</v>
      </c>
      <c r="B2319">
        <v>1010100</v>
      </c>
      <c r="C2319">
        <v>1990</v>
      </c>
      <c r="E2319" s="80">
        <v>45661</v>
      </c>
      <c r="F2319">
        <v>3010101</v>
      </c>
      <c r="G2319">
        <v>25201</v>
      </c>
    </row>
    <row r="2320" spans="1:7" x14ac:dyDescent="0.3">
      <c r="A2320" s="80">
        <v>45665</v>
      </c>
      <c r="B2320">
        <v>1010100</v>
      </c>
      <c r="C2320">
        <v>1990</v>
      </c>
      <c r="E2320" s="80">
        <v>45661</v>
      </c>
      <c r="F2320">
        <v>3010101</v>
      </c>
      <c r="G2320">
        <v>25201</v>
      </c>
    </row>
    <row r="2321" spans="1:7" x14ac:dyDescent="0.3">
      <c r="A2321" s="80">
        <v>45665</v>
      </c>
      <c r="B2321">
        <v>1010100</v>
      </c>
      <c r="C2321">
        <v>0</v>
      </c>
      <c r="E2321" s="80">
        <v>45661</v>
      </c>
      <c r="F2321">
        <v>3010101</v>
      </c>
      <c r="G2321">
        <v>25201</v>
      </c>
    </row>
    <row r="2322" spans="1:7" x14ac:dyDescent="0.3">
      <c r="A2322" s="80">
        <v>45665</v>
      </c>
      <c r="B2322">
        <v>1010100</v>
      </c>
      <c r="C2322">
        <v>1990</v>
      </c>
      <c r="E2322" s="80">
        <v>45661</v>
      </c>
      <c r="F2322">
        <v>3010101</v>
      </c>
      <c r="G2322">
        <v>25201</v>
      </c>
    </row>
    <row r="2323" spans="1:7" x14ac:dyDescent="0.3">
      <c r="A2323" s="80">
        <v>45665</v>
      </c>
      <c r="B2323">
        <v>1010100</v>
      </c>
      <c r="C2323">
        <v>1990</v>
      </c>
      <c r="E2323" s="80">
        <v>45660</v>
      </c>
      <c r="F2323">
        <v>3010101</v>
      </c>
      <c r="G2323">
        <v>25201</v>
      </c>
    </row>
    <row r="2324" spans="1:7" x14ac:dyDescent="0.3">
      <c r="A2324" s="80">
        <v>45665</v>
      </c>
      <c r="B2324">
        <v>1010100</v>
      </c>
      <c r="C2324">
        <v>6790</v>
      </c>
      <c r="E2324" s="80">
        <v>45660</v>
      </c>
      <c r="F2324">
        <v>3010101</v>
      </c>
      <c r="G2324">
        <v>25201</v>
      </c>
    </row>
    <row r="2325" spans="1:7" x14ac:dyDescent="0.3">
      <c r="A2325" s="80">
        <v>45665</v>
      </c>
      <c r="B2325">
        <v>1010100</v>
      </c>
      <c r="C2325">
        <v>4190</v>
      </c>
      <c r="E2325" s="80">
        <v>45660</v>
      </c>
      <c r="F2325">
        <v>3010101</v>
      </c>
      <c r="G2325">
        <v>25201</v>
      </c>
    </row>
    <row r="2326" spans="1:7" x14ac:dyDescent="0.3">
      <c r="A2326" s="80">
        <v>45665</v>
      </c>
      <c r="B2326">
        <v>1010100</v>
      </c>
      <c r="C2326">
        <v>1990</v>
      </c>
      <c r="E2326" s="80">
        <v>45660</v>
      </c>
      <c r="F2326">
        <v>3010101</v>
      </c>
      <c r="G2326">
        <v>25201</v>
      </c>
    </row>
    <row r="2327" spans="1:7" x14ac:dyDescent="0.3">
      <c r="A2327" s="80">
        <v>45665</v>
      </c>
      <c r="B2327">
        <v>1010100</v>
      </c>
      <c r="C2327">
        <v>1990</v>
      </c>
      <c r="E2327" s="80">
        <v>45660</v>
      </c>
      <c r="F2327">
        <v>3010101</v>
      </c>
      <c r="G2327">
        <v>25201</v>
      </c>
    </row>
    <row r="2328" spans="1:7" x14ac:dyDescent="0.3">
      <c r="A2328" s="80">
        <v>45665</v>
      </c>
      <c r="B2328">
        <v>1010100</v>
      </c>
      <c r="C2328">
        <v>1990</v>
      </c>
      <c r="E2328" s="80">
        <v>45660</v>
      </c>
      <c r="F2328">
        <v>3010101</v>
      </c>
      <c r="G2328">
        <v>25201</v>
      </c>
    </row>
    <row r="2329" spans="1:7" x14ac:dyDescent="0.3">
      <c r="A2329" s="80">
        <v>45665</v>
      </c>
      <c r="B2329">
        <v>1010100</v>
      </c>
      <c r="C2329">
        <v>1990</v>
      </c>
      <c r="E2329" s="80">
        <v>45660</v>
      </c>
      <c r="F2329">
        <v>3010101</v>
      </c>
      <c r="G2329">
        <v>25201</v>
      </c>
    </row>
    <row r="2330" spans="1:7" x14ac:dyDescent="0.3">
      <c r="A2330" s="80">
        <v>45664</v>
      </c>
      <c r="B2330">
        <v>1010100</v>
      </c>
      <c r="C2330">
        <v>4521</v>
      </c>
      <c r="E2330" s="80">
        <v>45660</v>
      </c>
      <c r="F2330">
        <v>3010101</v>
      </c>
      <c r="G2330">
        <v>25201</v>
      </c>
    </row>
    <row r="2331" spans="1:7" x14ac:dyDescent="0.3">
      <c r="A2331" s="80">
        <v>45664</v>
      </c>
      <c r="B2331">
        <v>1010100</v>
      </c>
      <c r="C2331">
        <v>3990</v>
      </c>
      <c r="E2331" s="80">
        <v>45660</v>
      </c>
      <c r="F2331">
        <v>3010101</v>
      </c>
      <c r="G2331">
        <v>25201</v>
      </c>
    </row>
    <row r="2332" spans="1:7" x14ac:dyDescent="0.3">
      <c r="A2332" s="80">
        <v>45664</v>
      </c>
      <c r="B2332">
        <v>1010100</v>
      </c>
      <c r="C2332">
        <v>3990</v>
      </c>
      <c r="E2332" s="80">
        <v>45660</v>
      </c>
      <c r="F2332">
        <v>3010101</v>
      </c>
      <c r="G2332">
        <v>25201</v>
      </c>
    </row>
    <row r="2333" spans="1:7" x14ac:dyDescent="0.3">
      <c r="A2333" s="80">
        <v>45664</v>
      </c>
      <c r="B2333">
        <v>1010100</v>
      </c>
      <c r="C2333">
        <v>3790</v>
      </c>
      <c r="E2333" s="80">
        <v>45660</v>
      </c>
      <c r="F2333">
        <v>3010101</v>
      </c>
      <c r="G2333">
        <v>25201</v>
      </c>
    </row>
    <row r="2334" spans="1:7" x14ac:dyDescent="0.3">
      <c r="A2334" s="80">
        <v>45664</v>
      </c>
      <c r="B2334">
        <v>1010100</v>
      </c>
      <c r="C2334">
        <v>5490</v>
      </c>
      <c r="E2334" s="80">
        <v>45660</v>
      </c>
      <c r="F2334">
        <v>3010101</v>
      </c>
      <c r="G2334">
        <v>25201</v>
      </c>
    </row>
    <row r="2335" spans="1:7" x14ac:dyDescent="0.3">
      <c r="A2335" s="80">
        <v>45664</v>
      </c>
      <c r="B2335">
        <v>1010100</v>
      </c>
      <c r="C2335">
        <v>4190</v>
      </c>
      <c r="E2335" s="80">
        <v>45660</v>
      </c>
      <c r="F2335">
        <v>3010101</v>
      </c>
      <c r="G2335">
        <v>25201</v>
      </c>
    </row>
    <row r="2336" spans="1:7" x14ac:dyDescent="0.3">
      <c r="A2336" s="80">
        <v>45664</v>
      </c>
      <c r="B2336">
        <v>1010100</v>
      </c>
      <c r="C2336">
        <v>0</v>
      </c>
      <c r="E2336" s="80">
        <v>45660</v>
      </c>
      <c r="F2336">
        <v>3010101</v>
      </c>
      <c r="G2336">
        <v>25201</v>
      </c>
    </row>
    <row r="2337" spans="1:7" x14ac:dyDescent="0.3">
      <c r="A2337" s="80">
        <v>45664</v>
      </c>
      <c r="B2337">
        <v>1010100</v>
      </c>
      <c r="C2337">
        <v>0</v>
      </c>
      <c r="E2337" s="80">
        <v>45660</v>
      </c>
      <c r="F2337">
        <v>3010101</v>
      </c>
      <c r="G2337">
        <v>25201</v>
      </c>
    </row>
    <row r="2338" spans="1:7" x14ac:dyDescent="0.3">
      <c r="A2338" s="80">
        <v>45664</v>
      </c>
      <c r="B2338">
        <v>1010100</v>
      </c>
      <c r="C2338">
        <v>0</v>
      </c>
      <c r="E2338" s="80">
        <v>45660</v>
      </c>
      <c r="F2338">
        <v>3010101</v>
      </c>
      <c r="G2338">
        <v>8394</v>
      </c>
    </row>
    <row r="2339" spans="1:7" x14ac:dyDescent="0.3">
      <c r="A2339" s="80">
        <v>45664</v>
      </c>
      <c r="B2339">
        <v>1010100</v>
      </c>
      <c r="C2339">
        <v>1990</v>
      </c>
      <c r="E2339" s="80">
        <v>45660</v>
      </c>
      <c r="F2339">
        <v>3010101</v>
      </c>
      <c r="G2339">
        <v>25201</v>
      </c>
    </row>
    <row r="2340" spans="1:7" x14ac:dyDescent="0.3">
      <c r="A2340" s="80">
        <v>45664</v>
      </c>
      <c r="B2340">
        <v>1010100</v>
      </c>
      <c r="C2340">
        <v>1990</v>
      </c>
      <c r="E2340" s="80">
        <v>45659</v>
      </c>
      <c r="F2340">
        <v>3010101</v>
      </c>
      <c r="G2340">
        <v>25201</v>
      </c>
    </row>
    <row r="2341" spans="1:7" x14ac:dyDescent="0.3">
      <c r="A2341" s="80">
        <v>45664</v>
      </c>
      <c r="B2341">
        <v>1010100</v>
      </c>
      <c r="C2341">
        <v>5890</v>
      </c>
      <c r="E2341" s="80">
        <v>45659</v>
      </c>
      <c r="F2341">
        <v>3010101</v>
      </c>
      <c r="G2341">
        <v>25201</v>
      </c>
    </row>
    <row r="2342" spans="1:7" x14ac:dyDescent="0.3">
      <c r="A2342" s="80">
        <v>45664</v>
      </c>
      <c r="B2342">
        <v>1010100</v>
      </c>
      <c r="C2342">
        <v>1990</v>
      </c>
      <c r="E2342" s="80">
        <v>45659</v>
      </c>
      <c r="F2342">
        <v>3010101</v>
      </c>
      <c r="G2342">
        <v>25201</v>
      </c>
    </row>
    <row r="2343" spans="1:7" x14ac:dyDescent="0.3">
      <c r="A2343" s="80">
        <v>45664</v>
      </c>
      <c r="B2343">
        <v>1010100</v>
      </c>
      <c r="C2343">
        <v>1990</v>
      </c>
      <c r="E2343" s="80">
        <v>45659</v>
      </c>
      <c r="F2343">
        <v>3010101</v>
      </c>
      <c r="G2343">
        <v>25201</v>
      </c>
    </row>
    <row r="2344" spans="1:7" x14ac:dyDescent="0.3">
      <c r="A2344" s="80">
        <v>45664</v>
      </c>
      <c r="B2344">
        <v>1010100</v>
      </c>
      <c r="C2344">
        <v>1990</v>
      </c>
      <c r="E2344" s="80">
        <v>45659</v>
      </c>
      <c r="F2344">
        <v>3010101</v>
      </c>
      <c r="G2344">
        <v>25201</v>
      </c>
    </row>
    <row r="2345" spans="1:7" x14ac:dyDescent="0.3">
      <c r="A2345" s="80">
        <v>45664</v>
      </c>
      <c r="B2345">
        <v>1010100</v>
      </c>
      <c r="C2345">
        <v>0</v>
      </c>
      <c r="E2345" s="80">
        <v>45659</v>
      </c>
      <c r="F2345">
        <v>3010101</v>
      </c>
      <c r="G2345">
        <v>25201</v>
      </c>
    </row>
    <row r="2346" spans="1:7" x14ac:dyDescent="0.3">
      <c r="A2346" s="80">
        <v>45664</v>
      </c>
      <c r="B2346">
        <v>1010100</v>
      </c>
      <c r="C2346">
        <v>1990</v>
      </c>
      <c r="E2346" s="80">
        <v>45659</v>
      </c>
      <c r="F2346">
        <v>3010101</v>
      </c>
      <c r="G2346">
        <v>25201</v>
      </c>
    </row>
    <row r="2347" spans="1:7" x14ac:dyDescent="0.3">
      <c r="A2347" s="80">
        <v>45663</v>
      </c>
      <c r="B2347">
        <v>1010100</v>
      </c>
      <c r="C2347">
        <v>0</v>
      </c>
      <c r="E2347" s="80">
        <v>45659</v>
      </c>
      <c r="F2347">
        <v>3010101</v>
      </c>
      <c r="G2347">
        <v>25201</v>
      </c>
    </row>
    <row r="2348" spans="1:7" x14ac:dyDescent="0.3">
      <c r="A2348" s="80">
        <v>45663</v>
      </c>
      <c r="B2348">
        <v>1010100</v>
      </c>
      <c r="C2348">
        <v>1990</v>
      </c>
      <c r="E2348" s="80">
        <v>45659</v>
      </c>
      <c r="F2348">
        <v>3010101</v>
      </c>
      <c r="G2348">
        <v>25201</v>
      </c>
    </row>
    <row r="2349" spans="1:7" x14ac:dyDescent="0.3">
      <c r="A2349" s="80">
        <v>45663</v>
      </c>
      <c r="B2349">
        <v>1010100</v>
      </c>
      <c r="C2349">
        <v>3790</v>
      </c>
      <c r="E2349" s="80">
        <v>45659</v>
      </c>
      <c r="F2349">
        <v>3010101</v>
      </c>
      <c r="G2349">
        <v>50403</v>
      </c>
    </row>
    <row r="2350" spans="1:7" x14ac:dyDescent="0.3">
      <c r="A2350" s="80">
        <v>45663</v>
      </c>
      <c r="B2350">
        <v>1010100</v>
      </c>
      <c r="C2350">
        <v>1990</v>
      </c>
      <c r="E2350" s="80">
        <v>45659</v>
      </c>
      <c r="F2350">
        <v>3010101</v>
      </c>
      <c r="G2350">
        <v>25201</v>
      </c>
    </row>
    <row r="2351" spans="1:7" x14ac:dyDescent="0.3">
      <c r="A2351" s="80">
        <v>45663</v>
      </c>
      <c r="B2351">
        <v>1010100</v>
      </c>
      <c r="C2351">
        <v>1990</v>
      </c>
      <c r="E2351" s="80">
        <v>45659</v>
      </c>
      <c r="F2351">
        <v>3010101</v>
      </c>
      <c r="G2351">
        <v>25201</v>
      </c>
    </row>
    <row r="2352" spans="1:7" x14ac:dyDescent="0.3">
      <c r="A2352" s="80">
        <v>45663</v>
      </c>
      <c r="B2352">
        <v>1010100</v>
      </c>
      <c r="C2352">
        <v>0</v>
      </c>
      <c r="E2352" s="80">
        <v>45659</v>
      </c>
      <c r="F2352">
        <v>3010101</v>
      </c>
      <c r="G2352">
        <v>25201</v>
      </c>
    </row>
    <row r="2353" spans="1:7" x14ac:dyDescent="0.3">
      <c r="A2353" s="80">
        <v>45663</v>
      </c>
      <c r="B2353">
        <v>1010100</v>
      </c>
      <c r="C2353">
        <v>4390</v>
      </c>
      <c r="E2353" s="80">
        <v>45659</v>
      </c>
      <c r="F2353">
        <v>3010101</v>
      </c>
      <c r="G2353">
        <v>25201</v>
      </c>
    </row>
    <row r="2354" spans="1:7" x14ac:dyDescent="0.3">
      <c r="A2354" s="80">
        <v>45663</v>
      </c>
      <c r="B2354">
        <v>1010100</v>
      </c>
      <c r="C2354">
        <v>0</v>
      </c>
      <c r="E2354" s="80">
        <v>45659</v>
      </c>
      <c r="F2354">
        <v>3010101</v>
      </c>
      <c r="G2354">
        <v>25201</v>
      </c>
    </row>
    <row r="2355" spans="1:7" x14ac:dyDescent="0.3">
      <c r="A2355" s="80">
        <v>45663</v>
      </c>
      <c r="B2355">
        <v>1010100</v>
      </c>
      <c r="C2355">
        <v>1990</v>
      </c>
      <c r="E2355" s="80">
        <v>45659</v>
      </c>
      <c r="F2355">
        <v>3010101</v>
      </c>
      <c r="G2355">
        <v>25201</v>
      </c>
    </row>
    <row r="2356" spans="1:7" x14ac:dyDescent="0.3">
      <c r="A2356" s="80">
        <v>45663</v>
      </c>
      <c r="B2356">
        <v>1010100</v>
      </c>
      <c r="C2356">
        <v>3990</v>
      </c>
      <c r="E2356" s="80">
        <v>45659</v>
      </c>
      <c r="F2356">
        <v>3010101</v>
      </c>
      <c r="G2356">
        <v>25201</v>
      </c>
    </row>
    <row r="2357" spans="1:7" x14ac:dyDescent="0.3">
      <c r="A2357" s="80">
        <v>45663</v>
      </c>
      <c r="B2357">
        <v>1010100</v>
      </c>
      <c r="C2357">
        <v>4690</v>
      </c>
      <c r="E2357" s="80">
        <v>45659</v>
      </c>
      <c r="F2357">
        <v>3010101</v>
      </c>
      <c r="G2357">
        <v>25201</v>
      </c>
    </row>
    <row r="2358" spans="1:7" x14ac:dyDescent="0.3">
      <c r="A2358" s="80">
        <v>45663</v>
      </c>
      <c r="B2358">
        <v>1010100</v>
      </c>
      <c r="C2358">
        <v>0</v>
      </c>
      <c r="E2358" s="80">
        <v>45659</v>
      </c>
      <c r="F2358">
        <v>3010101</v>
      </c>
      <c r="G2358">
        <v>25201</v>
      </c>
    </row>
    <row r="2359" spans="1:7" x14ac:dyDescent="0.3">
      <c r="A2359" s="80">
        <v>45663</v>
      </c>
      <c r="B2359">
        <v>1010100</v>
      </c>
      <c r="C2359">
        <v>4190</v>
      </c>
      <c r="E2359" s="80">
        <v>45659</v>
      </c>
      <c r="F2359">
        <v>3010101</v>
      </c>
      <c r="G2359">
        <v>25201</v>
      </c>
    </row>
    <row r="2360" spans="1:7" x14ac:dyDescent="0.3">
      <c r="A2360" s="80">
        <v>45663</v>
      </c>
      <c r="B2360">
        <v>1010100</v>
      </c>
      <c r="C2360">
        <v>0</v>
      </c>
      <c r="E2360" s="80">
        <v>45659</v>
      </c>
      <c r="F2360">
        <v>3010101</v>
      </c>
      <c r="G2360">
        <v>25201</v>
      </c>
    </row>
    <row r="2361" spans="1:7" x14ac:dyDescent="0.3">
      <c r="A2361" s="80">
        <v>45663</v>
      </c>
      <c r="B2361">
        <v>1010100</v>
      </c>
      <c r="C2361">
        <v>1990</v>
      </c>
      <c r="E2361" s="80">
        <v>45659</v>
      </c>
      <c r="F2361">
        <v>3010101</v>
      </c>
      <c r="G2361">
        <v>25201</v>
      </c>
    </row>
    <row r="2362" spans="1:7" x14ac:dyDescent="0.3">
      <c r="A2362" s="80">
        <v>45663</v>
      </c>
      <c r="B2362">
        <v>1010100</v>
      </c>
      <c r="C2362">
        <v>1990</v>
      </c>
      <c r="E2362" s="80">
        <v>45659</v>
      </c>
      <c r="F2362">
        <v>3010101</v>
      </c>
      <c r="G2362">
        <v>25201</v>
      </c>
    </row>
    <row r="2363" spans="1:7" x14ac:dyDescent="0.3">
      <c r="A2363" s="80">
        <v>45663</v>
      </c>
      <c r="B2363">
        <v>1010100</v>
      </c>
      <c r="C2363">
        <v>3490</v>
      </c>
      <c r="E2363" s="80">
        <v>45658</v>
      </c>
      <c r="F2363">
        <v>3010101</v>
      </c>
      <c r="G2363">
        <v>25201</v>
      </c>
    </row>
    <row r="2364" spans="1:7" x14ac:dyDescent="0.3">
      <c r="A2364" s="80">
        <v>45663</v>
      </c>
      <c r="B2364">
        <v>1010100</v>
      </c>
      <c r="C2364">
        <v>5490</v>
      </c>
      <c r="E2364" s="80">
        <v>45658</v>
      </c>
      <c r="F2364">
        <v>3010101</v>
      </c>
      <c r="G2364">
        <v>25201</v>
      </c>
    </row>
    <row r="2365" spans="1:7" x14ac:dyDescent="0.3">
      <c r="A2365" s="80">
        <v>45663</v>
      </c>
      <c r="B2365">
        <v>1010100</v>
      </c>
      <c r="C2365">
        <v>5890</v>
      </c>
      <c r="E2365" s="80">
        <v>45658</v>
      </c>
      <c r="F2365">
        <v>3010101</v>
      </c>
      <c r="G2365">
        <v>25201</v>
      </c>
    </row>
    <row r="2366" spans="1:7" x14ac:dyDescent="0.3">
      <c r="A2366" s="80">
        <v>45663</v>
      </c>
      <c r="B2366">
        <v>1010100</v>
      </c>
      <c r="C2366">
        <v>0</v>
      </c>
      <c r="E2366" s="80">
        <v>45658</v>
      </c>
      <c r="F2366">
        <v>3010101</v>
      </c>
      <c r="G2366">
        <v>25201</v>
      </c>
    </row>
    <row r="2367" spans="1:7" x14ac:dyDescent="0.3">
      <c r="A2367" s="80">
        <v>45663</v>
      </c>
      <c r="B2367">
        <v>1010100</v>
      </c>
      <c r="C2367">
        <v>0</v>
      </c>
      <c r="E2367" s="80">
        <v>45658</v>
      </c>
      <c r="F2367">
        <v>3010101</v>
      </c>
      <c r="G2367">
        <v>25201</v>
      </c>
    </row>
    <row r="2368" spans="1:7" x14ac:dyDescent="0.3">
      <c r="A2368" s="80">
        <v>45663</v>
      </c>
      <c r="B2368">
        <v>1010100</v>
      </c>
      <c r="C2368">
        <v>6490</v>
      </c>
      <c r="E2368" s="80">
        <v>45658</v>
      </c>
      <c r="F2368">
        <v>3010101</v>
      </c>
      <c r="G2368">
        <v>25201</v>
      </c>
    </row>
    <row r="2369" spans="1:7" x14ac:dyDescent="0.3">
      <c r="A2369" s="80">
        <v>45663</v>
      </c>
      <c r="B2369">
        <v>1010100</v>
      </c>
      <c r="C2369">
        <v>1990</v>
      </c>
      <c r="E2369" s="80">
        <v>45658</v>
      </c>
      <c r="F2369">
        <v>3010101</v>
      </c>
      <c r="G2369">
        <v>25201</v>
      </c>
    </row>
    <row r="2370" spans="1:7" x14ac:dyDescent="0.3">
      <c r="A2370" s="80">
        <v>45663</v>
      </c>
      <c r="B2370">
        <v>1010100</v>
      </c>
      <c r="C2370">
        <v>0</v>
      </c>
      <c r="E2370" s="80">
        <v>45658</v>
      </c>
      <c r="F2370">
        <v>3010101</v>
      </c>
      <c r="G2370">
        <v>25201</v>
      </c>
    </row>
    <row r="2371" spans="1:7" x14ac:dyDescent="0.3">
      <c r="A2371" s="80">
        <v>45663</v>
      </c>
      <c r="B2371">
        <v>1010100</v>
      </c>
      <c r="C2371">
        <v>0</v>
      </c>
      <c r="E2371" s="80">
        <v>45658</v>
      </c>
      <c r="F2371">
        <v>3010101</v>
      </c>
      <c r="G2371">
        <v>25201</v>
      </c>
    </row>
    <row r="2372" spans="1:7" x14ac:dyDescent="0.3">
      <c r="A2372" s="80">
        <v>45662</v>
      </c>
      <c r="B2372">
        <v>1010100</v>
      </c>
      <c r="C2372">
        <v>1990</v>
      </c>
      <c r="E2372" s="80">
        <v>45658</v>
      </c>
      <c r="F2372">
        <v>3010101</v>
      </c>
      <c r="G2372">
        <v>8394</v>
      </c>
    </row>
    <row r="2373" spans="1:7" x14ac:dyDescent="0.3">
      <c r="A2373" s="80">
        <v>45662</v>
      </c>
      <c r="B2373">
        <v>1010100</v>
      </c>
      <c r="C2373">
        <v>6390</v>
      </c>
      <c r="E2373" s="80">
        <v>45658</v>
      </c>
      <c r="F2373">
        <v>3010101</v>
      </c>
      <c r="G2373">
        <v>25201</v>
      </c>
    </row>
    <row r="2374" spans="1:7" x14ac:dyDescent="0.3">
      <c r="A2374" s="80">
        <v>45662</v>
      </c>
      <c r="B2374">
        <v>1010100</v>
      </c>
      <c r="C2374">
        <v>1990</v>
      </c>
      <c r="E2374" s="80">
        <v>45658</v>
      </c>
      <c r="F2374">
        <v>3010101</v>
      </c>
      <c r="G2374">
        <v>25201</v>
      </c>
    </row>
    <row r="2375" spans="1:7" x14ac:dyDescent="0.3">
      <c r="A2375" s="80">
        <v>45662</v>
      </c>
      <c r="B2375">
        <v>1010100</v>
      </c>
      <c r="C2375">
        <v>1990</v>
      </c>
      <c r="E2375" s="80">
        <v>45658</v>
      </c>
      <c r="F2375">
        <v>3010101</v>
      </c>
      <c r="G2375">
        <v>22681</v>
      </c>
    </row>
    <row r="2376" spans="1:7" x14ac:dyDescent="0.3">
      <c r="A2376" s="80">
        <v>45662</v>
      </c>
      <c r="B2376">
        <v>1010100</v>
      </c>
      <c r="C2376">
        <v>1990</v>
      </c>
      <c r="E2376" s="80">
        <v>45658</v>
      </c>
      <c r="F2376">
        <v>3010101</v>
      </c>
      <c r="G2376">
        <v>25201</v>
      </c>
    </row>
    <row r="2377" spans="1:7" x14ac:dyDescent="0.3">
      <c r="A2377" s="80">
        <v>45662</v>
      </c>
      <c r="B2377">
        <v>1010100</v>
      </c>
      <c r="C2377">
        <v>4190</v>
      </c>
      <c r="E2377" s="80">
        <v>45658</v>
      </c>
      <c r="F2377">
        <v>3010101</v>
      </c>
      <c r="G2377">
        <v>22681</v>
      </c>
    </row>
    <row r="2378" spans="1:7" x14ac:dyDescent="0.3">
      <c r="A2378" s="80">
        <v>45662</v>
      </c>
      <c r="B2378">
        <v>1010100</v>
      </c>
      <c r="C2378">
        <v>4190</v>
      </c>
      <c r="E2378" s="80">
        <v>45838</v>
      </c>
      <c r="F2378">
        <v>3010101</v>
      </c>
      <c r="G2378">
        <v>25201</v>
      </c>
    </row>
    <row r="2379" spans="1:7" x14ac:dyDescent="0.3">
      <c r="A2379" s="80">
        <v>45662</v>
      </c>
      <c r="B2379">
        <v>1010100</v>
      </c>
      <c r="C2379">
        <v>1990</v>
      </c>
      <c r="E2379" s="80">
        <v>45844</v>
      </c>
      <c r="F2379">
        <v>3010101</v>
      </c>
      <c r="G2379">
        <v>25201</v>
      </c>
    </row>
    <row r="2380" spans="1:7" x14ac:dyDescent="0.3">
      <c r="A2380" s="80">
        <v>45662</v>
      </c>
      <c r="B2380">
        <v>1010100</v>
      </c>
      <c r="C2380">
        <v>0</v>
      </c>
      <c r="E2380" s="80">
        <v>45835</v>
      </c>
      <c r="F2380">
        <v>3010101</v>
      </c>
      <c r="G2380">
        <v>25201</v>
      </c>
    </row>
    <row r="2381" spans="1:7" x14ac:dyDescent="0.3">
      <c r="A2381" s="80">
        <v>45662</v>
      </c>
      <c r="B2381">
        <v>1010100</v>
      </c>
      <c r="C2381">
        <v>0</v>
      </c>
      <c r="E2381" s="80">
        <v>45844</v>
      </c>
      <c r="F2381">
        <v>3010101</v>
      </c>
      <c r="G2381">
        <v>25201</v>
      </c>
    </row>
    <row r="2382" spans="1:7" x14ac:dyDescent="0.3">
      <c r="A2382" s="80">
        <v>45662</v>
      </c>
      <c r="B2382">
        <v>1010100</v>
      </c>
      <c r="C2382">
        <v>4190</v>
      </c>
      <c r="E2382" s="80">
        <v>45841</v>
      </c>
      <c r="F2382">
        <v>3010101</v>
      </c>
      <c r="G2382">
        <v>8</v>
      </c>
    </row>
    <row r="2383" spans="1:7" x14ac:dyDescent="0.3">
      <c r="A2383" s="80">
        <v>45662</v>
      </c>
      <c r="B2383">
        <v>1010100</v>
      </c>
      <c r="C2383">
        <v>1990</v>
      </c>
      <c r="E2383" s="80">
        <v>45833</v>
      </c>
      <c r="F2383">
        <v>3010101</v>
      </c>
      <c r="G2383">
        <v>25201</v>
      </c>
    </row>
    <row r="2384" spans="1:7" x14ac:dyDescent="0.3">
      <c r="A2384" s="80">
        <v>45662</v>
      </c>
      <c r="B2384">
        <v>1010100</v>
      </c>
      <c r="C2384">
        <v>3590</v>
      </c>
      <c r="E2384" s="80">
        <v>45833</v>
      </c>
      <c r="F2384">
        <v>3010101</v>
      </c>
      <c r="G2384">
        <v>25201</v>
      </c>
    </row>
    <row r="2385" spans="1:7" x14ac:dyDescent="0.3">
      <c r="A2385" s="80">
        <v>45662</v>
      </c>
      <c r="B2385">
        <v>1010100</v>
      </c>
      <c r="C2385">
        <v>1990</v>
      </c>
      <c r="E2385" s="80">
        <v>45833</v>
      </c>
      <c r="F2385">
        <v>3010101</v>
      </c>
      <c r="G2385">
        <v>25201</v>
      </c>
    </row>
    <row r="2386" spans="1:7" x14ac:dyDescent="0.3">
      <c r="A2386" s="80">
        <v>45662</v>
      </c>
      <c r="B2386">
        <v>1010100</v>
      </c>
      <c r="C2386">
        <v>0</v>
      </c>
      <c r="E2386" s="80">
        <v>45838</v>
      </c>
      <c r="F2386">
        <v>3010101</v>
      </c>
      <c r="G2386">
        <v>25201</v>
      </c>
    </row>
    <row r="2387" spans="1:7" x14ac:dyDescent="0.3">
      <c r="A2387" s="80">
        <v>45662</v>
      </c>
      <c r="B2387">
        <v>1010100</v>
      </c>
      <c r="C2387">
        <v>0</v>
      </c>
      <c r="E2387" s="80">
        <v>45828</v>
      </c>
      <c r="F2387">
        <v>3010101</v>
      </c>
      <c r="G2387">
        <v>25201</v>
      </c>
    </row>
    <row r="2388" spans="1:7" x14ac:dyDescent="0.3">
      <c r="A2388" s="80">
        <v>45662</v>
      </c>
      <c r="B2388">
        <v>1010100</v>
      </c>
      <c r="C2388">
        <v>0</v>
      </c>
      <c r="E2388" s="80">
        <v>45828</v>
      </c>
      <c r="F2388">
        <v>3010101</v>
      </c>
      <c r="G2388">
        <v>25201</v>
      </c>
    </row>
    <row r="2389" spans="1:7" x14ac:dyDescent="0.3">
      <c r="A2389" s="80">
        <v>45662</v>
      </c>
      <c r="B2389">
        <v>1010100</v>
      </c>
      <c r="C2389">
        <v>1990</v>
      </c>
      <c r="E2389" s="80">
        <v>45832</v>
      </c>
      <c r="F2389">
        <v>3010101</v>
      </c>
      <c r="G2389">
        <v>25201</v>
      </c>
    </row>
    <row r="2390" spans="1:7" x14ac:dyDescent="0.3">
      <c r="A2390" s="80">
        <v>45662</v>
      </c>
      <c r="B2390">
        <v>1010100</v>
      </c>
      <c r="C2390">
        <v>1990</v>
      </c>
      <c r="E2390" s="80">
        <v>45832</v>
      </c>
      <c r="F2390">
        <v>3010101</v>
      </c>
      <c r="G2390">
        <v>25201</v>
      </c>
    </row>
    <row r="2391" spans="1:7" x14ac:dyDescent="0.3">
      <c r="A2391" s="80">
        <v>45662</v>
      </c>
      <c r="B2391">
        <v>1010100</v>
      </c>
      <c r="C2391">
        <v>0</v>
      </c>
      <c r="E2391" s="80">
        <v>45834</v>
      </c>
      <c r="F2391">
        <v>3010101</v>
      </c>
      <c r="G2391">
        <v>25201</v>
      </c>
    </row>
    <row r="2392" spans="1:7" x14ac:dyDescent="0.3">
      <c r="A2392" s="80">
        <v>45662</v>
      </c>
      <c r="B2392">
        <v>1010100</v>
      </c>
      <c r="C2392">
        <v>0</v>
      </c>
      <c r="E2392" s="80">
        <v>45838</v>
      </c>
      <c r="F2392">
        <v>3010101</v>
      </c>
      <c r="G2392">
        <v>25201</v>
      </c>
    </row>
    <row r="2393" spans="1:7" x14ac:dyDescent="0.3">
      <c r="A2393" s="80">
        <v>45662</v>
      </c>
      <c r="B2393">
        <v>1010100</v>
      </c>
      <c r="C2393">
        <v>5990</v>
      </c>
      <c r="E2393" s="80">
        <v>45840</v>
      </c>
      <c r="F2393">
        <v>3010101</v>
      </c>
      <c r="G2393">
        <v>25201</v>
      </c>
    </row>
    <row r="2394" spans="1:7" x14ac:dyDescent="0.3">
      <c r="A2394" s="80">
        <v>45662</v>
      </c>
      <c r="B2394">
        <v>1010100</v>
      </c>
      <c r="C2394">
        <v>3790</v>
      </c>
      <c r="E2394" s="80">
        <v>45840</v>
      </c>
      <c r="F2394">
        <v>3010101</v>
      </c>
      <c r="G2394">
        <v>25201</v>
      </c>
    </row>
    <row r="2395" spans="1:7" x14ac:dyDescent="0.3">
      <c r="A2395" s="80">
        <v>45662</v>
      </c>
      <c r="B2395">
        <v>1010100</v>
      </c>
      <c r="C2395">
        <v>3990</v>
      </c>
      <c r="E2395" s="80">
        <v>45841</v>
      </c>
      <c r="F2395">
        <v>3010101</v>
      </c>
      <c r="G2395">
        <v>25201</v>
      </c>
    </row>
    <row r="2396" spans="1:7" x14ac:dyDescent="0.3">
      <c r="A2396" s="80">
        <v>45661</v>
      </c>
      <c r="B2396">
        <v>1010100</v>
      </c>
      <c r="C2396">
        <v>2590</v>
      </c>
      <c r="E2396" s="80">
        <v>45841</v>
      </c>
      <c r="F2396">
        <v>3010101</v>
      </c>
      <c r="G2396">
        <v>25201</v>
      </c>
    </row>
    <row r="2397" spans="1:7" x14ac:dyDescent="0.3">
      <c r="A2397" s="80">
        <v>45661</v>
      </c>
      <c r="B2397">
        <v>1010100</v>
      </c>
      <c r="C2397">
        <v>1990</v>
      </c>
      <c r="E2397" s="80">
        <v>45830</v>
      </c>
      <c r="F2397">
        <v>3010101</v>
      </c>
      <c r="G2397">
        <v>8394</v>
      </c>
    </row>
    <row r="2398" spans="1:7" x14ac:dyDescent="0.3">
      <c r="A2398" s="80">
        <v>45661</v>
      </c>
      <c r="B2398">
        <v>1010100</v>
      </c>
      <c r="C2398">
        <v>1990</v>
      </c>
      <c r="E2398" s="80">
        <v>45830</v>
      </c>
      <c r="F2398">
        <v>3010101</v>
      </c>
      <c r="G2398">
        <v>8394</v>
      </c>
    </row>
    <row r="2399" spans="1:7" x14ac:dyDescent="0.3">
      <c r="A2399" s="80">
        <v>45661</v>
      </c>
      <c r="B2399">
        <v>1010100</v>
      </c>
      <c r="C2399">
        <v>1990</v>
      </c>
      <c r="E2399" s="80">
        <v>45830</v>
      </c>
      <c r="F2399">
        <v>3010101</v>
      </c>
      <c r="G2399">
        <v>27722</v>
      </c>
    </row>
    <row r="2400" spans="1:7" x14ac:dyDescent="0.3">
      <c r="A2400" s="80">
        <v>45661</v>
      </c>
      <c r="B2400">
        <v>1010100</v>
      </c>
      <c r="C2400">
        <v>4390</v>
      </c>
      <c r="E2400" s="80">
        <v>45830</v>
      </c>
      <c r="F2400">
        <v>3010101</v>
      </c>
      <c r="G2400">
        <v>27722</v>
      </c>
    </row>
    <row r="2401" spans="1:7" x14ac:dyDescent="0.3">
      <c r="A2401" s="80">
        <v>45661</v>
      </c>
      <c r="B2401">
        <v>1010100</v>
      </c>
      <c r="C2401">
        <v>5990</v>
      </c>
      <c r="E2401" s="80">
        <v>45832</v>
      </c>
      <c r="F2401">
        <v>3010101</v>
      </c>
      <c r="G2401">
        <v>27722</v>
      </c>
    </row>
    <row r="2402" spans="1:7" x14ac:dyDescent="0.3">
      <c r="A2402" s="80">
        <v>45661</v>
      </c>
      <c r="B2402">
        <v>1010100</v>
      </c>
      <c r="C2402">
        <v>1990</v>
      </c>
      <c r="E2402" s="80">
        <v>45832</v>
      </c>
      <c r="F2402">
        <v>3010101</v>
      </c>
      <c r="G2402">
        <v>55445</v>
      </c>
    </row>
    <row r="2403" spans="1:7" x14ac:dyDescent="0.3">
      <c r="A2403" s="80">
        <v>45661</v>
      </c>
      <c r="B2403">
        <v>1010100</v>
      </c>
      <c r="C2403">
        <v>1990</v>
      </c>
      <c r="E2403" s="80">
        <v>45834</v>
      </c>
      <c r="F2403">
        <v>3010101</v>
      </c>
      <c r="G2403">
        <v>25201</v>
      </c>
    </row>
    <row r="2404" spans="1:7" x14ac:dyDescent="0.3">
      <c r="A2404" s="80">
        <v>45661</v>
      </c>
      <c r="B2404">
        <v>1010100</v>
      </c>
      <c r="C2404">
        <v>4990</v>
      </c>
      <c r="E2404" s="80">
        <v>45834</v>
      </c>
      <c r="F2404">
        <v>3010101</v>
      </c>
      <c r="G2404">
        <v>25201</v>
      </c>
    </row>
    <row r="2405" spans="1:7" x14ac:dyDescent="0.3">
      <c r="A2405" s="80">
        <v>45661</v>
      </c>
      <c r="B2405">
        <v>1010100</v>
      </c>
      <c r="C2405">
        <v>0</v>
      </c>
      <c r="E2405" s="80">
        <v>45835</v>
      </c>
      <c r="F2405">
        <v>3010101</v>
      </c>
      <c r="G2405">
        <v>25201</v>
      </c>
    </row>
    <row r="2406" spans="1:7" x14ac:dyDescent="0.3">
      <c r="A2406" s="80">
        <v>45661</v>
      </c>
      <c r="B2406">
        <v>1010100</v>
      </c>
      <c r="C2406">
        <v>3590</v>
      </c>
      <c r="E2406" s="80">
        <v>45835</v>
      </c>
      <c r="F2406">
        <v>3010101</v>
      </c>
      <c r="G2406">
        <v>8394</v>
      </c>
    </row>
    <row r="2407" spans="1:7" x14ac:dyDescent="0.3">
      <c r="A2407" s="80">
        <v>45661</v>
      </c>
      <c r="B2407">
        <v>1010100</v>
      </c>
      <c r="C2407">
        <v>0</v>
      </c>
      <c r="E2407" s="80">
        <v>45836</v>
      </c>
      <c r="F2407">
        <v>3010101</v>
      </c>
      <c r="G2407">
        <v>25201</v>
      </c>
    </row>
    <row r="2408" spans="1:7" x14ac:dyDescent="0.3">
      <c r="A2408" s="80">
        <v>45661</v>
      </c>
      <c r="B2408">
        <v>1010100</v>
      </c>
      <c r="C2408">
        <v>0</v>
      </c>
      <c r="E2408" s="80">
        <v>45837</v>
      </c>
      <c r="F2408">
        <v>3010101</v>
      </c>
      <c r="G2408">
        <v>25201</v>
      </c>
    </row>
    <row r="2409" spans="1:7" x14ac:dyDescent="0.3">
      <c r="A2409" s="80">
        <v>45661</v>
      </c>
      <c r="B2409">
        <v>1010100</v>
      </c>
      <c r="C2409">
        <v>5990</v>
      </c>
      <c r="E2409" s="80">
        <v>45837</v>
      </c>
      <c r="F2409">
        <v>3010101</v>
      </c>
      <c r="G2409">
        <v>25201</v>
      </c>
    </row>
    <row r="2410" spans="1:7" x14ac:dyDescent="0.3">
      <c r="A2410" s="80">
        <v>45661</v>
      </c>
      <c r="B2410">
        <v>1010100</v>
      </c>
      <c r="C2410">
        <v>3790</v>
      </c>
      <c r="E2410" s="80">
        <v>45838</v>
      </c>
      <c r="F2410">
        <v>3010101</v>
      </c>
      <c r="G2410">
        <v>25201</v>
      </c>
    </row>
    <row r="2411" spans="1:7" x14ac:dyDescent="0.3">
      <c r="A2411" s="80">
        <v>45661</v>
      </c>
      <c r="B2411">
        <v>1010100</v>
      </c>
      <c r="C2411">
        <v>1990</v>
      </c>
      <c r="E2411" s="80">
        <v>45838</v>
      </c>
      <c r="F2411">
        <v>3010101</v>
      </c>
      <c r="G2411">
        <v>25201</v>
      </c>
    </row>
    <row r="2412" spans="1:7" x14ac:dyDescent="0.3">
      <c r="A2412" s="80">
        <v>45661</v>
      </c>
      <c r="B2412">
        <v>1010100</v>
      </c>
      <c r="C2412">
        <v>0</v>
      </c>
      <c r="E2412" s="80">
        <v>45839</v>
      </c>
      <c r="F2412">
        <v>3010101</v>
      </c>
      <c r="G2412">
        <v>25201</v>
      </c>
    </row>
    <row r="2413" spans="1:7" x14ac:dyDescent="0.3">
      <c r="A2413" s="80">
        <v>45661</v>
      </c>
      <c r="B2413">
        <v>1010100</v>
      </c>
      <c r="C2413">
        <v>1990</v>
      </c>
      <c r="E2413" s="80">
        <v>45839</v>
      </c>
      <c r="F2413">
        <v>3010101</v>
      </c>
      <c r="G2413">
        <v>25201</v>
      </c>
    </row>
    <row r="2414" spans="1:7" x14ac:dyDescent="0.3">
      <c r="A2414" s="80">
        <v>45661</v>
      </c>
      <c r="B2414">
        <v>1010100</v>
      </c>
      <c r="C2414">
        <v>1990</v>
      </c>
      <c r="E2414" s="80">
        <v>45840</v>
      </c>
      <c r="F2414">
        <v>3010101</v>
      </c>
      <c r="G2414">
        <v>25201</v>
      </c>
    </row>
    <row r="2415" spans="1:7" x14ac:dyDescent="0.3">
      <c r="A2415" s="80">
        <v>45660</v>
      </c>
      <c r="B2415">
        <v>1010100</v>
      </c>
      <c r="C2415">
        <v>4190</v>
      </c>
      <c r="E2415" s="80">
        <v>45840</v>
      </c>
      <c r="F2415">
        <v>3010101</v>
      </c>
      <c r="G2415">
        <v>25201</v>
      </c>
    </row>
    <row r="2416" spans="1:7" x14ac:dyDescent="0.3">
      <c r="A2416" s="80">
        <v>45660</v>
      </c>
      <c r="B2416">
        <v>1010100</v>
      </c>
      <c r="C2416">
        <v>3590</v>
      </c>
      <c r="E2416" s="80">
        <v>45841</v>
      </c>
      <c r="F2416">
        <v>3010101</v>
      </c>
      <c r="G2416">
        <v>25201</v>
      </c>
    </row>
    <row r="2417" spans="1:7" x14ac:dyDescent="0.3">
      <c r="A2417" s="80">
        <v>45660</v>
      </c>
      <c r="B2417">
        <v>1010100</v>
      </c>
      <c r="C2417">
        <v>3990</v>
      </c>
      <c r="E2417" s="80">
        <v>45841</v>
      </c>
      <c r="F2417">
        <v>3010101</v>
      </c>
      <c r="G2417">
        <v>25201</v>
      </c>
    </row>
    <row r="2418" spans="1:7" x14ac:dyDescent="0.3">
      <c r="A2418" s="80">
        <v>45660</v>
      </c>
      <c r="B2418">
        <v>1010100</v>
      </c>
      <c r="C2418">
        <v>1990</v>
      </c>
      <c r="E2418" s="80">
        <v>45842</v>
      </c>
      <c r="F2418">
        <v>3010101</v>
      </c>
      <c r="G2418">
        <v>8394</v>
      </c>
    </row>
    <row r="2419" spans="1:7" x14ac:dyDescent="0.3">
      <c r="A2419" s="80">
        <v>45660</v>
      </c>
      <c r="B2419">
        <v>1010100</v>
      </c>
      <c r="C2419">
        <v>3590</v>
      </c>
      <c r="E2419" s="80">
        <v>45842</v>
      </c>
      <c r="F2419">
        <v>3010101</v>
      </c>
      <c r="G2419">
        <v>25201</v>
      </c>
    </row>
    <row r="2420" spans="1:7" x14ac:dyDescent="0.3">
      <c r="A2420" s="80">
        <v>45660</v>
      </c>
      <c r="B2420">
        <v>1010100</v>
      </c>
      <c r="C2420">
        <v>1990</v>
      </c>
      <c r="E2420" s="80">
        <v>45844</v>
      </c>
      <c r="F2420">
        <v>3010101</v>
      </c>
      <c r="G2420">
        <v>25201</v>
      </c>
    </row>
    <row r="2421" spans="1:7" x14ac:dyDescent="0.3">
      <c r="A2421" s="80">
        <v>45660</v>
      </c>
      <c r="B2421">
        <v>1010100</v>
      </c>
      <c r="C2421">
        <v>1990</v>
      </c>
      <c r="E2421" s="80">
        <v>45844</v>
      </c>
      <c r="F2421">
        <v>3010101</v>
      </c>
      <c r="G2421">
        <v>25201</v>
      </c>
    </row>
    <row r="2422" spans="1:7" x14ac:dyDescent="0.3">
      <c r="A2422" s="80">
        <v>45660</v>
      </c>
      <c r="B2422">
        <v>1010100</v>
      </c>
      <c r="C2422">
        <v>3590</v>
      </c>
      <c r="E2422" s="80">
        <v>45828</v>
      </c>
      <c r="F2422">
        <v>2011310</v>
      </c>
      <c r="G2422">
        <v>4788.32</v>
      </c>
    </row>
    <row r="2423" spans="1:7" x14ac:dyDescent="0.3">
      <c r="A2423" s="80">
        <v>45660</v>
      </c>
      <c r="B2423">
        <v>1010100</v>
      </c>
      <c r="C2423">
        <v>1990</v>
      </c>
      <c r="E2423" s="80">
        <v>45827</v>
      </c>
      <c r="F2423">
        <v>2011310</v>
      </c>
      <c r="G2423">
        <v>5267.31</v>
      </c>
    </row>
    <row r="2424" spans="1:7" x14ac:dyDescent="0.3">
      <c r="A2424" s="80">
        <v>45660</v>
      </c>
      <c r="B2424">
        <v>1010100</v>
      </c>
      <c r="C2424">
        <v>3990</v>
      </c>
      <c r="E2424" s="80">
        <v>45827</v>
      </c>
      <c r="F2424">
        <v>2011310</v>
      </c>
      <c r="G2424">
        <v>5824.31</v>
      </c>
    </row>
    <row r="2425" spans="1:7" x14ac:dyDescent="0.3">
      <c r="A2425" s="80">
        <v>45660</v>
      </c>
      <c r="B2425">
        <v>1010100</v>
      </c>
      <c r="C2425">
        <v>1990</v>
      </c>
      <c r="E2425" s="80">
        <v>45826</v>
      </c>
      <c r="F2425">
        <v>2011310</v>
      </c>
      <c r="G2425">
        <v>4788.32</v>
      </c>
    </row>
    <row r="2426" spans="1:7" x14ac:dyDescent="0.3">
      <c r="A2426" s="80">
        <v>45660</v>
      </c>
      <c r="B2426">
        <v>1010100</v>
      </c>
      <c r="C2426">
        <v>0</v>
      </c>
      <c r="E2426" s="80">
        <v>45826</v>
      </c>
      <c r="F2426">
        <v>2011310</v>
      </c>
      <c r="G2426">
        <v>4788.32</v>
      </c>
    </row>
    <row r="2427" spans="1:7" x14ac:dyDescent="0.3">
      <c r="A2427" s="80">
        <v>45660</v>
      </c>
      <c r="B2427">
        <v>1010100</v>
      </c>
      <c r="C2427">
        <v>4190</v>
      </c>
      <c r="E2427" s="80">
        <v>45826</v>
      </c>
      <c r="F2427">
        <v>2011310</v>
      </c>
      <c r="G2427">
        <v>4788.32</v>
      </c>
    </row>
    <row r="2428" spans="1:7" x14ac:dyDescent="0.3">
      <c r="A2428" s="80">
        <v>45660</v>
      </c>
      <c r="B2428">
        <v>1010100</v>
      </c>
      <c r="C2428">
        <v>5990</v>
      </c>
      <c r="E2428" s="80">
        <v>45825</v>
      </c>
      <c r="F2428">
        <v>2011310</v>
      </c>
      <c r="G2428">
        <v>5267.31</v>
      </c>
    </row>
    <row r="2429" spans="1:7" x14ac:dyDescent="0.3">
      <c r="A2429" s="80">
        <v>45660</v>
      </c>
      <c r="B2429">
        <v>1010100</v>
      </c>
      <c r="C2429">
        <v>1990</v>
      </c>
      <c r="E2429" s="80">
        <v>45825</v>
      </c>
      <c r="F2429">
        <v>2011310</v>
      </c>
      <c r="G2429">
        <v>797.52</v>
      </c>
    </row>
    <row r="2430" spans="1:7" x14ac:dyDescent="0.3">
      <c r="A2430" s="80">
        <v>45660</v>
      </c>
      <c r="B2430">
        <v>1010100</v>
      </c>
      <c r="C2430">
        <v>0</v>
      </c>
      <c r="E2430" s="80">
        <v>45825</v>
      </c>
      <c r="F2430">
        <v>2011310</v>
      </c>
      <c r="G2430">
        <v>4788.32</v>
      </c>
    </row>
    <row r="2431" spans="1:7" x14ac:dyDescent="0.3">
      <c r="A2431" s="80">
        <v>45660</v>
      </c>
      <c r="B2431">
        <v>1010100</v>
      </c>
      <c r="C2431">
        <v>0</v>
      </c>
      <c r="E2431" s="80">
        <v>45825</v>
      </c>
      <c r="F2431">
        <v>2011310</v>
      </c>
      <c r="G2431">
        <v>5553.31</v>
      </c>
    </row>
    <row r="2432" spans="1:7" x14ac:dyDescent="0.3">
      <c r="A2432" s="80">
        <v>45659</v>
      </c>
      <c r="B2432">
        <v>1010100</v>
      </c>
      <c r="C2432">
        <v>1990</v>
      </c>
      <c r="E2432" s="80">
        <v>45824</v>
      </c>
      <c r="F2432">
        <v>2011310</v>
      </c>
      <c r="G2432">
        <v>4788.32</v>
      </c>
    </row>
    <row r="2433" spans="1:7" x14ac:dyDescent="0.3">
      <c r="A2433" s="80">
        <v>45659</v>
      </c>
      <c r="B2433">
        <v>1010100</v>
      </c>
      <c r="C2433">
        <v>3590</v>
      </c>
      <c r="E2433" s="80">
        <v>45824</v>
      </c>
      <c r="F2433">
        <v>2011310</v>
      </c>
      <c r="G2433">
        <v>5553.31</v>
      </c>
    </row>
    <row r="2434" spans="1:7" x14ac:dyDescent="0.3">
      <c r="A2434" s="80">
        <v>45659</v>
      </c>
      <c r="B2434">
        <v>1010100</v>
      </c>
      <c r="C2434">
        <v>4790</v>
      </c>
      <c r="E2434" s="80">
        <v>45823</v>
      </c>
      <c r="F2434">
        <v>2011310</v>
      </c>
      <c r="G2434">
        <v>5553.31</v>
      </c>
    </row>
    <row r="2435" spans="1:7" x14ac:dyDescent="0.3">
      <c r="A2435" s="80">
        <v>45659</v>
      </c>
      <c r="B2435">
        <v>1010100</v>
      </c>
      <c r="C2435">
        <v>3790</v>
      </c>
      <c r="E2435" s="80">
        <v>45823</v>
      </c>
      <c r="F2435">
        <v>2011310</v>
      </c>
      <c r="G2435">
        <v>3687.12</v>
      </c>
    </row>
    <row r="2436" spans="1:7" x14ac:dyDescent="0.3">
      <c r="A2436" s="80">
        <v>45659</v>
      </c>
      <c r="B2436">
        <v>1010100</v>
      </c>
      <c r="C2436">
        <v>1990</v>
      </c>
      <c r="E2436" s="80">
        <v>45823</v>
      </c>
      <c r="F2436">
        <v>2011310</v>
      </c>
      <c r="G2436">
        <v>3687.12</v>
      </c>
    </row>
    <row r="2437" spans="1:7" x14ac:dyDescent="0.3">
      <c r="A2437" s="80">
        <v>45659</v>
      </c>
      <c r="B2437">
        <v>1010100</v>
      </c>
      <c r="C2437">
        <v>3590</v>
      </c>
      <c r="E2437" s="80">
        <v>45823</v>
      </c>
      <c r="F2437">
        <v>2011310</v>
      </c>
      <c r="G2437">
        <v>5553.31</v>
      </c>
    </row>
    <row r="2438" spans="1:7" x14ac:dyDescent="0.3">
      <c r="A2438" s="80">
        <v>45659</v>
      </c>
      <c r="B2438">
        <v>1010100</v>
      </c>
      <c r="C2438">
        <v>4990</v>
      </c>
      <c r="E2438" s="80">
        <v>45822</v>
      </c>
      <c r="F2438">
        <v>2011310</v>
      </c>
      <c r="G2438">
        <v>5712.31</v>
      </c>
    </row>
    <row r="2439" spans="1:7" x14ac:dyDescent="0.3">
      <c r="A2439" s="80">
        <v>45659</v>
      </c>
      <c r="B2439">
        <v>1010100</v>
      </c>
      <c r="C2439">
        <v>0</v>
      </c>
      <c r="E2439" s="80">
        <v>45822</v>
      </c>
      <c r="F2439">
        <v>2011310</v>
      </c>
      <c r="G2439">
        <v>5553.31</v>
      </c>
    </row>
    <row r="2440" spans="1:7" x14ac:dyDescent="0.3">
      <c r="A2440" s="80">
        <v>45659</v>
      </c>
      <c r="B2440">
        <v>1010100</v>
      </c>
      <c r="C2440">
        <v>0</v>
      </c>
      <c r="E2440" s="80">
        <v>45822</v>
      </c>
      <c r="F2440">
        <v>2011310</v>
      </c>
      <c r="G2440">
        <v>4788.32</v>
      </c>
    </row>
    <row r="2441" spans="1:7" x14ac:dyDescent="0.3">
      <c r="A2441" s="80">
        <v>45659</v>
      </c>
      <c r="B2441">
        <v>1010100</v>
      </c>
      <c r="C2441">
        <v>0</v>
      </c>
      <c r="E2441" s="80">
        <v>45820</v>
      </c>
      <c r="F2441">
        <v>2011310</v>
      </c>
      <c r="G2441">
        <v>4788.32</v>
      </c>
    </row>
    <row r="2442" spans="1:7" x14ac:dyDescent="0.3">
      <c r="A2442" s="80">
        <v>45659</v>
      </c>
      <c r="B2442">
        <v>1010100</v>
      </c>
      <c r="C2442">
        <v>3790</v>
      </c>
      <c r="E2442" s="80">
        <v>45819</v>
      </c>
      <c r="F2442">
        <v>2011310</v>
      </c>
      <c r="G2442">
        <v>5553.31</v>
      </c>
    </row>
    <row r="2443" spans="1:7" x14ac:dyDescent="0.3">
      <c r="A2443" s="80">
        <v>45659</v>
      </c>
      <c r="B2443">
        <v>1010100</v>
      </c>
      <c r="C2443">
        <v>0</v>
      </c>
      <c r="E2443" s="80">
        <v>45819</v>
      </c>
      <c r="F2443">
        <v>2011310</v>
      </c>
      <c r="G2443">
        <v>5267.31</v>
      </c>
    </row>
    <row r="2444" spans="1:7" x14ac:dyDescent="0.3">
      <c r="A2444" s="80">
        <v>45659</v>
      </c>
      <c r="B2444">
        <v>1010100</v>
      </c>
      <c r="C2444">
        <v>1990</v>
      </c>
      <c r="E2444" s="80">
        <v>45819</v>
      </c>
      <c r="F2444">
        <v>2011310</v>
      </c>
      <c r="G2444">
        <v>1595.04</v>
      </c>
    </row>
    <row r="2445" spans="1:7" x14ac:dyDescent="0.3">
      <c r="A2445" s="80">
        <v>45659</v>
      </c>
      <c r="B2445">
        <v>1010100</v>
      </c>
      <c r="C2445">
        <v>3790</v>
      </c>
      <c r="E2445" s="80">
        <v>45819</v>
      </c>
      <c r="F2445">
        <v>2011310</v>
      </c>
      <c r="G2445">
        <v>4788.32</v>
      </c>
    </row>
    <row r="2446" spans="1:7" x14ac:dyDescent="0.3">
      <c r="A2446" s="80">
        <v>45659</v>
      </c>
      <c r="B2446">
        <v>1010100</v>
      </c>
      <c r="C2446">
        <v>0</v>
      </c>
      <c r="E2446" s="80">
        <v>45818</v>
      </c>
      <c r="F2446">
        <v>2011310</v>
      </c>
      <c r="G2446">
        <v>5553.31</v>
      </c>
    </row>
    <row r="2447" spans="1:7" x14ac:dyDescent="0.3">
      <c r="A2447" s="80">
        <v>45659</v>
      </c>
      <c r="B2447">
        <v>1010100</v>
      </c>
      <c r="C2447">
        <v>0</v>
      </c>
      <c r="E2447" s="80">
        <v>45818</v>
      </c>
      <c r="F2447">
        <v>2011310</v>
      </c>
      <c r="G2447">
        <v>5553.31</v>
      </c>
    </row>
    <row r="2448" spans="1:7" x14ac:dyDescent="0.3">
      <c r="A2448" s="80">
        <v>45659</v>
      </c>
      <c r="B2448">
        <v>1010100</v>
      </c>
      <c r="C2448">
        <v>0</v>
      </c>
      <c r="E2448" s="80">
        <v>45818</v>
      </c>
      <c r="F2448">
        <v>2011310</v>
      </c>
      <c r="G2448">
        <v>5553.31</v>
      </c>
    </row>
    <row r="2449" spans="1:7" x14ac:dyDescent="0.3">
      <c r="A2449" s="80">
        <v>45659</v>
      </c>
      <c r="B2449">
        <v>1010100</v>
      </c>
      <c r="C2449">
        <v>1990</v>
      </c>
      <c r="E2449" s="80">
        <v>45818</v>
      </c>
      <c r="F2449">
        <v>2011310</v>
      </c>
      <c r="G2449">
        <v>4788.32</v>
      </c>
    </row>
    <row r="2450" spans="1:7" x14ac:dyDescent="0.3">
      <c r="A2450" s="80">
        <v>45659</v>
      </c>
      <c r="B2450">
        <v>1010100</v>
      </c>
      <c r="C2450">
        <v>0</v>
      </c>
      <c r="E2450" s="80">
        <v>45817</v>
      </c>
      <c r="F2450">
        <v>2011310</v>
      </c>
      <c r="G2450">
        <v>4788.32</v>
      </c>
    </row>
    <row r="2451" spans="1:7" x14ac:dyDescent="0.3">
      <c r="A2451" s="80">
        <v>45659</v>
      </c>
      <c r="B2451">
        <v>1010100</v>
      </c>
      <c r="C2451">
        <v>0</v>
      </c>
      <c r="E2451" s="80">
        <v>45817</v>
      </c>
      <c r="F2451">
        <v>2011310</v>
      </c>
      <c r="G2451">
        <v>4788.32</v>
      </c>
    </row>
    <row r="2452" spans="1:7" x14ac:dyDescent="0.3">
      <c r="A2452" s="80">
        <v>45659</v>
      </c>
      <c r="B2452">
        <v>1010100</v>
      </c>
      <c r="C2452">
        <v>1990</v>
      </c>
      <c r="E2452" s="80">
        <v>45817</v>
      </c>
      <c r="F2452">
        <v>2011310</v>
      </c>
      <c r="G2452">
        <v>4788.32</v>
      </c>
    </row>
    <row r="2453" spans="1:7" x14ac:dyDescent="0.3">
      <c r="A2453" s="80">
        <v>45659</v>
      </c>
      <c r="B2453">
        <v>1010100</v>
      </c>
      <c r="C2453">
        <v>0</v>
      </c>
      <c r="E2453" s="80">
        <v>45817</v>
      </c>
      <c r="F2453">
        <v>2011310</v>
      </c>
      <c r="G2453">
        <v>5553.31</v>
      </c>
    </row>
    <row r="2454" spans="1:7" x14ac:dyDescent="0.3">
      <c r="A2454" s="80">
        <v>45659</v>
      </c>
      <c r="B2454">
        <v>1010100</v>
      </c>
      <c r="C2454">
        <v>0</v>
      </c>
      <c r="E2454" s="80">
        <v>45817</v>
      </c>
      <c r="F2454">
        <v>2011310</v>
      </c>
      <c r="G2454">
        <v>5553.31</v>
      </c>
    </row>
    <row r="2455" spans="1:7" x14ac:dyDescent="0.3">
      <c r="A2455" s="80">
        <v>45658</v>
      </c>
      <c r="B2455">
        <v>1010100</v>
      </c>
      <c r="C2455">
        <v>0</v>
      </c>
      <c r="E2455" s="80">
        <v>45816</v>
      </c>
      <c r="F2455">
        <v>2011310</v>
      </c>
      <c r="G2455">
        <v>4788.32</v>
      </c>
    </row>
    <row r="2456" spans="1:7" x14ac:dyDescent="0.3">
      <c r="A2456" s="80">
        <v>45658</v>
      </c>
      <c r="B2456">
        <v>1010100</v>
      </c>
      <c r="C2456">
        <v>0</v>
      </c>
      <c r="E2456" s="80">
        <v>45816</v>
      </c>
      <c r="F2456">
        <v>2011310</v>
      </c>
      <c r="G2456">
        <v>5665.31</v>
      </c>
    </row>
    <row r="2457" spans="1:7" x14ac:dyDescent="0.3">
      <c r="A2457" s="80">
        <v>45658</v>
      </c>
      <c r="B2457">
        <v>1010100</v>
      </c>
      <c r="C2457">
        <v>4190</v>
      </c>
      <c r="E2457" s="80">
        <v>45816</v>
      </c>
      <c r="F2457">
        <v>2011310</v>
      </c>
      <c r="G2457">
        <v>1881.04</v>
      </c>
    </row>
    <row r="2458" spans="1:7" x14ac:dyDescent="0.3">
      <c r="A2458" s="80">
        <v>45658</v>
      </c>
      <c r="B2458">
        <v>1010100</v>
      </c>
      <c r="C2458">
        <v>1990</v>
      </c>
      <c r="E2458" s="80">
        <v>45816</v>
      </c>
      <c r="F2458">
        <v>2011310</v>
      </c>
      <c r="G2458">
        <v>5553.31</v>
      </c>
    </row>
    <row r="2459" spans="1:7" x14ac:dyDescent="0.3">
      <c r="A2459" s="80">
        <v>45658</v>
      </c>
      <c r="B2459">
        <v>1010100</v>
      </c>
      <c r="C2459">
        <v>1990</v>
      </c>
      <c r="E2459" s="80">
        <v>45815</v>
      </c>
      <c r="F2459">
        <v>2011310</v>
      </c>
      <c r="G2459">
        <v>5553.31</v>
      </c>
    </row>
    <row r="2460" spans="1:7" x14ac:dyDescent="0.3">
      <c r="A2460" s="80">
        <v>45658</v>
      </c>
      <c r="B2460">
        <v>1010100</v>
      </c>
      <c r="C2460">
        <v>0</v>
      </c>
      <c r="E2460" s="80">
        <v>45814</v>
      </c>
      <c r="F2460">
        <v>2011310</v>
      </c>
      <c r="G2460">
        <v>4132.12</v>
      </c>
    </row>
    <row r="2461" spans="1:7" x14ac:dyDescent="0.3">
      <c r="A2461" s="80">
        <v>45658</v>
      </c>
      <c r="B2461">
        <v>1010100</v>
      </c>
      <c r="C2461">
        <v>0</v>
      </c>
      <c r="E2461" s="80">
        <v>45814</v>
      </c>
      <c r="F2461">
        <v>2011310</v>
      </c>
      <c r="G2461">
        <v>5553.31</v>
      </c>
    </row>
    <row r="2462" spans="1:7" x14ac:dyDescent="0.3">
      <c r="A2462" s="80">
        <v>45658</v>
      </c>
      <c r="B2462">
        <v>1010100</v>
      </c>
      <c r="C2462">
        <v>1990</v>
      </c>
      <c r="E2462" s="80">
        <v>45814</v>
      </c>
      <c r="F2462">
        <v>2011310</v>
      </c>
      <c r="G2462">
        <v>4788.32</v>
      </c>
    </row>
    <row r="2463" spans="1:7" x14ac:dyDescent="0.3">
      <c r="A2463" s="80">
        <v>45658</v>
      </c>
      <c r="B2463">
        <v>1010100</v>
      </c>
      <c r="C2463">
        <v>1990</v>
      </c>
      <c r="E2463" s="80">
        <v>45814</v>
      </c>
      <c r="F2463">
        <v>2011310</v>
      </c>
      <c r="G2463">
        <v>8362.24</v>
      </c>
    </row>
    <row r="2464" spans="1:7" x14ac:dyDescent="0.3">
      <c r="A2464" s="80">
        <v>45658</v>
      </c>
      <c r="B2464">
        <v>1010100</v>
      </c>
      <c r="C2464">
        <v>1990</v>
      </c>
      <c r="E2464" s="80">
        <v>45813</v>
      </c>
      <c r="F2464">
        <v>2011310</v>
      </c>
      <c r="G2464">
        <v>4069.12</v>
      </c>
    </row>
    <row r="2465" spans="1:7" x14ac:dyDescent="0.3">
      <c r="A2465" s="80">
        <v>45658</v>
      </c>
      <c r="B2465">
        <v>1010100</v>
      </c>
      <c r="C2465">
        <v>4190</v>
      </c>
      <c r="E2465" s="80">
        <v>45813</v>
      </c>
      <c r="F2465">
        <v>2011310</v>
      </c>
      <c r="G2465">
        <v>3973.12</v>
      </c>
    </row>
    <row r="2466" spans="1:7" x14ac:dyDescent="0.3">
      <c r="A2466" s="80">
        <v>45658</v>
      </c>
      <c r="B2466">
        <v>1010100</v>
      </c>
      <c r="C2466">
        <v>1990</v>
      </c>
      <c r="E2466" s="80">
        <v>45813</v>
      </c>
      <c r="F2466">
        <v>2011310</v>
      </c>
      <c r="G2466">
        <v>3687.12</v>
      </c>
    </row>
    <row r="2467" spans="1:7" x14ac:dyDescent="0.3">
      <c r="A2467" s="80">
        <v>45658</v>
      </c>
      <c r="B2467">
        <v>1010100</v>
      </c>
      <c r="C2467">
        <v>1990</v>
      </c>
      <c r="E2467" s="80">
        <v>45813</v>
      </c>
      <c r="F2467">
        <v>2011310</v>
      </c>
      <c r="G2467">
        <v>1114.8900000000001</v>
      </c>
    </row>
    <row r="2468" spans="1:7" x14ac:dyDescent="0.3">
      <c r="A2468" s="80">
        <v>45658</v>
      </c>
      <c r="B2468">
        <v>1010100</v>
      </c>
      <c r="C2468">
        <v>1990</v>
      </c>
      <c r="E2468" s="80">
        <v>45813</v>
      </c>
      <c r="F2468">
        <v>2011310</v>
      </c>
      <c r="G2468">
        <v>716.89</v>
      </c>
    </row>
    <row r="2469" spans="1:7" x14ac:dyDescent="0.3">
      <c r="A2469" s="80">
        <v>45658</v>
      </c>
      <c r="B2469">
        <v>1010100</v>
      </c>
      <c r="C2469">
        <v>4690</v>
      </c>
      <c r="E2469" s="80">
        <v>45813</v>
      </c>
      <c r="F2469">
        <v>2011310</v>
      </c>
      <c r="G2469">
        <v>3973.12</v>
      </c>
    </row>
    <row r="2470" spans="1:7" x14ac:dyDescent="0.3">
      <c r="A2470" s="80">
        <v>45838</v>
      </c>
      <c r="B2470">
        <v>1010100</v>
      </c>
      <c r="C2470">
        <v>0</v>
      </c>
      <c r="E2470" s="80">
        <v>45813</v>
      </c>
      <c r="F2470">
        <v>2011310</v>
      </c>
      <c r="G2470">
        <v>4788.32</v>
      </c>
    </row>
    <row r="2471" spans="1:7" x14ac:dyDescent="0.3">
      <c r="A2471" s="80">
        <v>45844</v>
      </c>
      <c r="B2471">
        <v>1010100</v>
      </c>
      <c r="C2471">
        <v>4490</v>
      </c>
      <c r="E2471" s="80">
        <v>45813</v>
      </c>
      <c r="F2471">
        <v>2011310</v>
      </c>
      <c r="G2471">
        <v>8921.93</v>
      </c>
    </row>
    <row r="2472" spans="1:7" x14ac:dyDescent="0.3">
      <c r="A2472" s="80">
        <v>45835</v>
      </c>
      <c r="B2472">
        <v>1010100</v>
      </c>
      <c r="C2472">
        <v>3990</v>
      </c>
      <c r="E2472" s="80">
        <v>45813</v>
      </c>
      <c r="F2472">
        <v>2011310</v>
      </c>
      <c r="G2472">
        <v>4085.12</v>
      </c>
    </row>
    <row r="2473" spans="1:7" x14ac:dyDescent="0.3">
      <c r="A2473" s="80">
        <v>45844</v>
      </c>
      <c r="B2473">
        <v>1010100</v>
      </c>
      <c r="C2473">
        <v>0</v>
      </c>
      <c r="E2473" s="80">
        <v>45813</v>
      </c>
      <c r="F2473">
        <v>2011310</v>
      </c>
      <c r="G2473">
        <v>3973.12</v>
      </c>
    </row>
    <row r="2474" spans="1:7" x14ac:dyDescent="0.3">
      <c r="A2474" s="80">
        <v>45841</v>
      </c>
      <c r="B2474">
        <v>1010100</v>
      </c>
      <c r="C2474">
        <v>0</v>
      </c>
      <c r="E2474" s="80">
        <v>45813</v>
      </c>
      <c r="F2474">
        <v>2011310</v>
      </c>
      <c r="G2474">
        <v>4069.12</v>
      </c>
    </row>
    <row r="2475" spans="1:7" x14ac:dyDescent="0.3">
      <c r="A2475" s="80">
        <v>45833</v>
      </c>
      <c r="B2475">
        <v>1010100</v>
      </c>
      <c r="C2475">
        <v>0</v>
      </c>
      <c r="E2475" s="80">
        <v>45813</v>
      </c>
      <c r="F2475">
        <v>2011310</v>
      </c>
      <c r="G2475">
        <v>3687.12</v>
      </c>
    </row>
    <row r="2476" spans="1:7" x14ac:dyDescent="0.3">
      <c r="A2476" s="80">
        <v>45833</v>
      </c>
      <c r="B2476">
        <v>1010100</v>
      </c>
      <c r="C2476">
        <v>0</v>
      </c>
      <c r="E2476" s="80">
        <v>45813</v>
      </c>
      <c r="F2476">
        <v>2011310</v>
      </c>
      <c r="G2476">
        <v>4037.12</v>
      </c>
    </row>
    <row r="2477" spans="1:7" x14ac:dyDescent="0.3">
      <c r="A2477" s="80">
        <v>45833</v>
      </c>
      <c r="B2477">
        <v>1010100</v>
      </c>
      <c r="C2477">
        <v>0</v>
      </c>
      <c r="E2477" s="80">
        <v>45813</v>
      </c>
      <c r="F2477">
        <v>2011310</v>
      </c>
      <c r="G2477">
        <v>4388.12</v>
      </c>
    </row>
    <row r="2478" spans="1:7" x14ac:dyDescent="0.3">
      <c r="A2478" s="80">
        <v>45838</v>
      </c>
      <c r="B2478">
        <v>1010100</v>
      </c>
      <c r="C2478">
        <v>0</v>
      </c>
      <c r="E2478" s="80">
        <v>45812</v>
      </c>
      <c r="F2478">
        <v>2011310</v>
      </c>
      <c r="G2478">
        <v>3973.12</v>
      </c>
    </row>
    <row r="2479" spans="1:7" x14ac:dyDescent="0.3">
      <c r="A2479" s="80">
        <v>45828</v>
      </c>
      <c r="B2479">
        <v>1010100</v>
      </c>
      <c r="C2479">
        <v>0</v>
      </c>
      <c r="E2479" s="80">
        <v>45812</v>
      </c>
      <c r="F2479">
        <v>2011310</v>
      </c>
      <c r="G2479">
        <v>3973.12</v>
      </c>
    </row>
    <row r="2480" spans="1:7" x14ac:dyDescent="0.3">
      <c r="A2480" s="80">
        <v>45828</v>
      </c>
      <c r="B2480">
        <v>1010100</v>
      </c>
      <c r="C2480">
        <v>0</v>
      </c>
      <c r="E2480" s="80">
        <v>45812</v>
      </c>
      <c r="F2480">
        <v>2011310</v>
      </c>
      <c r="G2480">
        <v>8107.93</v>
      </c>
    </row>
    <row r="2481" spans="1:7" x14ac:dyDescent="0.3">
      <c r="A2481" s="80">
        <v>45832</v>
      </c>
      <c r="B2481">
        <v>1010100</v>
      </c>
      <c r="C2481">
        <v>0</v>
      </c>
      <c r="E2481" s="80">
        <v>45812</v>
      </c>
      <c r="F2481">
        <v>2011310</v>
      </c>
      <c r="G2481">
        <v>4788.32</v>
      </c>
    </row>
    <row r="2482" spans="1:7" x14ac:dyDescent="0.3">
      <c r="A2482" s="80">
        <v>45832</v>
      </c>
      <c r="B2482">
        <v>1010100</v>
      </c>
      <c r="C2482">
        <v>0</v>
      </c>
      <c r="E2482" s="80">
        <v>45812</v>
      </c>
      <c r="F2482">
        <v>2011310</v>
      </c>
      <c r="G2482">
        <v>4788.32</v>
      </c>
    </row>
    <row r="2483" spans="1:7" x14ac:dyDescent="0.3">
      <c r="A2483" s="80">
        <v>45834</v>
      </c>
      <c r="B2483">
        <v>1010100</v>
      </c>
      <c r="C2483">
        <v>0</v>
      </c>
      <c r="E2483" s="80">
        <v>45812</v>
      </c>
      <c r="F2483">
        <v>2011310</v>
      </c>
      <c r="G2483">
        <v>4069.12</v>
      </c>
    </row>
    <row r="2484" spans="1:7" x14ac:dyDescent="0.3">
      <c r="A2484" s="80">
        <v>45838</v>
      </c>
      <c r="B2484">
        <v>1010100</v>
      </c>
      <c r="C2484">
        <v>0</v>
      </c>
      <c r="E2484" s="80">
        <v>45812</v>
      </c>
      <c r="F2484">
        <v>2011310</v>
      </c>
      <c r="G2484">
        <v>3973.12</v>
      </c>
    </row>
    <row r="2485" spans="1:7" x14ac:dyDescent="0.3">
      <c r="A2485" s="80">
        <v>45840</v>
      </c>
      <c r="B2485">
        <v>1010100</v>
      </c>
      <c r="C2485">
        <v>0</v>
      </c>
      <c r="E2485" s="80">
        <v>45812</v>
      </c>
      <c r="F2485">
        <v>2011310</v>
      </c>
      <c r="G2485">
        <v>3973.12</v>
      </c>
    </row>
    <row r="2486" spans="1:7" x14ac:dyDescent="0.3">
      <c r="A2486" s="80">
        <v>45840</v>
      </c>
      <c r="B2486">
        <v>1010100</v>
      </c>
      <c r="C2486">
        <v>0</v>
      </c>
      <c r="E2486" s="80">
        <v>45812</v>
      </c>
      <c r="F2486">
        <v>2011310</v>
      </c>
      <c r="G2486">
        <v>3687.12</v>
      </c>
    </row>
    <row r="2487" spans="1:7" x14ac:dyDescent="0.3">
      <c r="A2487" s="80">
        <v>45841</v>
      </c>
      <c r="B2487">
        <v>1010100</v>
      </c>
      <c r="C2487">
        <v>0</v>
      </c>
      <c r="E2487" s="80">
        <v>45812</v>
      </c>
      <c r="F2487">
        <v>2011310</v>
      </c>
      <c r="G2487">
        <v>3687.12</v>
      </c>
    </row>
    <row r="2488" spans="1:7" x14ac:dyDescent="0.3">
      <c r="A2488" s="80">
        <v>45841</v>
      </c>
      <c r="B2488">
        <v>1010100</v>
      </c>
      <c r="C2488">
        <v>0</v>
      </c>
      <c r="E2488" s="80">
        <v>45812</v>
      </c>
      <c r="F2488">
        <v>2011310</v>
      </c>
      <c r="G2488">
        <v>3973.12</v>
      </c>
    </row>
    <row r="2489" spans="1:7" x14ac:dyDescent="0.3">
      <c r="A2489" s="80">
        <v>45830</v>
      </c>
      <c r="B2489">
        <v>1010100</v>
      </c>
      <c r="C2489">
        <v>0</v>
      </c>
      <c r="E2489" s="80">
        <v>45812</v>
      </c>
      <c r="F2489">
        <v>2011310</v>
      </c>
      <c r="G2489">
        <v>3973.12</v>
      </c>
    </row>
    <row r="2490" spans="1:7" x14ac:dyDescent="0.3">
      <c r="A2490" s="80">
        <v>45830</v>
      </c>
      <c r="B2490">
        <v>1010100</v>
      </c>
      <c r="C2490">
        <v>0</v>
      </c>
      <c r="E2490" s="80">
        <v>45812</v>
      </c>
      <c r="F2490">
        <v>2011310</v>
      </c>
      <c r="G2490">
        <v>358.45</v>
      </c>
    </row>
    <row r="2491" spans="1:7" x14ac:dyDescent="0.3">
      <c r="A2491" s="80">
        <v>45830</v>
      </c>
      <c r="B2491">
        <v>1010100</v>
      </c>
      <c r="C2491">
        <v>0</v>
      </c>
      <c r="E2491" s="80">
        <v>45812</v>
      </c>
      <c r="F2491">
        <v>2011310</v>
      </c>
      <c r="G2491">
        <v>3973.12</v>
      </c>
    </row>
    <row r="2492" spans="1:7" x14ac:dyDescent="0.3">
      <c r="A2492" s="80">
        <v>45830</v>
      </c>
      <c r="B2492">
        <v>1010100</v>
      </c>
      <c r="C2492">
        <v>0</v>
      </c>
      <c r="E2492" s="80">
        <v>45812</v>
      </c>
      <c r="F2492">
        <v>2011310</v>
      </c>
      <c r="G2492">
        <v>3687.12</v>
      </c>
    </row>
    <row r="2493" spans="1:7" x14ac:dyDescent="0.3">
      <c r="A2493" s="80">
        <v>45832</v>
      </c>
      <c r="B2493">
        <v>1010100</v>
      </c>
      <c r="C2493">
        <v>0</v>
      </c>
      <c r="E2493" s="80">
        <v>45812</v>
      </c>
      <c r="F2493">
        <v>2011310</v>
      </c>
      <c r="G2493">
        <v>8107.93</v>
      </c>
    </row>
    <row r="2494" spans="1:7" x14ac:dyDescent="0.3">
      <c r="A2494" s="80">
        <v>45832</v>
      </c>
      <c r="B2494">
        <v>1010100</v>
      </c>
      <c r="C2494">
        <v>0</v>
      </c>
      <c r="E2494" s="80">
        <v>45812</v>
      </c>
      <c r="F2494">
        <v>2011310</v>
      </c>
      <c r="G2494">
        <v>716.89</v>
      </c>
    </row>
    <row r="2495" spans="1:7" x14ac:dyDescent="0.3">
      <c r="A2495" s="80">
        <v>45834</v>
      </c>
      <c r="B2495">
        <v>1010100</v>
      </c>
      <c r="C2495">
        <v>1790</v>
      </c>
      <c r="E2495" s="80">
        <v>45812</v>
      </c>
      <c r="F2495">
        <v>2011310</v>
      </c>
      <c r="G2495">
        <v>4484.12</v>
      </c>
    </row>
    <row r="2496" spans="1:7" x14ac:dyDescent="0.3">
      <c r="A2496" s="80">
        <v>45834</v>
      </c>
      <c r="B2496">
        <v>1010100</v>
      </c>
      <c r="C2496">
        <v>4490</v>
      </c>
      <c r="E2496" s="80">
        <v>45812</v>
      </c>
      <c r="F2496">
        <v>2011310</v>
      </c>
      <c r="G2496">
        <v>4132.12</v>
      </c>
    </row>
    <row r="2497" spans="1:7" x14ac:dyDescent="0.3">
      <c r="A2497" s="80">
        <v>45835</v>
      </c>
      <c r="B2497">
        <v>1010100</v>
      </c>
      <c r="C2497">
        <v>2390</v>
      </c>
      <c r="E2497" s="80">
        <v>45812</v>
      </c>
      <c r="F2497">
        <v>2011310</v>
      </c>
      <c r="G2497">
        <v>3973.12</v>
      </c>
    </row>
    <row r="2498" spans="1:7" x14ac:dyDescent="0.3">
      <c r="A2498" s="80">
        <v>45835</v>
      </c>
      <c r="B2498">
        <v>1010100</v>
      </c>
      <c r="C2498">
        <v>1790</v>
      </c>
      <c r="E2498" s="80">
        <v>45812</v>
      </c>
      <c r="F2498">
        <v>2011310</v>
      </c>
      <c r="G2498">
        <v>4244.12</v>
      </c>
    </row>
    <row r="2499" spans="1:7" x14ac:dyDescent="0.3">
      <c r="A2499" s="80">
        <v>45836</v>
      </c>
      <c r="B2499">
        <v>1010100</v>
      </c>
      <c r="C2499">
        <v>1790</v>
      </c>
      <c r="E2499" s="80">
        <v>45812</v>
      </c>
      <c r="F2499">
        <v>2011310</v>
      </c>
      <c r="G2499">
        <v>4069.12</v>
      </c>
    </row>
    <row r="2500" spans="1:7" x14ac:dyDescent="0.3">
      <c r="A2500" s="80">
        <v>45837</v>
      </c>
      <c r="B2500">
        <v>1010100</v>
      </c>
      <c r="C2500">
        <v>1790</v>
      </c>
      <c r="E2500" s="80">
        <v>45812</v>
      </c>
      <c r="F2500">
        <v>2011310</v>
      </c>
      <c r="G2500">
        <v>3973.12</v>
      </c>
    </row>
    <row r="2501" spans="1:7" x14ac:dyDescent="0.3">
      <c r="A2501" s="80">
        <v>45837</v>
      </c>
      <c r="B2501">
        <v>1010100</v>
      </c>
      <c r="C2501">
        <v>1790</v>
      </c>
      <c r="E2501" s="80">
        <v>45811</v>
      </c>
      <c r="F2501">
        <v>2011310</v>
      </c>
      <c r="G2501">
        <v>3973.12</v>
      </c>
    </row>
    <row r="2502" spans="1:7" x14ac:dyDescent="0.3">
      <c r="A2502" s="80">
        <v>45838</v>
      </c>
      <c r="B2502">
        <v>1010100</v>
      </c>
      <c r="C2502">
        <v>1790</v>
      </c>
      <c r="E2502" s="80">
        <v>45811</v>
      </c>
      <c r="F2502">
        <v>2011310</v>
      </c>
      <c r="G2502">
        <v>3973.12</v>
      </c>
    </row>
    <row r="2503" spans="1:7" x14ac:dyDescent="0.3">
      <c r="A2503" s="80">
        <v>45838</v>
      </c>
      <c r="B2503">
        <v>1010100</v>
      </c>
      <c r="C2503">
        <v>1790</v>
      </c>
      <c r="E2503" s="80">
        <v>45811</v>
      </c>
      <c r="F2503">
        <v>2011310</v>
      </c>
      <c r="G2503">
        <v>3973.12</v>
      </c>
    </row>
    <row r="2504" spans="1:7" x14ac:dyDescent="0.3">
      <c r="A2504" s="80">
        <v>45839</v>
      </c>
      <c r="B2504">
        <v>1010100</v>
      </c>
      <c r="C2504">
        <v>4882</v>
      </c>
      <c r="E2504" s="80">
        <v>45811</v>
      </c>
      <c r="F2504">
        <v>2011310</v>
      </c>
      <c r="G2504">
        <v>8107.93</v>
      </c>
    </row>
    <row r="2505" spans="1:7" x14ac:dyDescent="0.3">
      <c r="A2505" s="80">
        <v>45839</v>
      </c>
      <c r="B2505">
        <v>1010100</v>
      </c>
      <c r="C2505">
        <v>1790</v>
      </c>
      <c r="E2505" s="80">
        <v>45811</v>
      </c>
      <c r="F2505">
        <v>2011310</v>
      </c>
      <c r="G2505">
        <v>4244.12</v>
      </c>
    </row>
    <row r="2506" spans="1:7" x14ac:dyDescent="0.3">
      <c r="A2506" s="80">
        <v>45840</v>
      </c>
      <c r="B2506">
        <v>1010100</v>
      </c>
      <c r="C2506">
        <v>7112</v>
      </c>
      <c r="E2506" s="80">
        <v>45811</v>
      </c>
      <c r="F2506">
        <v>2011310</v>
      </c>
      <c r="G2506">
        <v>3973.12</v>
      </c>
    </row>
    <row r="2507" spans="1:7" x14ac:dyDescent="0.3">
      <c r="A2507" s="80">
        <v>45840</v>
      </c>
      <c r="B2507">
        <v>1010100</v>
      </c>
      <c r="C2507">
        <v>1790</v>
      </c>
      <c r="E2507" s="80">
        <v>45811</v>
      </c>
      <c r="F2507">
        <v>2011310</v>
      </c>
      <c r="G2507">
        <v>3973.12</v>
      </c>
    </row>
    <row r="2508" spans="1:7" x14ac:dyDescent="0.3">
      <c r="A2508" s="80">
        <v>45841</v>
      </c>
      <c r="B2508">
        <v>1010100</v>
      </c>
      <c r="C2508">
        <v>1790</v>
      </c>
      <c r="E2508" s="80">
        <v>45811</v>
      </c>
      <c r="F2508">
        <v>2011310</v>
      </c>
      <c r="G2508">
        <v>3973.12</v>
      </c>
    </row>
    <row r="2509" spans="1:7" x14ac:dyDescent="0.3">
      <c r="A2509" s="80">
        <v>45841</v>
      </c>
      <c r="B2509">
        <v>1010100</v>
      </c>
      <c r="C2509">
        <v>1790</v>
      </c>
      <c r="E2509" s="80">
        <v>45811</v>
      </c>
      <c r="F2509">
        <v>2011310</v>
      </c>
      <c r="G2509">
        <v>4085.12</v>
      </c>
    </row>
    <row r="2510" spans="1:7" x14ac:dyDescent="0.3">
      <c r="A2510" s="80">
        <v>45842</v>
      </c>
      <c r="B2510">
        <v>1010100</v>
      </c>
      <c r="C2510">
        <v>0</v>
      </c>
      <c r="E2510" s="80">
        <v>45811</v>
      </c>
      <c r="F2510">
        <v>2011310</v>
      </c>
      <c r="G2510">
        <v>3973.12</v>
      </c>
    </row>
    <row r="2511" spans="1:7" x14ac:dyDescent="0.3">
      <c r="A2511" s="80">
        <v>45842</v>
      </c>
      <c r="B2511">
        <v>1010100</v>
      </c>
      <c r="C2511">
        <v>0</v>
      </c>
      <c r="E2511" s="80">
        <v>45811</v>
      </c>
      <c r="F2511">
        <v>2011310</v>
      </c>
      <c r="G2511">
        <v>7660.24</v>
      </c>
    </row>
    <row r="2512" spans="1:7" x14ac:dyDescent="0.3">
      <c r="A2512" s="80">
        <v>45844</v>
      </c>
      <c r="B2512">
        <v>1010100</v>
      </c>
      <c r="C2512">
        <v>1790</v>
      </c>
      <c r="E2512" s="80">
        <v>45811</v>
      </c>
      <c r="F2512">
        <v>2011310</v>
      </c>
      <c r="G2512">
        <v>4404.12</v>
      </c>
    </row>
    <row r="2513" spans="1:7" x14ac:dyDescent="0.3">
      <c r="A2513" s="80">
        <v>45844</v>
      </c>
      <c r="B2513">
        <v>1010100</v>
      </c>
      <c r="C2513">
        <v>1790</v>
      </c>
      <c r="E2513" s="80">
        <v>45810</v>
      </c>
      <c r="F2513">
        <v>2011310</v>
      </c>
      <c r="G2513">
        <v>3973.12</v>
      </c>
    </row>
    <row r="2514" spans="1:7" x14ac:dyDescent="0.3">
      <c r="A2514" s="80">
        <v>45828</v>
      </c>
      <c r="B2514">
        <v>3010212</v>
      </c>
      <c r="C2514">
        <v>1142.02</v>
      </c>
      <c r="E2514" s="80">
        <v>45810</v>
      </c>
      <c r="F2514">
        <v>2011310</v>
      </c>
      <c r="G2514">
        <v>8107.93</v>
      </c>
    </row>
    <row r="2515" spans="1:7" x14ac:dyDescent="0.3">
      <c r="A2515" s="80">
        <v>45827</v>
      </c>
      <c r="B2515">
        <v>3010212</v>
      </c>
      <c r="C2515">
        <v>1256.26</v>
      </c>
      <c r="E2515" s="80">
        <v>45810</v>
      </c>
      <c r="F2515">
        <v>2011310</v>
      </c>
      <c r="G2515">
        <v>4244.12</v>
      </c>
    </row>
    <row r="2516" spans="1:7" x14ac:dyDescent="0.3">
      <c r="A2516" s="80">
        <v>45827</v>
      </c>
      <c r="B2516">
        <v>3010212</v>
      </c>
      <c r="C2516">
        <v>1256.26</v>
      </c>
      <c r="E2516" s="80">
        <v>45810</v>
      </c>
      <c r="F2516">
        <v>2011310</v>
      </c>
      <c r="G2516">
        <v>3973.12</v>
      </c>
    </row>
    <row r="2517" spans="1:7" x14ac:dyDescent="0.3">
      <c r="A2517" s="80">
        <v>45826</v>
      </c>
      <c r="B2517">
        <v>3010212</v>
      </c>
      <c r="C2517">
        <v>1142.02</v>
      </c>
      <c r="E2517" s="80">
        <v>45810</v>
      </c>
      <c r="F2517">
        <v>2011310</v>
      </c>
      <c r="G2517">
        <v>3973.12</v>
      </c>
    </row>
    <row r="2518" spans="1:7" x14ac:dyDescent="0.3">
      <c r="A2518" s="80">
        <v>45826</v>
      </c>
      <c r="B2518">
        <v>3010212</v>
      </c>
      <c r="C2518">
        <v>1142.02</v>
      </c>
      <c r="E2518" s="80">
        <v>45810</v>
      </c>
      <c r="F2518">
        <v>2011310</v>
      </c>
      <c r="G2518">
        <v>3687.12</v>
      </c>
    </row>
    <row r="2519" spans="1:7" x14ac:dyDescent="0.3">
      <c r="A2519" s="80">
        <v>45826</v>
      </c>
      <c r="B2519">
        <v>3010212</v>
      </c>
      <c r="C2519">
        <v>1142.02</v>
      </c>
      <c r="E2519" s="80">
        <v>45810</v>
      </c>
      <c r="F2519">
        <v>2011310</v>
      </c>
      <c r="G2519">
        <v>797.52</v>
      </c>
    </row>
    <row r="2520" spans="1:7" x14ac:dyDescent="0.3">
      <c r="A2520" s="80">
        <v>45825</v>
      </c>
      <c r="B2520">
        <v>3010212</v>
      </c>
      <c r="C2520">
        <v>1256.26</v>
      </c>
      <c r="E2520" s="80">
        <v>45810</v>
      </c>
      <c r="F2520">
        <v>2011310</v>
      </c>
      <c r="G2520">
        <v>4787.12</v>
      </c>
    </row>
    <row r="2521" spans="1:7" x14ac:dyDescent="0.3">
      <c r="A2521" s="80">
        <v>45825</v>
      </c>
      <c r="B2521">
        <v>3010212</v>
      </c>
      <c r="C2521">
        <v>190.21</v>
      </c>
      <c r="E2521" s="80">
        <v>45810</v>
      </c>
      <c r="F2521">
        <v>2011310</v>
      </c>
      <c r="G2521">
        <v>3973.12</v>
      </c>
    </row>
    <row r="2522" spans="1:7" x14ac:dyDescent="0.3">
      <c r="A2522" s="80">
        <v>45825</v>
      </c>
      <c r="B2522">
        <v>3010212</v>
      </c>
      <c r="C2522">
        <v>1142.02</v>
      </c>
      <c r="E2522" s="80">
        <v>45810</v>
      </c>
      <c r="F2522">
        <v>2011310</v>
      </c>
      <c r="G2522">
        <v>3973.12</v>
      </c>
    </row>
    <row r="2523" spans="1:7" x14ac:dyDescent="0.3">
      <c r="A2523" s="80">
        <v>45825</v>
      </c>
      <c r="B2523">
        <v>3010212</v>
      </c>
      <c r="C2523">
        <v>1256.26</v>
      </c>
      <c r="E2523" s="80">
        <v>45809</v>
      </c>
      <c r="F2523">
        <v>2011310</v>
      </c>
      <c r="G2523">
        <v>3973.12</v>
      </c>
    </row>
    <row r="2524" spans="1:7" x14ac:dyDescent="0.3">
      <c r="A2524" s="80">
        <v>45824</v>
      </c>
      <c r="B2524">
        <v>3010212</v>
      </c>
      <c r="C2524">
        <v>1142.02</v>
      </c>
      <c r="E2524" s="80">
        <v>45809</v>
      </c>
      <c r="F2524">
        <v>2011310</v>
      </c>
      <c r="G2524">
        <v>3973.12</v>
      </c>
    </row>
    <row r="2525" spans="1:7" x14ac:dyDescent="0.3">
      <c r="A2525" s="80">
        <v>45824</v>
      </c>
      <c r="B2525">
        <v>3010212</v>
      </c>
      <c r="C2525">
        <v>1256.26</v>
      </c>
      <c r="E2525" s="80">
        <v>45809</v>
      </c>
      <c r="F2525">
        <v>2011310</v>
      </c>
      <c r="G2525">
        <v>3973.12</v>
      </c>
    </row>
    <row r="2526" spans="1:7" x14ac:dyDescent="0.3">
      <c r="A2526" s="80">
        <v>45823</v>
      </c>
      <c r="B2526">
        <v>3010212</v>
      </c>
      <c r="C2526">
        <v>1256.26</v>
      </c>
      <c r="E2526" s="80">
        <v>45809</v>
      </c>
      <c r="F2526">
        <v>2011310</v>
      </c>
      <c r="G2526">
        <v>7724.24</v>
      </c>
    </row>
    <row r="2527" spans="1:7" x14ac:dyDescent="0.3">
      <c r="A2527" s="80">
        <v>45823</v>
      </c>
      <c r="B2527">
        <v>3010212</v>
      </c>
      <c r="C2527">
        <v>879.38</v>
      </c>
      <c r="E2527" s="80">
        <v>45809</v>
      </c>
      <c r="F2527">
        <v>2011310</v>
      </c>
      <c r="G2527">
        <v>3973.12</v>
      </c>
    </row>
    <row r="2528" spans="1:7" x14ac:dyDescent="0.3">
      <c r="A2528" s="80">
        <v>45823</v>
      </c>
      <c r="B2528">
        <v>3010212</v>
      </c>
      <c r="C2528">
        <v>879.38</v>
      </c>
      <c r="E2528" s="80">
        <v>45809</v>
      </c>
      <c r="F2528">
        <v>2011310</v>
      </c>
      <c r="G2528">
        <v>3687.12</v>
      </c>
    </row>
    <row r="2529" spans="1:7" x14ac:dyDescent="0.3">
      <c r="A2529" s="80">
        <v>45823</v>
      </c>
      <c r="B2529">
        <v>3010212</v>
      </c>
      <c r="C2529">
        <v>1256.26</v>
      </c>
      <c r="E2529" s="80">
        <v>45809</v>
      </c>
      <c r="F2529">
        <v>2011310</v>
      </c>
      <c r="G2529">
        <v>4053.12</v>
      </c>
    </row>
    <row r="2530" spans="1:7" x14ac:dyDescent="0.3">
      <c r="A2530" s="80">
        <v>45822</v>
      </c>
      <c r="B2530">
        <v>3010212</v>
      </c>
      <c r="C2530">
        <v>1256.26</v>
      </c>
      <c r="E2530" s="80">
        <v>45809</v>
      </c>
      <c r="F2530">
        <v>2011310</v>
      </c>
      <c r="G2530">
        <v>4788.32</v>
      </c>
    </row>
    <row r="2531" spans="1:7" x14ac:dyDescent="0.3">
      <c r="A2531" s="80">
        <v>45822</v>
      </c>
      <c r="B2531">
        <v>3010212</v>
      </c>
      <c r="C2531">
        <v>1256.26</v>
      </c>
      <c r="E2531" s="80">
        <v>45809</v>
      </c>
      <c r="F2531">
        <v>2011310</v>
      </c>
      <c r="G2531">
        <v>4788.32</v>
      </c>
    </row>
    <row r="2532" spans="1:7" x14ac:dyDescent="0.3">
      <c r="A2532" s="80">
        <v>45822</v>
      </c>
      <c r="B2532">
        <v>3010212</v>
      </c>
      <c r="C2532">
        <v>1142.02</v>
      </c>
      <c r="E2532" s="80">
        <v>45809</v>
      </c>
      <c r="F2532">
        <v>2011310</v>
      </c>
      <c r="G2532">
        <v>4788.32</v>
      </c>
    </row>
    <row r="2533" spans="1:7" x14ac:dyDescent="0.3">
      <c r="A2533" s="80">
        <v>45820</v>
      </c>
      <c r="B2533">
        <v>3010212</v>
      </c>
      <c r="C2533">
        <v>1142.02</v>
      </c>
      <c r="E2533" s="80">
        <v>45809</v>
      </c>
      <c r="F2533">
        <v>2011310</v>
      </c>
      <c r="G2533">
        <v>4962</v>
      </c>
    </row>
    <row r="2534" spans="1:7" x14ac:dyDescent="0.3">
      <c r="A2534" s="80">
        <v>45819</v>
      </c>
      <c r="B2534">
        <v>3010212</v>
      </c>
      <c r="C2534">
        <v>1256.26</v>
      </c>
      <c r="E2534" s="80">
        <v>45809</v>
      </c>
      <c r="F2534">
        <v>2011310</v>
      </c>
      <c r="G2534">
        <v>4787</v>
      </c>
    </row>
    <row r="2535" spans="1:7" x14ac:dyDescent="0.3">
      <c r="A2535" s="80">
        <v>45819</v>
      </c>
      <c r="B2535">
        <v>3010212</v>
      </c>
      <c r="C2535">
        <v>1256.26</v>
      </c>
      <c r="E2535" s="80">
        <v>45809</v>
      </c>
      <c r="F2535">
        <v>2011310</v>
      </c>
      <c r="G2535">
        <v>4276</v>
      </c>
    </row>
    <row r="2536" spans="1:7" x14ac:dyDescent="0.3">
      <c r="A2536" s="80">
        <v>45819</v>
      </c>
      <c r="B2536">
        <v>3010212</v>
      </c>
      <c r="C2536">
        <v>380.42</v>
      </c>
      <c r="E2536" s="80">
        <v>45808</v>
      </c>
      <c r="F2536">
        <v>2011310</v>
      </c>
      <c r="G2536">
        <v>4435</v>
      </c>
    </row>
    <row r="2537" spans="1:7" x14ac:dyDescent="0.3">
      <c r="A2537" s="80">
        <v>45819</v>
      </c>
      <c r="B2537">
        <v>3010212</v>
      </c>
      <c r="C2537">
        <v>1142.02</v>
      </c>
      <c r="E2537" s="80">
        <v>45808</v>
      </c>
      <c r="F2537">
        <v>2011310</v>
      </c>
      <c r="G2537">
        <v>4788.32</v>
      </c>
    </row>
    <row r="2538" spans="1:7" x14ac:dyDescent="0.3">
      <c r="A2538" s="80">
        <v>45818</v>
      </c>
      <c r="B2538">
        <v>3010212</v>
      </c>
      <c r="C2538">
        <v>1256.26</v>
      </c>
      <c r="E2538" s="80">
        <v>45808</v>
      </c>
      <c r="F2538">
        <v>2011310</v>
      </c>
      <c r="G2538">
        <v>8203.93</v>
      </c>
    </row>
    <row r="2539" spans="1:7" x14ac:dyDescent="0.3">
      <c r="A2539" s="80">
        <v>45818</v>
      </c>
      <c r="B2539">
        <v>3010212</v>
      </c>
      <c r="C2539">
        <v>1256.26</v>
      </c>
      <c r="E2539" s="80">
        <v>45808</v>
      </c>
      <c r="F2539">
        <v>2011310</v>
      </c>
      <c r="G2539">
        <v>8107.93</v>
      </c>
    </row>
    <row r="2540" spans="1:7" x14ac:dyDescent="0.3">
      <c r="A2540" s="80">
        <v>45818</v>
      </c>
      <c r="B2540">
        <v>3010212</v>
      </c>
      <c r="C2540">
        <v>1256.26</v>
      </c>
      <c r="E2540" s="80">
        <v>45807</v>
      </c>
      <c r="F2540">
        <v>2011310</v>
      </c>
      <c r="G2540">
        <v>4276</v>
      </c>
    </row>
    <row r="2541" spans="1:7" x14ac:dyDescent="0.3">
      <c r="A2541" s="80">
        <v>45818</v>
      </c>
      <c r="B2541">
        <v>3010212</v>
      </c>
      <c r="C2541">
        <v>1142.02</v>
      </c>
      <c r="E2541" s="80">
        <v>45807</v>
      </c>
      <c r="F2541">
        <v>2011310</v>
      </c>
      <c r="G2541">
        <v>4707</v>
      </c>
    </row>
    <row r="2542" spans="1:7" x14ac:dyDescent="0.3">
      <c r="A2542" s="80">
        <v>45817</v>
      </c>
      <c r="B2542">
        <v>3010212</v>
      </c>
      <c r="C2542">
        <v>1142.02</v>
      </c>
      <c r="E2542" s="80">
        <v>45806</v>
      </c>
      <c r="F2542">
        <v>2011310</v>
      </c>
      <c r="G2542">
        <v>4788.32</v>
      </c>
    </row>
    <row r="2543" spans="1:7" x14ac:dyDescent="0.3">
      <c r="A2543" s="80">
        <v>45817</v>
      </c>
      <c r="B2543">
        <v>3010212</v>
      </c>
      <c r="C2543">
        <v>1142.02</v>
      </c>
      <c r="E2543" s="80">
        <v>45806</v>
      </c>
      <c r="F2543">
        <v>2011310</v>
      </c>
      <c r="G2543">
        <v>4340</v>
      </c>
    </row>
    <row r="2544" spans="1:7" x14ac:dyDescent="0.3">
      <c r="A2544" s="80">
        <v>45817</v>
      </c>
      <c r="B2544">
        <v>3010212</v>
      </c>
      <c r="C2544">
        <v>1142.02</v>
      </c>
      <c r="E2544" s="80">
        <v>45805</v>
      </c>
      <c r="F2544">
        <v>2011310</v>
      </c>
      <c r="G2544">
        <v>4276</v>
      </c>
    </row>
    <row r="2545" spans="1:7" x14ac:dyDescent="0.3">
      <c r="A2545" s="80">
        <v>45817</v>
      </c>
      <c r="B2545">
        <v>3010212</v>
      </c>
      <c r="C2545">
        <v>1256.26</v>
      </c>
      <c r="E2545" s="80">
        <v>45805</v>
      </c>
      <c r="F2545">
        <v>2011310</v>
      </c>
      <c r="G2545">
        <v>7821.93</v>
      </c>
    </row>
    <row r="2546" spans="1:7" x14ac:dyDescent="0.3">
      <c r="A2546" s="80">
        <v>45817</v>
      </c>
      <c r="B2546">
        <v>3010212</v>
      </c>
      <c r="C2546">
        <v>1256.26</v>
      </c>
      <c r="E2546" s="80">
        <v>45805</v>
      </c>
      <c r="F2546">
        <v>2011310</v>
      </c>
      <c r="G2546">
        <v>1595.04</v>
      </c>
    </row>
    <row r="2547" spans="1:7" x14ac:dyDescent="0.3">
      <c r="A2547" s="80">
        <v>45816</v>
      </c>
      <c r="B2547">
        <v>3010212</v>
      </c>
      <c r="C2547">
        <v>1142.02</v>
      </c>
      <c r="E2547" s="80">
        <v>45805</v>
      </c>
      <c r="F2547">
        <v>2011310</v>
      </c>
      <c r="G2547">
        <v>3990</v>
      </c>
    </row>
    <row r="2548" spans="1:7" x14ac:dyDescent="0.3">
      <c r="A2548" s="80">
        <v>45816</v>
      </c>
      <c r="B2548">
        <v>3010212</v>
      </c>
      <c r="C2548">
        <v>1256.26</v>
      </c>
      <c r="E2548" s="80">
        <v>45804</v>
      </c>
      <c r="F2548">
        <v>2011310</v>
      </c>
      <c r="G2548">
        <v>4788.32</v>
      </c>
    </row>
    <row r="2549" spans="1:7" x14ac:dyDescent="0.3">
      <c r="A2549" s="80">
        <v>45816</v>
      </c>
      <c r="B2549">
        <v>3010212</v>
      </c>
      <c r="C2549">
        <v>380.42</v>
      </c>
      <c r="E2549" s="80">
        <v>45804</v>
      </c>
      <c r="F2549">
        <v>2011310</v>
      </c>
      <c r="G2549">
        <v>4788.32</v>
      </c>
    </row>
    <row r="2550" spans="1:7" x14ac:dyDescent="0.3">
      <c r="A2550" s="80">
        <v>45816</v>
      </c>
      <c r="B2550">
        <v>3010212</v>
      </c>
      <c r="C2550">
        <v>1256.26</v>
      </c>
      <c r="E2550" s="80">
        <v>45804</v>
      </c>
      <c r="F2550">
        <v>2011310</v>
      </c>
      <c r="G2550">
        <v>3990</v>
      </c>
    </row>
    <row r="2551" spans="1:7" x14ac:dyDescent="0.3">
      <c r="A2551" s="80">
        <v>45815</v>
      </c>
      <c r="B2551">
        <v>3010212</v>
      </c>
      <c r="C2551">
        <v>1256.26</v>
      </c>
      <c r="E2551" s="80">
        <v>45804</v>
      </c>
      <c r="F2551">
        <v>2011310</v>
      </c>
      <c r="G2551">
        <v>1.6</v>
      </c>
    </row>
    <row r="2552" spans="1:7" x14ac:dyDescent="0.3">
      <c r="A2552" s="80">
        <v>45814</v>
      </c>
      <c r="B2552">
        <v>3010212</v>
      </c>
      <c r="C2552">
        <v>879.38</v>
      </c>
      <c r="E2552" s="80">
        <v>45804</v>
      </c>
      <c r="F2552">
        <v>2011310</v>
      </c>
      <c r="G2552">
        <v>1.6</v>
      </c>
    </row>
    <row r="2553" spans="1:7" x14ac:dyDescent="0.3">
      <c r="A2553" s="80">
        <v>45814</v>
      </c>
      <c r="B2553">
        <v>3010212</v>
      </c>
      <c r="C2553">
        <v>1256.26</v>
      </c>
      <c r="E2553" s="80">
        <v>45804</v>
      </c>
      <c r="F2553">
        <v>2011310</v>
      </c>
      <c r="G2553">
        <v>1.6</v>
      </c>
    </row>
    <row r="2554" spans="1:7" x14ac:dyDescent="0.3">
      <c r="A2554" s="80">
        <v>45814</v>
      </c>
      <c r="B2554">
        <v>3010212</v>
      </c>
      <c r="C2554">
        <v>1142.02</v>
      </c>
      <c r="E2554" s="80">
        <v>45804</v>
      </c>
      <c r="F2554">
        <v>2011310</v>
      </c>
      <c r="G2554">
        <v>1.6</v>
      </c>
    </row>
    <row r="2555" spans="1:7" x14ac:dyDescent="0.3">
      <c r="A2555" s="80">
        <v>45814</v>
      </c>
      <c r="B2555">
        <v>3010212</v>
      </c>
      <c r="C2555">
        <v>1758.76</v>
      </c>
      <c r="E2555" s="80">
        <v>45804</v>
      </c>
      <c r="F2555">
        <v>2011310</v>
      </c>
      <c r="G2555">
        <v>1.6</v>
      </c>
    </row>
    <row r="2556" spans="1:7" x14ac:dyDescent="0.3">
      <c r="A2556" s="80">
        <v>45813</v>
      </c>
      <c r="B2556">
        <v>3010212</v>
      </c>
      <c r="C2556">
        <v>879.38</v>
      </c>
      <c r="E2556" s="80">
        <v>45804</v>
      </c>
      <c r="F2556">
        <v>2011310</v>
      </c>
      <c r="G2556">
        <v>1.6</v>
      </c>
    </row>
    <row r="2557" spans="1:7" x14ac:dyDescent="0.3">
      <c r="A2557" s="80">
        <v>45813</v>
      </c>
      <c r="B2557">
        <v>3010212</v>
      </c>
      <c r="C2557">
        <v>879.38</v>
      </c>
      <c r="E2557" s="80">
        <v>45804</v>
      </c>
      <c r="F2557">
        <v>2011310</v>
      </c>
      <c r="G2557">
        <v>4276</v>
      </c>
    </row>
    <row r="2558" spans="1:7" x14ac:dyDescent="0.3">
      <c r="A2558" s="80">
        <v>45813</v>
      </c>
      <c r="B2558">
        <v>3010212</v>
      </c>
      <c r="C2558">
        <v>879.38</v>
      </c>
      <c r="E2558" s="80">
        <v>45803</v>
      </c>
      <c r="F2558">
        <v>2011310</v>
      </c>
      <c r="G2558">
        <v>1.6</v>
      </c>
    </row>
    <row r="2559" spans="1:7" x14ac:dyDescent="0.3">
      <c r="A2559" s="80">
        <v>45813</v>
      </c>
      <c r="B2559">
        <v>3010212</v>
      </c>
      <c r="C2559">
        <v>170.98</v>
      </c>
      <c r="E2559" s="80">
        <v>45803</v>
      </c>
      <c r="F2559">
        <v>2011310</v>
      </c>
      <c r="G2559">
        <v>7.98</v>
      </c>
    </row>
    <row r="2560" spans="1:7" x14ac:dyDescent="0.3">
      <c r="A2560" s="80">
        <v>45813</v>
      </c>
      <c r="B2560">
        <v>3010212</v>
      </c>
      <c r="C2560">
        <v>170.98</v>
      </c>
      <c r="E2560" s="80">
        <v>45803</v>
      </c>
      <c r="F2560">
        <v>2011310</v>
      </c>
      <c r="G2560">
        <v>4.79</v>
      </c>
    </row>
    <row r="2561" spans="1:7" x14ac:dyDescent="0.3">
      <c r="A2561" s="80">
        <v>45813</v>
      </c>
      <c r="B2561">
        <v>3010212</v>
      </c>
      <c r="C2561">
        <v>879.38</v>
      </c>
      <c r="E2561" s="80">
        <v>45803</v>
      </c>
      <c r="F2561">
        <v>2011310</v>
      </c>
      <c r="G2561">
        <v>4356</v>
      </c>
    </row>
    <row r="2562" spans="1:7" x14ac:dyDescent="0.3">
      <c r="A2562" s="80">
        <v>45813</v>
      </c>
      <c r="B2562">
        <v>3010212</v>
      </c>
      <c r="C2562">
        <v>1142.02</v>
      </c>
      <c r="E2562" s="80">
        <v>45803</v>
      </c>
      <c r="F2562">
        <v>2011310</v>
      </c>
      <c r="G2562">
        <v>4531</v>
      </c>
    </row>
    <row r="2563" spans="1:7" x14ac:dyDescent="0.3">
      <c r="A2563" s="80">
        <v>45813</v>
      </c>
      <c r="B2563">
        <v>3010212</v>
      </c>
      <c r="C2563">
        <v>1865.54</v>
      </c>
      <c r="E2563" s="80">
        <v>45803</v>
      </c>
      <c r="F2563">
        <v>2011310</v>
      </c>
      <c r="G2563">
        <v>4788.32</v>
      </c>
    </row>
    <row r="2564" spans="1:7" x14ac:dyDescent="0.3">
      <c r="A2564" s="80">
        <v>45813</v>
      </c>
      <c r="B2564">
        <v>3010212</v>
      </c>
      <c r="C2564">
        <v>879.38</v>
      </c>
      <c r="E2564" s="80">
        <v>45803</v>
      </c>
      <c r="F2564">
        <v>2011310</v>
      </c>
      <c r="G2564">
        <v>3990</v>
      </c>
    </row>
    <row r="2565" spans="1:7" x14ac:dyDescent="0.3">
      <c r="A2565" s="80">
        <v>45813</v>
      </c>
      <c r="B2565">
        <v>3010212</v>
      </c>
      <c r="C2565">
        <v>879.38</v>
      </c>
      <c r="E2565" s="80">
        <v>45802</v>
      </c>
      <c r="F2565">
        <v>2011310</v>
      </c>
      <c r="G2565">
        <v>4788.32</v>
      </c>
    </row>
    <row r="2566" spans="1:7" x14ac:dyDescent="0.3">
      <c r="A2566" s="80">
        <v>45813</v>
      </c>
      <c r="B2566">
        <v>3010212</v>
      </c>
      <c r="C2566">
        <v>879.38</v>
      </c>
      <c r="E2566" s="80">
        <v>45802</v>
      </c>
      <c r="F2566">
        <v>2011310</v>
      </c>
      <c r="G2566">
        <v>4340</v>
      </c>
    </row>
    <row r="2567" spans="1:7" x14ac:dyDescent="0.3">
      <c r="A2567" s="80">
        <v>45813</v>
      </c>
      <c r="B2567">
        <v>3010212</v>
      </c>
      <c r="C2567">
        <v>879.38</v>
      </c>
      <c r="E2567" s="80">
        <v>45801</v>
      </c>
      <c r="F2567">
        <v>2011310</v>
      </c>
      <c r="G2567">
        <v>4276</v>
      </c>
    </row>
    <row r="2568" spans="1:7" x14ac:dyDescent="0.3">
      <c r="A2568" s="80">
        <v>45813</v>
      </c>
      <c r="B2568">
        <v>3010212</v>
      </c>
      <c r="C2568">
        <v>879.38</v>
      </c>
      <c r="E2568" s="80">
        <v>45801</v>
      </c>
      <c r="F2568">
        <v>2011310</v>
      </c>
      <c r="G2568">
        <v>4276</v>
      </c>
    </row>
    <row r="2569" spans="1:7" x14ac:dyDescent="0.3">
      <c r="A2569" s="80">
        <v>45813</v>
      </c>
      <c r="B2569">
        <v>3010212</v>
      </c>
      <c r="C2569">
        <v>879.38</v>
      </c>
      <c r="E2569" s="80">
        <v>45801</v>
      </c>
      <c r="F2569">
        <v>2011310</v>
      </c>
      <c r="G2569">
        <v>4788.32</v>
      </c>
    </row>
    <row r="2570" spans="1:7" x14ac:dyDescent="0.3">
      <c r="A2570" s="80">
        <v>45812</v>
      </c>
      <c r="B2570">
        <v>3010212</v>
      </c>
      <c r="C2570">
        <v>879.38</v>
      </c>
      <c r="E2570" s="80">
        <v>45801</v>
      </c>
      <c r="F2570">
        <v>2011310</v>
      </c>
      <c r="G2570">
        <v>4788.32</v>
      </c>
    </row>
    <row r="2571" spans="1:7" x14ac:dyDescent="0.3">
      <c r="A2571" s="80">
        <v>45812</v>
      </c>
      <c r="B2571">
        <v>3010212</v>
      </c>
      <c r="C2571">
        <v>879.38</v>
      </c>
      <c r="E2571" s="80">
        <v>45801</v>
      </c>
      <c r="F2571">
        <v>2011310</v>
      </c>
      <c r="G2571">
        <v>8107.93</v>
      </c>
    </row>
    <row r="2572" spans="1:7" x14ac:dyDescent="0.3">
      <c r="A2572" s="80">
        <v>45812</v>
      </c>
      <c r="B2572">
        <v>3010212</v>
      </c>
      <c r="C2572">
        <v>1865.54</v>
      </c>
      <c r="E2572" s="80">
        <v>45801</v>
      </c>
      <c r="F2572">
        <v>2011310</v>
      </c>
      <c r="G2572">
        <v>4788.32</v>
      </c>
    </row>
    <row r="2573" spans="1:7" x14ac:dyDescent="0.3">
      <c r="A2573" s="80">
        <v>45812</v>
      </c>
      <c r="B2573">
        <v>3010212</v>
      </c>
      <c r="C2573">
        <v>1142.02</v>
      </c>
      <c r="E2573" s="80">
        <v>45801</v>
      </c>
      <c r="F2573">
        <v>2011310</v>
      </c>
      <c r="G2573">
        <v>4276</v>
      </c>
    </row>
    <row r="2574" spans="1:7" x14ac:dyDescent="0.3">
      <c r="A2574" s="80">
        <v>45812</v>
      </c>
      <c r="B2574">
        <v>3010212</v>
      </c>
      <c r="C2574">
        <v>1142.02</v>
      </c>
      <c r="E2574" s="80">
        <v>45801</v>
      </c>
      <c r="F2574">
        <v>2011310</v>
      </c>
      <c r="G2574">
        <v>7980</v>
      </c>
    </row>
    <row r="2575" spans="1:7" x14ac:dyDescent="0.3">
      <c r="A2575" s="80">
        <v>45812</v>
      </c>
      <c r="B2575">
        <v>3010212</v>
      </c>
      <c r="C2575">
        <v>879.38</v>
      </c>
      <c r="E2575" s="80">
        <v>45801</v>
      </c>
      <c r="F2575">
        <v>2011310</v>
      </c>
      <c r="G2575">
        <v>3990</v>
      </c>
    </row>
    <row r="2576" spans="1:7" x14ac:dyDescent="0.3">
      <c r="A2576" s="80">
        <v>45812</v>
      </c>
      <c r="B2576">
        <v>3010212</v>
      </c>
      <c r="C2576">
        <v>879.38</v>
      </c>
      <c r="E2576" s="80">
        <v>45801</v>
      </c>
      <c r="F2576">
        <v>2011310</v>
      </c>
      <c r="G2576">
        <v>1595.04</v>
      </c>
    </row>
    <row r="2577" spans="1:7" x14ac:dyDescent="0.3">
      <c r="A2577" s="80">
        <v>45812</v>
      </c>
      <c r="B2577">
        <v>3010212</v>
      </c>
      <c r="C2577">
        <v>879.38</v>
      </c>
      <c r="E2577" s="80">
        <v>45800</v>
      </c>
      <c r="F2577">
        <v>2011310</v>
      </c>
      <c r="G2577">
        <v>1595.04</v>
      </c>
    </row>
    <row r="2578" spans="1:7" x14ac:dyDescent="0.3">
      <c r="A2578" s="80">
        <v>45812</v>
      </c>
      <c r="B2578">
        <v>3010212</v>
      </c>
      <c r="C2578">
        <v>879.38</v>
      </c>
      <c r="E2578" s="80">
        <v>45800</v>
      </c>
      <c r="F2578">
        <v>2011310</v>
      </c>
      <c r="G2578">
        <v>4547</v>
      </c>
    </row>
    <row r="2579" spans="1:7" x14ac:dyDescent="0.3">
      <c r="A2579" s="80">
        <v>45812</v>
      </c>
      <c r="B2579">
        <v>3010212</v>
      </c>
      <c r="C2579">
        <v>879.38</v>
      </c>
      <c r="E2579" s="80">
        <v>45800</v>
      </c>
      <c r="F2579">
        <v>2011310</v>
      </c>
      <c r="G2579">
        <v>4788.32</v>
      </c>
    </row>
    <row r="2580" spans="1:7" x14ac:dyDescent="0.3">
      <c r="A2580" s="80">
        <v>45812</v>
      </c>
      <c r="B2580">
        <v>3010212</v>
      </c>
      <c r="C2580">
        <v>879.38</v>
      </c>
      <c r="E2580" s="80">
        <v>45800</v>
      </c>
      <c r="F2580">
        <v>2011310</v>
      </c>
      <c r="G2580">
        <v>4276</v>
      </c>
    </row>
    <row r="2581" spans="1:7" x14ac:dyDescent="0.3">
      <c r="A2581" s="80">
        <v>45812</v>
      </c>
      <c r="B2581">
        <v>3010212</v>
      </c>
      <c r="C2581">
        <v>879.38</v>
      </c>
      <c r="E2581" s="80">
        <v>45800</v>
      </c>
      <c r="F2581">
        <v>2011310</v>
      </c>
      <c r="G2581">
        <v>4788.32</v>
      </c>
    </row>
    <row r="2582" spans="1:7" x14ac:dyDescent="0.3">
      <c r="A2582" s="80">
        <v>45812</v>
      </c>
      <c r="B2582">
        <v>3010212</v>
      </c>
      <c r="C2582">
        <v>85.49</v>
      </c>
      <c r="E2582" s="80">
        <v>45800</v>
      </c>
      <c r="F2582">
        <v>2011310</v>
      </c>
      <c r="G2582">
        <v>3990</v>
      </c>
    </row>
    <row r="2583" spans="1:7" x14ac:dyDescent="0.3">
      <c r="A2583" s="80">
        <v>45812</v>
      </c>
      <c r="B2583">
        <v>3010212</v>
      </c>
      <c r="C2583">
        <v>879.38</v>
      </c>
      <c r="E2583" s="80">
        <v>45800</v>
      </c>
      <c r="F2583">
        <v>2011310</v>
      </c>
      <c r="G2583">
        <v>8107.93</v>
      </c>
    </row>
    <row r="2584" spans="1:7" x14ac:dyDescent="0.3">
      <c r="A2584" s="80">
        <v>45812</v>
      </c>
      <c r="B2584">
        <v>3010212</v>
      </c>
      <c r="C2584">
        <v>879.38</v>
      </c>
      <c r="E2584" s="80">
        <v>45799</v>
      </c>
      <c r="F2584">
        <v>2011310</v>
      </c>
      <c r="G2584">
        <v>4276</v>
      </c>
    </row>
    <row r="2585" spans="1:7" x14ac:dyDescent="0.3">
      <c r="A2585" s="80">
        <v>45812</v>
      </c>
      <c r="B2585">
        <v>3010212</v>
      </c>
      <c r="C2585">
        <v>1865.54</v>
      </c>
      <c r="E2585" s="80">
        <v>45799</v>
      </c>
      <c r="F2585">
        <v>2011310</v>
      </c>
      <c r="G2585">
        <v>4276</v>
      </c>
    </row>
    <row r="2586" spans="1:7" x14ac:dyDescent="0.3">
      <c r="A2586" s="80">
        <v>45812</v>
      </c>
      <c r="B2586">
        <v>3010212</v>
      </c>
      <c r="C2586">
        <v>170.98</v>
      </c>
      <c r="E2586" s="80">
        <v>45799</v>
      </c>
      <c r="F2586">
        <v>2011310</v>
      </c>
      <c r="G2586">
        <v>4356</v>
      </c>
    </row>
    <row r="2587" spans="1:7" x14ac:dyDescent="0.3">
      <c r="A2587" s="80">
        <v>45812</v>
      </c>
      <c r="B2587">
        <v>3010212</v>
      </c>
      <c r="C2587">
        <v>879.38</v>
      </c>
      <c r="E2587" s="80">
        <v>45799</v>
      </c>
      <c r="F2587">
        <v>2011310</v>
      </c>
      <c r="G2587">
        <v>4531</v>
      </c>
    </row>
    <row r="2588" spans="1:7" x14ac:dyDescent="0.3">
      <c r="A2588" s="80">
        <v>45812</v>
      </c>
      <c r="B2588">
        <v>3010212</v>
      </c>
      <c r="C2588">
        <v>879.38</v>
      </c>
      <c r="E2588" s="80">
        <v>45798</v>
      </c>
      <c r="F2588">
        <v>2011310</v>
      </c>
      <c r="G2588">
        <v>797.52</v>
      </c>
    </row>
    <row r="2589" spans="1:7" x14ac:dyDescent="0.3">
      <c r="A2589" s="80">
        <v>45812</v>
      </c>
      <c r="B2589">
        <v>3010212</v>
      </c>
      <c r="C2589">
        <v>879.38</v>
      </c>
      <c r="E2589" s="80">
        <v>45798</v>
      </c>
      <c r="F2589">
        <v>2011310</v>
      </c>
      <c r="G2589">
        <v>8936</v>
      </c>
    </row>
    <row r="2590" spans="1:7" x14ac:dyDescent="0.3">
      <c r="A2590" s="80">
        <v>45812</v>
      </c>
      <c r="B2590">
        <v>3010212</v>
      </c>
      <c r="C2590">
        <v>879.38</v>
      </c>
      <c r="E2590" s="80">
        <v>45798</v>
      </c>
      <c r="F2590">
        <v>2011310</v>
      </c>
      <c r="G2590">
        <v>4276</v>
      </c>
    </row>
    <row r="2591" spans="1:7" x14ac:dyDescent="0.3">
      <c r="A2591" s="80">
        <v>45812</v>
      </c>
      <c r="B2591">
        <v>3010212</v>
      </c>
      <c r="C2591">
        <v>879.38</v>
      </c>
      <c r="E2591" s="80">
        <v>45798</v>
      </c>
      <c r="F2591">
        <v>2011310</v>
      </c>
      <c r="G2591">
        <v>8107.93</v>
      </c>
    </row>
    <row r="2592" spans="1:7" x14ac:dyDescent="0.3">
      <c r="A2592" s="80">
        <v>45812</v>
      </c>
      <c r="B2592">
        <v>3010212</v>
      </c>
      <c r="C2592">
        <v>879.38</v>
      </c>
      <c r="E2592" s="80">
        <v>45798</v>
      </c>
      <c r="F2592">
        <v>2011310</v>
      </c>
      <c r="G2592">
        <v>8107.93</v>
      </c>
    </row>
    <row r="2593" spans="1:7" x14ac:dyDescent="0.3">
      <c r="A2593" s="80">
        <v>45811</v>
      </c>
      <c r="B2593">
        <v>3010212</v>
      </c>
      <c r="C2593">
        <v>879.38</v>
      </c>
      <c r="E2593" s="80">
        <v>45798</v>
      </c>
      <c r="F2593">
        <v>2011310</v>
      </c>
      <c r="G2593">
        <v>4388</v>
      </c>
    </row>
    <row r="2594" spans="1:7" x14ac:dyDescent="0.3">
      <c r="A2594" s="80">
        <v>45811</v>
      </c>
      <c r="B2594">
        <v>3010212</v>
      </c>
      <c r="C2594">
        <v>879.38</v>
      </c>
      <c r="E2594" s="80">
        <v>45798</v>
      </c>
      <c r="F2594">
        <v>2011310</v>
      </c>
      <c r="G2594">
        <v>4276</v>
      </c>
    </row>
    <row r="2595" spans="1:7" x14ac:dyDescent="0.3">
      <c r="A2595" s="80">
        <v>45811</v>
      </c>
      <c r="B2595">
        <v>3010212</v>
      </c>
      <c r="C2595">
        <v>879.38</v>
      </c>
      <c r="E2595" s="80">
        <v>45797</v>
      </c>
      <c r="F2595">
        <v>2011310</v>
      </c>
      <c r="G2595">
        <v>4276</v>
      </c>
    </row>
    <row r="2596" spans="1:7" x14ac:dyDescent="0.3">
      <c r="A2596" s="80">
        <v>45811</v>
      </c>
      <c r="B2596">
        <v>3010212</v>
      </c>
      <c r="C2596">
        <v>1865.54</v>
      </c>
      <c r="E2596" s="80">
        <v>45797</v>
      </c>
      <c r="F2596">
        <v>2011310</v>
      </c>
      <c r="G2596">
        <v>4788.32</v>
      </c>
    </row>
    <row r="2597" spans="1:7" x14ac:dyDescent="0.3">
      <c r="A2597" s="80">
        <v>45811</v>
      </c>
      <c r="B2597">
        <v>3010212</v>
      </c>
      <c r="C2597">
        <v>879.38</v>
      </c>
      <c r="E2597" s="80">
        <v>45797</v>
      </c>
      <c r="F2597">
        <v>2011310</v>
      </c>
      <c r="G2597">
        <v>4276</v>
      </c>
    </row>
    <row r="2598" spans="1:7" x14ac:dyDescent="0.3">
      <c r="A2598" s="80">
        <v>45811</v>
      </c>
      <c r="B2598">
        <v>3010212</v>
      </c>
      <c r="C2598">
        <v>879.38</v>
      </c>
      <c r="E2598" s="80">
        <v>45797</v>
      </c>
      <c r="F2598">
        <v>2011310</v>
      </c>
      <c r="G2598">
        <v>4276</v>
      </c>
    </row>
    <row r="2599" spans="1:7" x14ac:dyDescent="0.3">
      <c r="A2599" s="80">
        <v>45811</v>
      </c>
      <c r="B2599">
        <v>3010212</v>
      </c>
      <c r="C2599">
        <v>879.38</v>
      </c>
      <c r="E2599" s="80">
        <v>45797</v>
      </c>
      <c r="F2599">
        <v>2011310</v>
      </c>
      <c r="G2599">
        <v>4372</v>
      </c>
    </row>
    <row r="2600" spans="1:7" x14ac:dyDescent="0.3">
      <c r="A2600" s="80">
        <v>45811</v>
      </c>
      <c r="B2600">
        <v>3010212</v>
      </c>
      <c r="C2600">
        <v>879.38</v>
      </c>
      <c r="E2600" s="80">
        <v>45797</v>
      </c>
      <c r="F2600">
        <v>2011310</v>
      </c>
      <c r="G2600">
        <v>4276</v>
      </c>
    </row>
    <row r="2601" spans="1:7" x14ac:dyDescent="0.3">
      <c r="A2601" s="80">
        <v>45811</v>
      </c>
      <c r="B2601">
        <v>3010212</v>
      </c>
      <c r="C2601">
        <v>879.38</v>
      </c>
      <c r="E2601" s="80">
        <v>45796</v>
      </c>
      <c r="F2601">
        <v>2011310</v>
      </c>
      <c r="G2601">
        <v>4788.32</v>
      </c>
    </row>
    <row r="2602" spans="1:7" x14ac:dyDescent="0.3">
      <c r="A2602" s="80">
        <v>45811</v>
      </c>
      <c r="B2602">
        <v>3010212</v>
      </c>
      <c r="C2602">
        <v>879.38</v>
      </c>
      <c r="E2602" s="80">
        <v>45796</v>
      </c>
      <c r="F2602">
        <v>2011310</v>
      </c>
      <c r="G2602">
        <v>4788.32</v>
      </c>
    </row>
    <row r="2603" spans="1:7" x14ac:dyDescent="0.3">
      <c r="A2603" s="80">
        <v>45811</v>
      </c>
      <c r="B2603">
        <v>3010212</v>
      </c>
      <c r="C2603">
        <v>1758.76</v>
      </c>
      <c r="E2603" s="80">
        <v>45796</v>
      </c>
      <c r="F2603">
        <v>2011310</v>
      </c>
      <c r="G2603">
        <v>4276</v>
      </c>
    </row>
    <row r="2604" spans="1:7" x14ac:dyDescent="0.3">
      <c r="A2604" s="80">
        <v>45811</v>
      </c>
      <c r="B2604">
        <v>3010212</v>
      </c>
      <c r="C2604">
        <v>879.38</v>
      </c>
      <c r="E2604" s="80">
        <v>45795</v>
      </c>
      <c r="F2604">
        <v>2011310</v>
      </c>
      <c r="G2604">
        <v>4276</v>
      </c>
    </row>
    <row r="2605" spans="1:7" x14ac:dyDescent="0.3">
      <c r="A2605" s="80">
        <v>45810</v>
      </c>
      <c r="B2605">
        <v>3010212</v>
      </c>
      <c r="C2605">
        <v>879.38</v>
      </c>
      <c r="E2605" s="80">
        <v>45795</v>
      </c>
      <c r="F2605">
        <v>2011310</v>
      </c>
      <c r="G2605">
        <v>4276</v>
      </c>
    </row>
    <row r="2606" spans="1:7" x14ac:dyDescent="0.3">
      <c r="A2606" s="80">
        <v>45810</v>
      </c>
      <c r="B2606">
        <v>3010212</v>
      </c>
      <c r="C2606">
        <v>1865.54</v>
      </c>
      <c r="E2606" s="80">
        <v>45795</v>
      </c>
      <c r="F2606">
        <v>2011310</v>
      </c>
      <c r="G2606">
        <v>8107.93</v>
      </c>
    </row>
    <row r="2607" spans="1:7" x14ac:dyDescent="0.3">
      <c r="A2607" s="80">
        <v>45810</v>
      </c>
      <c r="B2607">
        <v>3010212</v>
      </c>
      <c r="C2607">
        <v>879.38</v>
      </c>
      <c r="E2607" s="80">
        <v>45795</v>
      </c>
      <c r="F2607">
        <v>2011310</v>
      </c>
      <c r="G2607">
        <v>4276</v>
      </c>
    </row>
    <row r="2608" spans="1:7" x14ac:dyDescent="0.3">
      <c r="A2608" s="80">
        <v>45810</v>
      </c>
      <c r="B2608">
        <v>3010212</v>
      </c>
      <c r="C2608">
        <v>879.38</v>
      </c>
      <c r="E2608" s="80">
        <v>45794</v>
      </c>
      <c r="F2608">
        <v>2011310</v>
      </c>
      <c r="G2608">
        <v>4276</v>
      </c>
    </row>
    <row r="2609" spans="1:7" x14ac:dyDescent="0.3">
      <c r="A2609" s="80">
        <v>45810</v>
      </c>
      <c r="B2609">
        <v>3010212</v>
      </c>
      <c r="C2609">
        <v>879.38</v>
      </c>
      <c r="E2609" s="80">
        <v>45794</v>
      </c>
      <c r="F2609">
        <v>2011310</v>
      </c>
      <c r="G2609">
        <v>4276</v>
      </c>
    </row>
    <row r="2610" spans="1:7" x14ac:dyDescent="0.3">
      <c r="A2610" s="80">
        <v>45810</v>
      </c>
      <c r="B2610">
        <v>3010212</v>
      </c>
      <c r="C2610">
        <v>879.38</v>
      </c>
      <c r="E2610" s="80">
        <v>45794</v>
      </c>
      <c r="F2610">
        <v>2011310</v>
      </c>
      <c r="G2610">
        <v>4276</v>
      </c>
    </row>
    <row r="2611" spans="1:7" x14ac:dyDescent="0.3">
      <c r="A2611" s="80">
        <v>45810</v>
      </c>
      <c r="B2611">
        <v>3010212</v>
      </c>
      <c r="C2611">
        <v>190.21</v>
      </c>
      <c r="E2611" s="80">
        <v>45793</v>
      </c>
      <c r="F2611">
        <v>2011310</v>
      </c>
      <c r="G2611">
        <v>4276</v>
      </c>
    </row>
    <row r="2612" spans="1:7" x14ac:dyDescent="0.3">
      <c r="A2612" s="80">
        <v>45810</v>
      </c>
      <c r="B2612">
        <v>3010212</v>
      </c>
      <c r="C2612">
        <v>879.38</v>
      </c>
      <c r="E2612" s="80">
        <v>45792</v>
      </c>
      <c r="F2612">
        <v>2011310</v>
      </c>
      <c r="G2612">
        <v>4788.32</v>
      </c>
    </row>
    <row r="2613" spans="1:7" x14ac:dyDescent="0.3">
      <c r="A2613" s="80">
        <v>45810</v>
      </c>
      <c r="B2613">
        <v>3010212</v>
      </c>
      <c r="C2613">
        <v>879.38</v>
      </c>
      <c r="E2613" s="80">
        <v>45792</v>
      </c>
      <c r="F2613">
        <v>2011310</v>
      </c>
      <c r="G2613">
        <v>4276</v>
      </c>
    </row>
    <row r="2614" spans="1:7" x14ac:dyDescent="0.3">
      <c r="A2614" s="80">
        <v>45810</v>
      </c>
      <c r="B2614">
        <v>3010212</v>
      </c>
      <c r="C2614">
        <v>879.38</v>
      </c>
      <c r="E2614" s="80">
        <v>45792</v>
      </c>
      <c r="F2614">
        <v>2011310</v>
      </c>
      <c r="G2614">
        <v>1595.04</v>
      </c>
    </row>
    <row r="2615" spans="1:7" x14ac:dyDescent="0.3">
      <c r="A2615" s="80">
        <v>45809</v>
      </c>
      <c r="B2615">
        <v>3010212</v>
      </c>
      <c r="C2615">
        <v>879.38</v>
      </c>
      <c r="E2615" s="80">
        <v>45792</v>
      </c>
      <c r="F2615">
        <v>2011310</v>
      </c>
      <c r="G2615">
        <v>4276</v>
      </c>
    </row>
    <row r="2616" spans="1:7" x14ac:dyDescent="0.3">
      <c r="A2616" s="80">
        <v>45809</v>
      </c>
      <c r="B2616">
        <v>3010212</v>
      </c>
      <c r="C2616">
        <v>879.38</v>
      </c>
      <c r="E2616" s="80">
        <v>45791</v>
      </c>
      <c r="F2616">
        <v>2011310</v>
      </c>
      <c r="G2616">
        <v>4276</v>
      </c>
    </row>
    <row r="2617" spans="1:7" x14ac:dyDescent="0.3">
      <c r="A2617" s="80">
        <v>45809</v>
      </c>
      <c r="B2617">
        <v>3010212</v>
      </c>
      <c r="C2617">
        <v>879.38</v>
      </c>
      <c r="E2617" s="80">
        <v>45791</v>
      </c>
      <c r="F2617">
        <v>2011310</v>
      </c>
      <c r="G2617">
        <v>4788.32</v>
      </c>
    </row>
    <row r="2618" spans="1:7" x14ac:dyDescent="0.3">
      <c r="A2618" s="80">
        <v>45809</v>
      </c>
      <c r="B2618">
        <v>3010212</v>
      </c>
      <c r="C2618">
        <v>1758.76</v>
      </c>
      <c r="E2618" s="80">
        <v>45791</v>
      </c>
      <c r="F2618">
        <v>2011310</v>
      </c>
      <c r="G2618">
        <v>4276</v>
      </c>
    </row>
    <row r="2619" spans="1:7" x14ac:dyDescent="0.3">
      <c r="A2619" s="80">
        <v>45809</v>
      </c>
      <c r="B2619">
        <v>3010212</v>
      </c>
      <c r="C2619">
        <v>879.38</v>
      </c>
      <c r="E2619" s="80">
        <v>45791</v>
      </c>
      <c r="F2619">
        <v>2011310</v>
      </c>
      <c r="G2619">
        <v>4788.32</v>
      </c>
    </row>
    <row r="2620" spans="1:7" x14ac:dyDescent="0.3">
      <c r="A2620" s="80">
        <v>45809</v>
      </c>
      <c r="B2620">
        <v>3010212</v>
      </c>
      <c r="C2620">
        <v>879.38</v>
      </c>
      <c r="E2620" s="80">
        <v>45790</v>
      </c>
      <c r="F2620">
        <v>2011310</v>
      </c>
      <c r="G2620">
        <v>4340</v>
      </c>
    </row>
    <row r="2621" spans="1:7" x14ac:dyDescent="0.3">
      <c r="A2621" s="80">
        <v>45809</v>
      </c>
      <c r="B2621">
        <v>3010212</v>
      </c>
      <c r="C2621">
        <v>879.38</v>
      </c>
      <c r="E2621" s="80">
        <v>45789</v>
      </c>
      <c r="F2621">
        <v>2011310</v>
      </c>
      <c r="G2621">
        <v>4276</v>
      </c>
    </row>
    <row r="2622" spans="1:7" x14ac:dyDescent="0.3">
      <c r="A2622" s="80">
        <v>45809</v>
      </c>
      <c r="B2622">
        <v>3010212</v>
      </c>
      <c r="C2622">
        <v>1142.02</v>
      </c>
      <c r="E2622" s="80">
        <v>45789</v>
      </c>
      <c r="F2622">
        <v>2011310</v>
      </c>
      <c r="G2622">
        <v>4276</v>
      </c>
    </row>
    <row r="2623" spans="1:7" x14ac:dyDescent="0.3">
      <c r="A2623" s="80">
        <v>45809</v>
      </c>
      <c r="B2623">
        <v>3010212</v>
      </c>
      <c r="C2623">
        <v>1142.02</v>
      </c>
      <c r="E2623" s="80">
        <v>45789</v>
      </c>
      <c r="F2623">
        <v>2011310</v>
      </c>
      <c r="G2623">
        <v>4547</v>
      </c>
    </row>
    <row r="2624" spans="1:7" x14ac:dyDescent="0.3">
      <c r="A2624" s="80">
        <v>45809</v>
      </c>
      <c r="B2624">
        <v>3010212</v>
      </c>
      <c r="C2624">
        <v>1142.02</v>
      </c>
      <c r="E2624" s="80">
        <v>45788</v>
      </c>
      <c r="F2624">
        <v>2011310</v>
      </c>
      <c r="G2624">
        <v>4276</v>
      </c>
    </row>
    <row r="2625" spans="1:7" x14ac:dyDescent="0.3">
      <c r="A2625" s="80">
        <v>45809</v>
      </c>
      <c r="B2625">
        <v>3010212</v>
      </c>
      <c r="C2625">
        <v>951.62</v>
      </c>
      <c r="E2625" s="80">
        <v>45788</v>
      </c>
      <c r="F2625">
        <v>2011310</v>
      </c>
      <c r="G2625">
        <v>4276</v>
      </c>
    </row>
    <row r="2626" spans="1:7" x14ac:dyDescent="0.3">
      <c r="A2626" s="80">
        <v>45809</v>
      </c>
      <c r="B2626">
        <v>3010212</v>
      </c>
      <c r="C2626">
        <v>951.62</v>
      </c>
      <c r="E2626" s="80">
        <v>45788</v>
      </c>
      <c r="F2626">
        <v>2011310</v>
      </c>
      <c r="G2626">
        <v>4276</v>
      </c>
    </row>
    <row r="2627" spans="1:7" x14ac:dyDescent="0.3">
      <c r="A2627" s="80">
        <v>45809</v>
      </c>
      <c r="B2627">
        <v>3010212</v>
      </c>
      <c r="C2627">
        <v>951.62</v>
      </c>
      <c r="E2627" s="80">
        <v>45788</v>
      </c>
      <c r="F2627">
        <v>2011310</v>
      </c>
      <c r="G2627">
        <v>8266</v>
      </c>
    </row>
    <row r="2628" spans="1:7" x14ac:dyDescent="0.3">
      <c r="A2628" s="80">
        <v>45808</v>
      </c>
      <c r="B2628">
        <v>3010212</v>
      </c>
      <c r="C2628">
        <v>951.62</v>
      </c>
      <c r="E2628" s="80">
        <v>45788</v>
      </c>
      <c r="F2628">
        <v>2011310</v>
      </c>
      <c r="G2628">
        <v>4627</v>
      </c>
    </row>
    <row r="2629" spans="1:7" x14ac:dyDescent="0.3">
      <c r="A2629" s="80">
        <v>45808</v>
      </c>
      <c r="B2629">
        <v>3010212</v>
      </c>
      <c r="C2629">
        <v>1142.02</v>
      </c>
      <c r="E2629" s="80">
        <v>45788</v>
      </c>
      <c r="F2629">
        <v>2011310</v>
      </c>
      <c r="G2629">
        <v>4707</v>
      </c>
    </row>
    <row r="2630" spans="1:7" x14ac:dyDescent="0.3">
      <c r="A2630" s="80">
        <v>45808</v>
      </c>
      <c r="B2630">
        <v>3010212</v>
      </c>
      <c r="C2630">
        <v>1865.54</v>
      </c>
      <c r="E2630" s="80">
        <v>45787</v>
      </c>
      <c r="F2630">
        <v>2011310</v>
      </c>
      <c r="G2630">
        <v>8107.93</v>
      </c>
    </row>
    <row r="2631" spans="1:7" x14ac:dyDescent="0.3">
      <c r="A2631" s="80">
        <v>45808</v>
      </c>
      <c r="B2631">
        <v>3010212</v>
      </c>
      <c r="C2631">
        <v>1865.54</v>
      </c>
      <c r="E2631" s="80">
        <v>45787</v>
      </c>
      <c r="F2631">
        <v>2011310</v>
      </c>
      <c r="G2631">
        <v>3990</v>
      </c>
    </row>
    <row r="2632" spans="1:7" x14ac:dyDescent="0.3">
      <c r="A2632" s="80">
        <v>45807</v>
      </c>
      <c r="B2632">
        <v>3010212</v>
      </c>
      <c r="C2632">
        <v>951.62</v>
      </c>
      <c r="E2632" s="80">
        <v>45787</v>
      </c>
      <c r="F2632">
        <v>2011310</v>
      </c>
      <c r="G2632">
        <v>4755</v>
      </c>
    </row>
    <row r="2633" spans="1:7" x14ac:dyDescent="0.3">
      <c r="A2633" s="80">
        <v>45807</v>
      </c>
      <c r="B2633">
        <v>3010212</v>
      </c>
      <c r="C2633">
        <v>951.62</v>
      </c>
      <c r="E2633" s="80">
        <v>45787</v>
      </c>
      <c r="F2633">
        <v>2011310</v>
      </c>
      <c r="G2633">
        <v>4707</v>
      </c>
    </row>
    <row r="2634" spans="1:7" x14ac:dyDescent="0.3">
      <c r="A2634" s="80">
        <v>45806</v>
      </c>
      <c r="B2634">
        <v>3010212</v>
      </c>
      <c r="C2634">
        <v>1142.02</v>
      </c>
      <c r="E2634" s="80">
        <v>45786</v>
      </c>
      <c r="F2634">
        <v>2011310</v>
      </c>
      <c r="G2634">
        <v>4788.32</v>
      </c>
    </row>
    <row r="2635" spans="1:7" x14ac:dyDescent="0.3">
      <c r="A2635" s="80">
        <v>45806</v>
      </c>
      <c r="B2635">
        <v>3010212</v>
      </c>
      <c r="C2635">
        <v>951.62</v>
      </c>
      <c r="E2635" s="80">
        <v>45786</v>
      </c>
      <c r="F2635">
        <v>2011310</v>
      </c>
      <c r="G2635">
        <v>3990</v>
      </c>
    </row>
    <row r="2636" spans="1:7" x14ac:dyDescent="0.3">
      <c r="A2636" s="80">
        <v>45805</v>
      </c>
      <c r="B2636">
        <v>3010212</v>
      </c>
      <c r="C2636">
        <v>951.62</v>
      </c>
      <c r="E2636" s="80">
        <v>45786</v>
      </c>
      <c r="F2636">
        <v>2011310</v>
      </c>
      <c r="G2636">
        <v>1147.52</v>
      </c>
    </row>
    <row r="2637" spans="1:7" x14ac:dyDescent="0.3">
      <c r="A2637" s="80">
        <v>45805</v>
      </c>
      <c r="B2637">
        <v>3010212</v>
      </c>
      <c r="C2637">
        <v>1865.54</v>
      </c>
      <c r="E2637" s="80">
        <v>45786</v>
      </c>
      <c r="F2637">
        <v>2011310</v>
      </c>
      <c r="G2637">
        <v>4276</v>
      </c>
    </row>
    <row r="2638" spans="1:7" x14ac:dyDescent="0.3">
      <c r="A2638" s="80">
        <v>45805</v>
      </c>
      <c r="B2638">
        <v>3010212</v>
      </c>
      <c r="C2638">
        <v>380.42</v>
      </c>
      <c r="E2638" s="80">
        <v>45786</v>
      </c>
      <c r="F2638">
        <v>2011310</v>
      </c>
      <c r="G2638">
        <v>4388</v>
      </c>
    </row>
    <row r="2639" spans="1:7" x14ac:dyDescent="0.3">
      <c r="A2639" s="80">
        <v>45805</v>
      </c>
      <c r="B2639">
        <v>3010212</v>
      </c>
      <c r="C2639">
        <v>951.62</v>
      </c>
      <c r="E2639" s="80">
        <v>45786</v>
      </c>
      <c r="F2639">
        <v>2011310</v>
      </c>
      <c r="G2639">
        <v>4276</v>
      </c>
    </row>
    <row r="2640" spans="1:7" x14ac:dyDescent="0.3">
      <c r="A2640" s="80">
        <v>45804</v>
      </c>
      <c r="B2640">
        <v>3010212</v>
      </c>
      <c r="C2640">
        <v>1142.02</v>
      </c>
      <c r="E2640" s="80">
        <v>45786</v>
      </c>
      <c r="F2640">
        <v>2011310</v>
      </c>
      <c r="G2640">
        <v>4276</v>
      </c>
    </row>
    <row r="2641" spans="1:7" x14ac:dyDescent="0.3">
      <c r="A2641" s="80">
        <v>45804</v>
      </c>
      <c r="B2641">
        <v>3010212</v>
      </c>
      <c r="C2641">
        <v>1142.02</v>
      </c>
      <c r="E2641" s="80">
        <v>45785</v>
      </c>
      <c r="F2641">
        <v>2011310</v>
      </c>
      <c r="G2641">
        <v>3990</v>
      </c>
    </row>
    <row r="2642" spans="1:7" x14ac:dyDescent="0.3">
      <c r="A2642" s="80">
        <v>45804</v>
      </c>
      <c r="B2642">
        <v>3010212</v>
      </c>
      <c r="C2642">
        <v>951.62</v>
      </c>
      <c r="E2642" s="80">
        <v>45785</v>
      </c>
      <c r="F2642">
        <v>2011310</v>
      </c>
      <c r="G2642">
        <v>3990</v>
      </c>
    </row>
    <row r="2643" spans="1:7" x14ac:dyDescent="0.3">
      <c r="A2643" s="80">
        <v>45804</v>
      </c>
      <c r="B2643">
        <v>3010212</v>
      </c>
      <c r="C2643">
        <v>0.38</v>
      </c>
      <c r="E2643" s="80">
        <v>45785</v>
      </c>
      <c r="F2643">
        <v>2011310</v>
      </c>
      <c r="G2643">
        <v>4788.32</v>
      </c>
    </row>
    <row r="2644" spans="1:7" x14ac:dyDescent="0.3">
      <c r="A2644" s="80">
        <v>45804</v>
      </c>
      <c r="B2644">
        <v>3010212</v>
      </c>
      <c r="C2644">
        <v>0.38</v>
      </c>
      <c r="E2644" s="80">
        <v>45785</v>
      </c>
      <c r="F2644">
        <v>2011310</v>
      </c>
      <c r="G2644">
        <v>4276</v>
      </c>
    </row>
    <row r="2645" spans="1:7" x14ac:dyDescent="0.3">
      <c r="A2645" s="80">
        <v>45804</v>
      </c>
      <c r="B2645">
        <v>3010212</v>
      </c>
      <c r="C2645">
        <v>0.38</v>
      </c>
      <c r="E2645" s="80">
        <v>45785</v>
      </c>
      <c r="F2645">
        <v>2011310</v>
      </c>
      <c r="G2645">
        <v>8378</v>
      </c>
    </row>
    <row r="2646" spans="1:7" x14ac:dyDescent="0.3">
      <c r="A2646" s="80">
        <v>45804</v>
      </c>
      <c r="B2646">
        <v>3010212</v>
      </c>
      <c r="C2646">
        <v>0.38</v>
      </c>
      <c r="E2646" s="80">
        <v>45785</v>
      </c>
      <c r="F2646">
        <v>2011310</v>
      </c>
      <c r="G2646">
        <v>3990</v>
      </c>
    </row>
    <row r="2647" spans="1:7" x14ac:dyDescent="0.3">
      <c r="A2647" s="80">
        <v>45804</v>
      </c>
      <c r="B2647">
        <v>3010212</v>
      </c>
      <c r="C2647">
        <v>0.38</v>
      </c>
      <c r="E2647" s="80">
        <v>45784</v>
      </c>
      <c r="F2647">
        <v>2011310</v>
      </c>
      <c r="G2647">
        <v>4340</v>
      </c>
    </row>
    <row r="2648" spans="1:7" x14ac:dyDescent="0.3">
      <c r="A2648" s="80">
        <v>45804</v>
      </c>
      <c r="B2648">
        <v>3010212</v>
      </c>
      <c r="C2648">
        <v>0.38</v>
      </c>
      <c r="E2648" s="80">
        <v>45784</v>
      </c>
      <c r="F2648">
        <v>2011310</v>
      </c>
      <c r="G2648">
        <v>4788.32</v>
      </c>
    </row>
    <row r="2649" spans="1:7" x14ac:dyDescent="0.3">
      <c r="A2649" s="80">
        <v>45804</v>
      </c>
      <c r="B2649">
        <v>3010212</v>
      </c>
      <c r="C2649">
        <v>951.62</v>
      </c>
      <c r="E2649" s="80">
        <v>45784</v>
      </c>
      <c r="F2649">
        <v>2011310</v>
      </c>
      <c r="G2649">
        <v>4276</v>
      </c>
    </row>
    <row r="2650" spans="1:7" x14ac:dyDescent="0.3">
      <c r="A2650" s="80">
        <v>45803</v>
      </c>
      <c r="B2650">
        <v>3010212</v>
      </c>
      <c r="C2650">
        <v>0.38</v>
      </c>
      <c r="E2650" s="80">
        <v>45783</v>
      </c>
      <c r="F2650">
        <v>2011310</v>
      </c>
      <c r="G2650">
        <v>4788.32</v>
      </c>
    </row>
    <row r="2651" spans="1:7" x14ac:dyDescent="0.3">
      <c r="A2651" s="80">
        <v>45803</v>
      </c>
      <c r="B2651">
        <v>3010212</v>
      </c>
      <c r="C2651">
        <v>1.9</v>
      </c>
      <c r="E2651" s="80">
        <v>45783</v>
      </c>
      <c r="F2651">
        <v>2011310</v>
      </c>
      <c r="G2651">
        <v>4276</v>
      </c>
    </row>
    <row r="2652" spans="1:7" x14ac:dyDescent="0.3">
      <c r="A2652" s="80">
        <v>45803</v>
      </c>
      <c r="B2652">
        <v>3010212</v>
      </c>
      <c r="C2652">
        <v>1.1399999999999999</v>
      </c>
      <c r="E2652" s="80">
        <v>45783</v>
      </c>
      <c r="F2652">
        <v>2011310</v>
      </c>
      <c r="G2652">
        <v>4276</v>
      </c>
    </row>
    <row r="2653" spans="1:7" x14ac:dyDescent="0.3">
      <c r="A2653" s="80">
        <v>45803</v>
      </c>
      <c r="B2653">
        <v>3010212</v>
      </c>
      <c r="C2653">
        <v>951.62</v>
      </c>
      <c r="E2653" s="80">
        <v>45783</v>
      </c>
      <c r="F2653">
        <v>2011310</v>
      </c>
      <c r="G2653">
        <v>3990</v>
      </c>
    </row>
    <row r="2654" spans="1:7" x14ac:dyDescent="0.3">
      <c r="A2654" s="80">
        <v>45803</v>
      </c>
      <c r="B2654">
        <v>3010212</v>
      </c>
      <c r="C2654">
        <v>951.62</v>
      </c>
      <c r="E2654" s="80">
        <v>45783</v>
      </c>
      <c r="F2654">
        <v>2011310</v>
      </c>
      <c r="G2654">
        <v>5329.66</v>
      </c>
    </row>
    <row r="2655" spans="1:7" x14ac:dyDescent="0.3">
      <c r="A2655" s="80">
        <v>45803</v>
      </c>
      <c r="B2655">
        <v>3010212</v>
      </c>
      <c r="C2655">
        <v>1142.02</v>
      </c>
      <c r="E2655" s="80">
        <v>45782</v>
      </c>
      <c r="F2655">
        <v>2011310</v>
      </c>
      <c r="G2655">
        <v>4788.32</v>
      </c>
    </row>
    <row r="2656" spans="1:7" x14ac:dyDescent="0.3">
      <c r="A2656" s="80">
        <v>45803</v>
      </c>
      <c r="B2656">
        <v>3010212</v>
      </c>
      <c r="C2656">
        <v>951.62</v>
      </c>
      <c r="E2656" s="80">
        <v>45782</v>
      </c>
      <c r="F2656">
        <v>2011310</v>
      </c>
      <c r="G2656">
        <v>4771</v>
      </c>
    </row>
    <row r="2657" spans="1:7" x14ac:dyDescent="0.3">
      <c r="A2657" s="80">
        <v>45802</v>
      </c>
      <c r="B2657">
        <v>3010212</v>
      </c>
      <c r="C2657">
        <v>1142.02</v>
      </c>
      <c r="E2657" s="80">
        <v>45782</v>
      </c>
      <c r="F2657">
        <v>2011310</v>
      </c>
      <c r="G2657">
        <v>4276</v>
      </c>
    </row>
    <row r="2658" spans="1:7" x14ac:dyDescent="0.3">
      <c r="A2658" s="80">
        <v>45802</v>
      </c>
      <c r="B2658">
        <v>3010212</v>
      </c>
      <c r="C2658">
        <v>951.62</v>
      </c>
      <c r="E2658" s="80">
        <v>45782</v>
      </c>
      <c r="F2658">
        <v>2011310</v>
      </c>
      <c r="G2658">
        <v>8107.93</v>
      </c>
    </row>
    <row r="2659" spans="1:7" x14ac:dyDescent="0.3">
      <c r="A2659" s="80">
        <v>45801</v>
      </c>
      <c r="B2659">
        <v>3010212</v>
      </c>
      <c r="C2659">
        <v>951.62</v>
      </c>
      <c r="E2659" s="80">
        <v>45782</v>
      </c>
      <c r="F2659">
        <v>2011310</v>
      </c>
      <c r="G2659">
        <v>4435</v>
      </c>
    </row>
    <row r="2660" spans="1:7" x14ac:dyDescent="0.3">
      <c r="A2660" s="80">
        <v>45801</v>
      </c>
      <c r="B2660">
        <v>3010212</v>
      </c>
      <c r="C2660">
        <v>951.62</v>
      </c>
      <c r="E2660" s="80">
        <v>45782</v>
      </c>
      <c r="F2660">
        <v>2011310</v>
      </c>
      <c r="G2660">
        <v>3990</v>
      </c>
    </row>
    <row r="2661" spans="1:7" x14ac:dyDescent="0.3">
      <c r="A2661" s="80">
        <v>45801</v>
      </c>
      <c r="B2661">
        <v>3010212</v>
      </c>
      <c r="C2661">
        <v>1142.02</v>
      </c>
      <c r="E2661" s="80">
        <v>45782</v>
      </c>
      <c r="F2661">
        <v>2011310</v>
      </c>
      <c r="G2661">
        <v>1881.04</v>
      </c>
    </row>
    <row r="2662" spans="1:7" x14ac:dyDescent="0.3">
      <c r="A2662" s="80">
        <v>45801</v>
      </c>
      <c r="B2662">
        <v>3010212</v>
      </c>
      <c r="C2662">
        <v>1142.02</v>
      </c>
      <c r="E2662" s="80">
        <v>45782</v>
      </c>
      <c r="F2662">
        <v>2011310</v>
      </c>
      <c r="G2662">
        <v>1595.04</v>
      </c>
    </row>
    <row r="2663" spans="1:7" x14ac:dyDescent="0.3">
      <c r="A2663" s="80">
        <v>45801</v>
      </c>
      <c r="B2663">
        <v>3010212</v>
      </c>
      <c r="C2663">
        <v>1865.54</v>
      </c>
      <c r="E2663" s="80">
        <v>45782</v>
      </c>
      <c r="F2663">
        <v>2011310</v>
      </c>
      <c r="G2663">
        <v>7980</v>
      </c>
    </row>
    <row r="2664" spans="1:7" x14ac:dyDescent="0.3">
      <c r="A2664" s="80">
        <v>45801</v>
      </c>
      <c r="B2664">
        <v>3010212</v>
      </c>
      <c r="C2664">
        <v>1142.02</v>
      </c>
      <c r="E2664" s="80">
        <v>45782</v>
      </c>
      <c r="F2664">
        <v>2011310</v>
      </c>
      <c r="G2664">
        <v>3990</v>
      </c>
    </row>
    <row r="2665" spans="1:7" x14ac:dyDescent="0.3">
      <c r="A2665" s="80">
        <v>45801</v>
      </c>
      <c r="B2665">
        <v>3010212</v>
      </c>
      <c r="C2665">
        <v>951.62</v>
      </c>
      <c r="E2665" s="80">
        <v>45782</v>
      </c>
      <c r="F2665">
        <v>2011310</v>
      </c>
      <c r="G2665">
        <v>4276</v>
      </c>
    </row>
    <row r="2666" spans="1:7" x14ac:dyDescent="0.3">
      <c r="A2666" s="80">
        <v>45801</v>
      </c>
      <c r="B2666">
        <v>3010212</v>
      </c>
      <c r="C2666">
        <v>1903.24</v>
      </c>
      <c r="E2666" s="80">
        <v>45782</v>
      </c>
      <c r="F2666">
        <v>2011310</v>
      </c>
      <c r="G2666">
        <v>4788.32</v>
      </c>
    </row>
    <row r="2667" spans="1:7" x14ac:dyDescent="0.3">
      <c r="A2667" s="80">
        <v>45801</v>
      </c>
      <c r="B2667">
        <v>3010212</v>
      </c>
      <c r="C2667">
        <v>951.62</v>
      </c>
      <c r="E2667" s="80">
        <v>45782</v>
      </c>
      <c r="F2667">
        <v>2011310</v>
      </c>
      <c r="G2667">
        <v>4388</v>
      </c>
    </row>
    <row r="2668" spans="1:7" x14ac:dyDescent="0.3">
      <c r="A2668" s="80">
        <v>45801</v>
      </c>
      <c r="B2668">
        <v>3010212</v>
      </c>
      <c r="C2668">
        <v>380.42</v>
      </c>
      <c r="E2668" s="80">
        <v>45781</v>
      </c>
      <c r="F2668">
        <v>2011310</v>
      </c>
      <c r="G2668">
        <v>4276</v>
      </c>
    </row>
    <row r="2669" spans="1:7" x14ac:dyDescent="0.3">
      <c r="A2669" s="80">
        <v>45800</v>
      </c>
      <c r="B2669">
        <v>3010212</v>
      </c>
      <c r="C2669">
        <v>380.42</v>
      </c>
      <c r="E2669" s="80">
        <v>45781</v>
      </c>
      <c r="F2669">
        <v>2011310</v>
      </c>
      <c r="G2669">
        <v>4276</v>
      </c>
    </row>
    <row r="2670" spans="1:7" x14ac:dyDescent="0.3">
      <c r="A2670" s="80">
        <v>45800</v>
      </c>
      <c r="B2670">
        <v>3010212</v>
      </c>
      <c r="C2670">
        <v>951.62</v>
      </c>
      <c r="E2670" s="80">
        <v>45781</v>
      </c>
      <c r="F2670">
        <v>2011310</v>
      </c>
      <c r="G2670">
        <v>4276</v>
      </c>
    </row>
    <row r="2671" spans="1:7" x14ac:dyDescent="0.3">
      <c r="A2671" s="80">
        <v>45800</v>
      </c>
      <c r="B2671">
        <v>3010212</v>
      </c>
      <c r="C2671">
        <v>1142.02</v>
      </c>
      <c r="E2671" s="80">
        <v>45781</v>
      </c>
      <c r="F2671">
        <v>2011310</v>
      </c>
      <c r="G2671">
        <v>4340</v>
      </c>
    </row>
    <row r="2672" spans="1:7" x14ac:dyDescent="0.3">
      <c r="A2672" s="80">
        <v>45800</v>
      </c>
      <c r="B2672">
        <v>3010212</v>
      </c>
      <c r="C2672">
        <v>951.62</v>
      </c>
      <c r="E2672" s="80">
        <v>45781</v>
      </c>
      <c r="F2672">
        <v>2011310</v>
      </c>
      <c r="G2672">
        <v>3990</v>
      </c>
    </row>
    <row r="2673" spans="1:7" x14ac:dyDescent="0.3">
      <c r="A2673" s="80">
        <v>45800</v>
      </c>
      <c r="B2673">
        <v>3010212</v>
      </c>
      <c r="C2673">
        <v>1142.02</v>
      </c>
      <c r="E2673" s="80">
        <v>45780</v>
      </c>
      <c r="F2673">
        <v>2011310</v>
      </c>
      <c r="G2673">
        <v>4276</v>
      </c>
    </row>
    <row r="2674" spans="1:7" x14ac:dyDescent="0.3">
      <c r="A2674" s="80">
        <v>45800</v>
      </c>
      <c r="B2674">
        <v>3010212</v>
      </c>
      <c r="C2674">
        <v>951.62</v>
      </c>
      <c r="E2674" s="80">
        <v>45780</v>
      </c>
      <c r="F2674">
        <v>2011310</v>
      </c>
      <c r="G2674">
        <v>4788.32</v>
      </c>
    </row>
    <row r="2675" spans="1:7" x14ac:dyDescent="0.3">
      <c r="A2675" s="80">
        <v>45800</v>
      </c>
      <c r="B2675">
        <v>3010212</v>
      </c>
      <c r="C2675">
        <v>1865.54</v>
      </c>
      <c r="E2675" s="80">
        <v>45780</v>
      </c>
      <c r="F2675">
        <v>2011310</v>
      </c>
      <c r="G2675">
        <v>4276</v>
      </c>
    </row>
    <row r="2676" spans="1:7" x14ac:dyDescent="0.3">
      <c r="A2676" s="80">
        <v>45799</v>
      </c>
      <c r="B2676">
        <v>3010212</v>
      </c>
      <c r="C2676">
        <v>951.62</v>
      </c>
      <c r="E2676" s="80">
        <v>45780</v>
      </c>
      <c r="F2676">
        <v>2011310</v>
      </c>
      <c r="G2676">
        <v>4276</v>
      </c>
    </row>
    <row r="2677" spans="1:7" x14ac:dyDescent="0.3">
      <c r="A2677" s="80">
        <v>45799</v>
      </c>
      <c r="B2677">
        <v>3010212</v>
      </c>
      <c r="C2677">
        <v>951.62</v>
      </c>
      <c r="E2677" s="80">
        <v>45779</v>
      </c>
      <c r="F2677">
        <v>2011310</v>
      </c>
      <c r="G2677">
        <v>4276</v>
      </c>
    </row>
    <row r="2678" spans="1:7" x14ac:dyDescent="0.3">
      <c r="A2678" s="80">
        <v>45799</v>
      </c>
      <c r="B2678">
        <v>3010212</v>
      </c>
      <c r="C2678">
        <v>951.62</v>
      </c>
      <c r="E2678" s="80">
        <v>45779</v>
      </c>
      <c r="F2678">
        <v>2011310</v>
      </c>
      <c r="G2678">
        <v>4788.32</v>
      </c>
    </row>
    <row r="2679" spans="1:7" x14ac:dyDescent="0.3">
      <c r="A2679" s="80">
        <v>45799</v>
      </c>
      <c r="B2679">
        <v>3010212</v>
      </c>
      <c r="C2679">
        <v>951.62</v>
      </c>
      <c r="E2679" s="80">
        <v>45779</v>
      </c>
      <c r="F2679">
        <v>2011310</v>
      </c>
      <c r="G2679">
        <v>4946</v>
      </c>
    </row>
    <row r="2680" spans="1:7" x14ac:dyDescent="0.3">
      <c r="A2680" s="80">
        <v>45798</v>
      </c>
      <c r="B2680">
        <v>3010212</v>
      </c>
      <c r="C2680">
        <v>190.21</v>
      </c>
      <c r="E2680" s="80">
        <v>45779</v>
      </c>
      <c r="F2680">
        <v>2011310</v>
      </c>
      <c r="G2680">
        <v>4276</v>
      </c>
    </row>
    <row r="2681" spans="1:7" x14ac:dyDescent="0.3">
      <c r="A2681" s="80">
        <v>45798</v>
      </c>
      <c r="B2681">
        <v>3010212</v>
      </c>
      <c r="C2681">
        <v>1903.24</v>
      </c>
      <c r="E2681" s="80">
        <v>45778</v>
      </c>
      <c r="F2681">
        <v>2011310</v>
      </c>
      <c r="G2681">
        <v>4340</v>
      </c>
    </row>
    <row r="2682" spans="1:7" x14ac:dyDescent="0.3">
      <c r="A2682" s="80">
        <v>45798</v>
      </c>
      <c r="B2682">
        <v>3010212</v>
      </c>
      <c r="C2682">
        <v>951.62</v>
      </c>
      <c r="E2682" s="80">
        <v>45778</v>
      </c>
      <c r="F2682">
        <v>2011310</v>
      </c>
      <c r="G2682">
        <v>4276</v>
      </c>
    </row>
    <row r="2683" spans="1:7" x14ac:dyDescent="0.3">
      <c r="A2683" s="80">
        <v>45798</v>
      </c>
      <c r="B2683">
        <v>3010212</v>
      </c>
      <c r="C2683">
        <v>1865.54</v>
      </c>
      <c r="E2683" s="80">
        <v>45777</v>
      </c>
      <c r="F2683">
        <v>2011310</v>
      </c>
      <c r="G2683">
        <v>4276</v>
      </c>
    </row>
    <row r="2684" spans="1:7" x14ac:dyDescent="0.3">
      <c r="A2684" s="80">
        <v>45798</v>
      </c>
      <c r="B2684">
        <v>3010212</v>
      </c>
      <c r="C2684">
        <v>1865.54</v>
      </c>
      <c r="E2684" s="80">
        <v>45777</v>
      </c>
      <c r="F2684">
        <v>2011310</v>
      </c>
      <c r="G2684">
        <v>4276</v>
      </c>
    </row>
    <row r="2685" spans="1:7" x14ac:dyDescent="0.3">
      <c r="A2685" s="80">
        <v>45798</v>
      </c>
      <c r="B2685">
        <v>3010212</v>
      </c>
      <c r="C2685">
        <v>951.62</v>
      </c>
      <c r="E2685" s="80">
        <v>45777</v>
      </c>
      <c r="F2685">
        <v>2011310</v>
      </c>
      <c r="G2685">
        <v>4788.32</v>
      </c>
    </row>
    <row r="2686" spans="1:7" x14ac:dyDescent="0.3">
      <c r="A2686" s="80">
        <v>45798</v>
      </c>
      <c r="B2686">
        <v>3010212</v>
      </c>
      <c r="C2686">
        <v>951.62</v>
      </c>
      <c r="E2686" s="80">
        <v>45777</v>
      </c>
      <c r="F2686">
        <v>2011310</v>
      </c>
      <c r="G2686">
        <v>4276</v>
      </c>
    </row>
    <row r="2687" spans="1:7" x14ac:dyDescent="0.3">
      <c r="A2687" s="80">
        <v>45797</v>
      </c>
      <c r="B2687">
        <v>3010212</v>
      </c>
      <c r="C2687">
        <v>951.62</v>
      </c>
      <c r="E2687" s="80">
        <v>45777</v>
      </c>
      <c r="F2687">
        <v>2011310</v>
      </c>
      <c r="G2687">
        <v>4788.32</v>
      </c>
    </row>
    <row r="2688" spans="1:7" x14ac:dyDescent="0.3">
      <c r="A2688" s="80">
        <v>45797</v>
      </c>
      <c r="B2688">
        <v>3010212</v>
      </c>
      <c r="C2688">
        <v>1142.02</v>
      </c>
      <c r="E2688" s="80">
        <v>45776</v>
      </c>
      <c r="F2688">
        <v>2011310</v>
      </c>
      <c r="G2688">
        <v>4276</v>
      </c>
    </row>
    <row r="2689" spans="1:7" x14ac:dyDescent="0.3">
      <c r="A2689" s="80">
        <v>45797</v>
      </c>
      <c r="B2689">
        <v>3010212</v>
      </c>
      <c r="C2689">
        <v>951.62</v>
      </c>
      <c r="E2689" s="80">
        <v>45776</v>
      </c>
      <c r="F2689">
        <v>2011310</v>
      </c>
      <c r="G2689">
        <v>4707</v>
      </c>
    </row>
    <row r="2690" spans="1:7" x14ac:dyDescent="0.3">
      <c r="A2690" s="80">
        <v>45797</v>
      </c>
      <c r="B2690">
        <v>3010212</v>
      </c>
      <c r="C2690">
        <v>951.62</v>
      </c>
      <c r="E2690" s="80">
        <v>45776</v>
      </c>
      <c r="F2690">
        <v>2011310</v>
      </c>
      <c r="G2690">
        <v>3990</v>
      </c>
    </row>
    <row r="2691" spans="1:7" x14ac:dyDescent="0.3">
      <c r="A2691" s="80">
        <v>45797</v>
      </c>
      <c r="B2691">
        <v>3010212</v>
      </c>
      <c r="C2691">
        <v>951.62</v>
      </c>
      <c r="E2691" s="80">
        <v>45776</v>
      </c>
      <c r="F2691">
        <v>2011310</v>
      </c>
      <c r="G2691">
        <v>3990</v>
      </c>
    </row>
    <row r="2692" spans="1:7" x14ac:dyDescent="0.3">
      <c r="A2692" s="80">
        <v>45797</v>
      </c>
      <c r="B2692">
        <v>3010212</v>
      </c>
      <c r="C2692">
        <v>951.62</v>
      </c>
      <c r="E2692" s="80">
        <v>45776</v>
      </c>
      <c r="F2692">
        <v>2011310</v>
      </c>
      <c r="G2692">
        <v>4276</v>
      </c>
    </row>
    <row r="2693" spans="1:7" x14ac:dyDescent="0.3">
      <c r="A2693" s="80">
        <v>45796</v>
      </c>
      <c r="B2693">
        <v>3010212</v>
      </c>
      <c r="C2693">
        <v>1142.02</v>
      </c>
      <c r="E2693" s="80">
        <v>45776</v>
      </c>
      <c r="F2693">
        <v>2011310</v>
      </c>
      <c r="G2693">
        <v>4388</v>
      </c>
    </row>
    <row r="2694" spans="1:7" x14ac:dyDescent="0.3">
      <c r="A2694" s="80">
        <v>45796</v>
      </c>
      <c r="B2694">
        <v>3010212</v>
      </c>
      <c r="C2694">
        <v>1142.02</v>
      </c>
      <c r="E2694" s="80">
        <v>45776</v>
      </c>
      <c r="F2694">
        <v>2011310</v>
      </c>
      <c r="G2694">
        <v>4276</v>
      </c>
    </row>
    <row r="2695" spans="1:7" x14ac:dyDescent="0.3">
      <c r="A2695" s="80">
        <v>45796</v>
      </c>
      <c r="B2695">
        <v>3010212</v>
      </c>
      <c r="C2695">
        <v>951.62</v>
      </c>
      <c r="E2695" s="80">
        <v>45775</v>
      </c>
      <c r="F2695">
        <v>2011310</v>
      </c>
      <c r="G2695">
        <v>4499.8500000000004</v>
      </c>
    </row>
    <row r="2696" spans="1:7" x14ac:dyDescent="0.3">
      <c r="A2696" s="80">
        <v>45795</v>
      </c>
      <c r="B2696">
        <v>3010212</v>
      </c>
      <c r="C2696">
        <v>951.62</v>
      </c>
      <c r="E2696" s="80">
        <v>45775</v>
      </c>
      <c r="F2696">
        <v>2011310</v>
      </c>
      <c r="G2696">
        <v>797.52</v>
      </c>
    </row>
    <row r="2697" spans="1:7" x14ac:dyDescent="0.3">
      <c r="A2697" s="80">
        <v>45795</v>
      </c>
      <c r="B2697">
        <v>3010212</v>
      </c>
      <c r="C2697">
        <v>951.62</v>
      </c>
      <c r="E2697" s="80">
        <v>45775</v>
      </c>
      <c r="F2697">
        <v>2011310</v>
      </c>
      <c r="G2697">
        <v>4276</v>
      </c>
    </row>
    <row r="2698" spans="1:7" x14ac:dyDescent="0.3">
      <c r="A2698" s="80">
        <v>45795</v>
      </c>
      <c r="B2698">
        <v>3010212</v>
      </c>
      <c r="C2698">
        <v>1865.54</v>
      </c>
      <c r="E2698" s="80">
        <v>45774</v>
      </c>
      <c r="F2698">
        <v>2011310</v>
      </c>
      <c r="G2698">
        <v>4276</v>
      </c>
    </row>
    <row r="2699" spans="1:7" x14ac:dyDescent="0.3">
      <c r="A2699" s="80">
        <v>45795</v>
      </c>
      <c r="B2699">
        <v>3010212</v>
      </c>
      <c r="C2699">
        <v>951.62</v>
      </c>
      <c r="E2699" s="80">
        <v>45774</v>
      </c>
      <c r="F2699">
        <v>2011310</v>
      </c>
      <c r="G2699">
        <v>4435</v>
      </c>
    </row>
    <row r="2700" spans="1:7" x14ac:dyDescent="0.3">
      <c r="A2700" s="80">
        <v>45794</v>
      </c>
      <c r="B2700">
        <v>3010212</v>
      </c>
      <c r="C2700">
        <v>951.62</v>
      </c>
      <c r="E2700" s="80">
        <v>45774</v>
      </c>
      <c r="F2700">
        <v>2011310</v>
      </c>
      <c r="G2700">
        <v>4595.8500000000004</v>
      </c>
    </row>
    <row r="2701" spans="1:7" x14ac:dyDescent="0.3">
      <c r="A2701" s="80">
        <v>45794</v>
      </c>
      <c r="B2701">
        <v>3010212</v>
      </c>
      <c r="C2701">
        <v>951.62</v>
      </c>
      <c r="E2701" s="80">
        <v>45774</v>
      </c>
      <c r="F2701">
        <v>2011310</v>
      </c>
      <c r="G2701">
        <v>3990</v>
      </c>
    </row>
    <row r="2702" spans="1:7" x14ac:dyDescent="0.3">
      <c r="A2702" s="80">
        <v>45794</v>
      </c>
      <c r="B2702">
        <v>3010212</v>
      </c>
      <c r="C2702">
        <v>951.62</v>
      </c>
      <c r="E2702" s="80">
        <v>45774</v>
      </c>
      <c r="F2702">
        <v>2011310</v>
      </c>
      <c r="G2702">
        <v>4788.32</v>
      </c>
    </row>
    <row r="2703" spans="1:7" x14ac:dyDescent="0.3">
      <c r="A2703" s="80">
        <v>45793</v>
      </c>
      <c r="B2703">
        <v>3010212</v>
      </c>
      <c r="C2703">
        <v>951.62</v>
      </c>
      <c r="E2703" s="80">
        <v>45774</v>
      </c>
      <c r="F2703">
        <v>2011310</v>
      </c>
      <c r="G2703">
        <v>4499.8500000000004</v>
      </c>
    </row>
    <row r="2704" spans="1:7" x14ac:dyDescent="0.3">
      <c r="A2704" s="80">
        <v>45792</v>
      </c>
      <c r="B2704">
        <v>3010212</v>
      </c>
      <c r="C2704">
        <v>1142.02</v>
      </c>
      <c r="E2704" s="80">
        <v>45774</v>
      </c>
      <c r="F2704">
        <v>2011310</v>
      </c>
      <c r="G2704">
        <v>4276</v>
      </c>
    </row>
    <row r="2705" spans="1:7" x14ac:dyDescent="0.3">
      <c r="A2705" s="80">
        <v>45792</v>
      </c>
      <c r="B2705">
        <v>3010212</v>
      </c>
      <c r="C2705">
        <v>951.62</v>
      </c>
      <c r="E2705" s="80">
        <v>45773</v>
      </c>
      <c r="F2705">
        <v>2011310</v>
      </c>
      <c r="G2705">
        <v>4435</v>
      </c>
    </row>
    <row r="2706" spans="1:7" x14ac:dyDescent="0.3">
      <c r="A2706" s="80">
        <v>45792</v>
      </c>
      <c r="B2706">
        <v>3010212</v>
      </c>
      <c r="C2706">
        <v>380.42</v>
      </c>
      <c r="E2706" s="80">
        <v>45773</v>
      </c>
      <c r="F2706">
        <v>2011310</v>
      </c>
      <c r="G2706">
        <v>4788.32</v>
      </c>
    </row>
    <row r="2707" spans="1:7" x14ac:dyDescent="0.3">
      <c r="A2707" s="80">
        <v>45792</v>
      </c>
      <c r="B2707">
        <v>3010212</v>
      </c>
      <c r="C2707">
        <v>951.62</v>
      </c>
      <c r="E2707" s="80">
        <v>45773</v>
      </c>
      <c r="F2707">
        <v>2011310</v>
      </c>
      <c r="G2707">
        <v>4276</v>
      </c>
    </row>
    <row r="2708" spans="1:7" x14ac:dyDescent="0.3">
      <c r="A2708" s="80">
        <v>45791</v>
      </c>
      <c r="B2708">
        <v>3010212</v>
      </c>
      <c r="C2708">
        <v>951.62</v>
      </c>
      <c r="E2708" s="80">
        <v>45773</v>
      </c>
      <c r="F2708">
        <v>2011310</v>
      </c>
      <c r="G2708">
        <v>4788.32</v>
      </c>
    </row>
    <row r="2709" spans="1:7" x14ac:dyDescent="0.3">
      <c r="A2709" s="80">
        <v>45791</v>
      </c>
      <c r="B2709">
        <v>3010212</v>
      </c>
      <c r="C2709">
        <v>1142.02</v>
      </c>
      <c r="E2709" s="80">
        <v>45773</v>
      </c>
      <c r="F2709">
        <v>2011310</v>
      </c>
      <c r="G2709">
        <v>4788.32</v>
      </c>
    </row>
    <row r="2710" spans="1:7" x14ac:dyDescent="0.3">
      <c r="A2710" s="80">
        <v>45791</v>
      </c>
      <c r="B2710">
        <v>3010212</v>
      </c>
      <c r="C2710">
        <v>951.62</v>
      </c>
      <c r="E2710" s="80">
        <v>45773</v>
      </c>
      <c r="F2710">
        <v>2011310</v>
      </c>
      <c r="G2710">
        <v>4788.32</v>
      </c>
    </row>
    <row r="2711" spans="1:7" x14ac:dyDescent="0.3">
      <c r="A2711" s="80">
        <v>45791</v>
      </c>
      <c r="B2711">
        <v>3010212</v>
      </c>
      <c r="C2711">
        <v>1142.02</v>
      </c>
      <c r="E2711" s="80">
        <v>45773</v>
      </c>
      <c r="F2711">
        <v>2011310</v>
      </c>
      <c r="G2711">
        <v>4788.32</v>
      </c>
    </row>
    <row r="2712" spans="1:7" x14ac:dyDescent="0.3">
      <c r="A2712" s="80">
        <v>45790</v>
      </c>
      <c r="B2712">
        <v>3010212</v>
      </c>
      <c r="C2712">
        <v>951.62</v>
      </c>
      <c r="E2712" s="80">
        <v>45773</v>
      </c>
      <c r="F2712">
        <v>2011310</v>
      </c>
      <c r="G2712">
        <v>3990</v>
      </c>
    </row>
    <row r="2713" spans="1:7" x14ac:dyDescent="0.3">
      <c r="A2713" s="80">
        <v>45789</v>
      </c>
      <c r="B2713">
        <v>3010212</v>
      </c>
      <c r="C2713">
        <v>951.62</v>
      </c>
      <c r="E2713" s="80">
        <v>45773</v>
      </c>
      <c r="F2713">
        <v>2011310</v>
      </c>
      <c r="G2713">
        <v>4994.8500000000004</v>
      </c>
    </row>
    <row r="2714" spans="1:7" x14ac:dyDescent="0.3">
      <c r="A2714" s="80">
        <v>45789</v>
      </c>
      <c r="B2714">
        <v>3010212</v>
      </c>
      <c r="C2714">
        <v>951.62</v>
      </c>
      <c r="E2714" s="80">
        <v>45773</v>
      </c>
      <c r="F2714">
        <v>2011310</v>
      </c>
      <c r="G2714">
        <v>4499.8500000000004</v>
      </c>
    </row>
    <row r="2715" spans="1:7" x14ac:dyDescent="0.3">
      <c r="A2715" s="80">
        <v>45789</v>
      </c>
      <c r="B2715">
        <v>3010212</v>
      </c>
      <c r="C2715">
        <v>951.62</v>
      </c>
      <c r="E2715" s="80">
        <v>45773</v>
      </c>
      <c r="F2715">
        <v>2011310</v>
      </c>
      <c r="G2715">
        <v>4499.8500000000004</v>
      </c>
    </row>
    <row r="2716" spans="1:7" x14ac:dyDescent="0.3">
      <c r="A2716" s="80">
        <v>45788</v>
      </c>
      <c r="B2716">
        <v>3010212</v>
      </c>
      <c r="C2716">
        <v>951.62</v>
      </c>
      <c r="E2716" s="80">
        <v>45772</v>
      </c>
      <c r="F2716">
        <v>2011310</v>
      </c>
      <c r="G2716">
        <v>4276</v>
      </c>
    </row>
    <row r="2717" spans="1:7" x14ac:dyDescent="0.3">
      <c r="A2717" s="80">
        <v>45788</v>
      </c>
      <c r="B2717">
        <v>3010212</v>
      </c>
      <c r="C2717">
        <v>951.62</v>
      </c>
      <c r="E2717" s="80">
        <v>45772</v>
      </c>
      <c r="F2717">
        <v>2011310</v>
      </c>
      <c r="G2717">
        <v>4788.32</v>
      </c>
    </row>
    <row r="2718" spans="1:7" x14ac:dyDescent="0.3">
      <c r="A2718" s="80">
        <v>45788</v>
      </c>
      <c r="B2718">
        <v>3010212</v>
      </c>
      <c r="C2718">
        <v>951.62</v>
      </c>
      <c r="E2718" s="80">
        <v>45772</v>
      </c>
      <c r="F2718">
        <v>2011310</v>
      </c>
      <c r="G2718">
        <v>4788.32</v>
      </c>
    </row>
    <row r="2719" spans="1:7" x14ac:dyDescent="0.3">
      <c r="A2719" s="80">
        <v>45788</v>
      </c>
      <c r="B2719">
        <v>3010212</v>
      </c>
      <c r="C2719">
        <v>1903.24</v>
      </c>
      <c r="E2719" s="80">
        <v>45772</v>
      </c>
      <c r="F2719">
        <v>2011310</v>
      </c>
      <c r="G2719">
        <v>4499.8500000000004</v>
      </c>
    </row>
    <row r="2720" spans="1:7" x14ac:dyDescent="0.3">
      <c r="A2720" s="80">
        <v>45788</v>
      </c>
      <c r="B2720">
        <v>3010212</v>
      </c>
      <c r="C2720">
        <v>951.62</v>
      </c>
      <c r="E2720" s="80">
        <v>45772</v>
      </c>
      <c r="F2720">
        <v>2011310</v>
      </c>
      <c r="G2720">
        <v>797.52</v>
      </c>
    </row>
    <row r="2721" spans="1:7" x14ac:dyDescent="0.3">
      <c r="A2721" s="80">
        <v>45788</v>
      </c>
      <c r="B2721">
        <v>3010212</v>
      </c>
      <c r="C2721">
        <v>951.62</v>
      </c>
      <c r="E2721" s="80">
        <v>45772</v>
      </c>
      <c r="F2721">
        <v>2011310</v>
      </c>
      <c r="G2721">
        <v>4276</v>
      </c>
    </row>
    <row r="2722" spans="1:7" x14ac:dyDescent="0.3">
      <c r="A2722" s="80">
        <v>45787</v>
      </c>
      <c r="B2722">
        <v>3010212</v>
      </c>
      <c r="C2722">
        <v>1865.54</v>
      </c>
      <c r="E2722" s="80">
        <v>45772</v>
      </c>
      <c r="F2722">
        <v>2011310</v>
      </c>
      <c r="G2722">
        <v>797.52</v>
      </c>
    </row>
    <row r="2723" spans="1:7" x14ac:dyDescent="0.3">
      <c r="A2723" s="80">
        <v>45787</v>
      </c>
      <c r="B2723">
        <v>3010212</v>
      </c>
      <c r="C2723">
        <v>951.62</v>
      </c>
      <c r="E2723" s="80">
        <v>45772</v>
      </c>
      <c r="F2723">
        <v>2011310</v>
      </c>
      <c r="G2723">
        <v>4276</v>
      </c>
    </row>
    <row r="2724" spans="1:7" x14ac:dyDescent="0.3">
      <c r="A2724" s="80">
        <v>45787</v>
      </c>
      <c r="B2724">
        <v>3010212</v>
      </c>
      <c r="C2724">
        <v>951.62</v>
      </c>
      <c r="E2724" s="80">
        <v>45772</v>
      </c>
      <c r="F2724">
        <v>2011310</v>
      </c>
      <c r="G2724">
        <v>3990</v>
      </c>
    </row>
    <row r="2725" spans="1:7" x14ac:dyDescent="0.3">
      <c r="A2725" s="80">
        <v>45787</v>
      </c>
      <c r="B2725">
        <v>3010212</v>
      </c>
      <c r="C2725">
        <v>951.62</v>
      </c>
      <c r="E2725" s="80">
        <v>45772</v>
      </c>
      <c r="F2725">
        <v>2011310</v>
      </c>
      <c r="G2725">
        <v>4499.8500000000004</v>
      </c>
    </row>
    <row r="2726" spans="1:7" x14ac:dyDescent="0.3">
      <c r="A2726" s="80">
        <v>45786</v>
      </c>
      <c r="B2726">
        <v>3010212</v>
      </c>
      <c r="C2726">
        <v>1142.02</v>
      </c>
      <c r="E2726" s="80">
        <v>45772</v>
      </c>
      <c r="F2726">
        <v>2011310</v>
      </c>
      <c r="G2726">
        <v>797.52</v>
      </c>
    </row>
    <row r="2727" spans="1:7" x14ac:dyDescent="0.3">
      <c r="A2727" s="80">
        <v>45786</v>
      </c>
      <c r="B2727">
        <v>3010212</v>
      </c>
      <c r="C2727">
        <v>951.62</v>
      </c>
      <c r="E2727" s="80">
        <v>45772</v>
      </c>
      <c r="F2727">
        <v>2011310</v>
      </c>
      <c r="G2727">
        <v>8266</v>
      </c>
    </row>
    <row r="2728" spans="1:7" x14ac:dyDescent="0.3">
      <c r="A2728" s="80">
        <v>45786</v>
      </c>
      <c r="B2728">
        <v>3010212</v>
      </c>
      <c r="C2728">
        <v>190.21</v>
      </c>
      <c r="E2728" s="80">
        <v>45772</v>
      </c>
      <c r="F2728">
        <v>2011310</v>
      </c>
      <c r="G2728">
        <v>4788.32</v>
      </c>
    </row>
    <row r="2729" spans="1:7" x14ac:dyDescent="0.3">
      <c r="A2729" s="80">
        <v>45786</v>
      </c>
      <c r="B2729">
        <v>3010212</v>
      </c>
      <c r="C2729">
        <v>951.62</v>
      </c>
      <c r="E2729" s="80">
        <v>45772</v>
      </c>
      <c r="F2729">
        <v>2011310</v>
      </c>
      <c r="G2729">
        <v>4499.8500000000004</v>
      </c>
    </row>
    <row r="2730" spans="1:7" x14ac:dyDescent="0.3">
      <c r="A2730" s="80">
        <v>45786</v>
      </c>
      <c r="B2730">
        <v>3010212</v>
      </c>
      <c r="C2730">
        <v>951.62</v>
      </c>
      <c r="E2730" s="80">
        <v>45771</v>
      </c>
      <c r="F2730">
        <v>2011310</v>
      </c>
      <c r="G2730">
        <v>4499.8500000000004</v>
      </c>
    </row>
    <row r="2731" spans="1:7" x14ac:dyDescent="0.3">
      <c r="A2731" s="80">
        <v>45786</v>
      </c>
      <c r="B2731">
        <v>3010212</v>
      </c>
      <c r="C2731">
        <v>951.62</v>
      </c>
      <c r="E2731" s="80">
        <v>45771</v>
      </c>
      <c r="F2731">
        <v>2011310</v>
      </c>
      <c r="G2731">
        <v>1881.04</v>
      </c>
    </row>
    <row r="2732" spans="1:7" x14ac:dyDescent="0.3">
      <c r="A2732" s="80">
        <v>45786</v>
      </c>
      <c r="B2732">
        <v>3010212</v>
      </c>
      <c r="C2732">
        <v>951.62</v>
      </c>
      <c r="E2732" s="80">
        <v>45771</v>
      </c>
      <c r="F2732">
        <v>2011310</v>
      </c>
      <c r="G2732">
        <v>4499.8500000000004</v>
      </c>
    </row>
    <row r="2733" spans="1:7" x14ac:dyDescent="0.3">
      <c r="A2733" s="80">
        <v>45785</v>
      </c>
      <c r="B2733">
        <v>3010212</v>
      </c>
      <c r="C2733">
        <v>951.62</v>
      </c>
      <c r="E2733" s="80">
        <v>45771</v>
      </c>
      <c r="F2733">
        <v>2011310</v>
      </c>
      <c r="G2733">
        <v>4946</v>
      </c>
    </row>
    <row r="2734" spans="1:7" x14ac:dyDescent="0.3">
      <c r="A2734" s="80">
        <v>45785</v>
      </c>
      <c r="B2734">
        <v>3010212</v>
      </c>
      <c r="C2734">
        <v>951.62</v>
      </c>
      <c r="E2734" s="80">
        <v>45771</v>
      </c>
      <c r="F2734">
        <v>2011310</v>
      </c>
      <c r="G2734">
        <v>4276</v>
      </c>
    </row>
    <row r="2735" spans="1:7" x14ac:dyDescent="0.3">
      <c r="A2735" s="80">
        <v>45785</v>
      </c>
      <c r="B2735">
        <v>3010212</v>
      </c>
      <c r="C2735">
        <v>1142.02</v>
      </c>
      <c r="E2735" s="80">
        <v>45771</v>
      </c>
      <c r="F2735">
        <v>2011310</v>
      </c>
      <c r="G2735">
        <v>4850.8500000000004</v>
      </c>
    </row>
    <row r="2736" spans="1:7" x14ac:dyDescent="0.3">
      <c r="A2736" s="80">
        <v>45785</v>
      </c>
      <c r="B2736">
        <v>3010212</v>
      </c>
      <c r="C2736">
        <v>951.62</v>
      </c>
      <c r="E2736" s="80">
        <v>45771</v>
      </c>
      <c r="F2736">
        <v>2011310</v>
      </c>
      <c r="G2736">
        <v>4788.32</v>
      </c>
    </row>
    <row r="2737" spans="1:7" x14ac:dyDescent="0.3">
      <c r="A2737" s="80">
        <v>45785</v>
      </c>
      <c r="B2737">
        <v>3010212</v>
      </c>
      <c r="C2737">
        <v>1903.24</v>
      </c>
      <c r="E2737" s="80">
        <v>45771</v>
      </c>
      <c r="F2737">
        <v>2011310</v>
      </c>
      <c r="G2737">
        <v>4788.32</v>
      </c>
    </row>
    <row r="2738" spans="1:7" x14ac:dyDescent="0.3">
      <c r="A2738" s="80">
        <v>45785</v>
      </c>
      <c r="B2738">
        <v>3010212</v>
      </c>
      <c r="C2738">
        <v>951.62</v>
      </c>
      <c r="E2738" s="80">
        <v>45770</v>
      </c>
      <c r="F2738">
        <v>2011310</v>
      </c>
      <c r="G2738">
        <v>4978.8500000000004</v>
      </c>
    </row>
    <row r="2739" spans="1:7" x14ac:dyDescent="0.3">
      <c r="A2739" s="80">
        <v>45784</v>
      </c>
      <c r="B2739">
        <v>3010212</v>
      </c>
      <c r="C2739">
        <v>951.62</v>
      </c>
      <c r="E2739" s="80">
        <v>45770</v>
      </c>
      <c r="F2739">
        <v>2011310</v>
      </c>
      <c r="G2739">
        <v>4978.8500000000004</v>
      </c>
    </row>
    <row r="2740" spans="1:7" x14ac:dyDescent="0.3">
      <c r="A2740" s="80">
        <v>45784</v>
      </c>
      <c r="B2740">
        <v>3010212</v>
      </c>
      <c r="C2740">
        <v>1142.02</v>
      </c>
      <c r="E2740" s="80">
        <v>45770</v>
      </c>
      <c r="F2740">
        <v>2011310</v>
      </c>
      <c r="G2740">
        <v>4788.32</v>
      </c>
    </row>
    <row r="2741" spans="1:7" x14ac:dyDescent="0.3">
      <c r="A2741" s="80">
        <v>45784</v>
      </c>
      <c r="B2741">
        <v>3010212</v>
      </c>
      <c r="C2741">
        <v>951.62</v>
      </c>
      <c r="E2741" s="80">
        <v>45770</v>
      </c>
      <c r="F2741">
        <v>2011310</v>
      </c>
      <c r="G2741">
        <v>3990</v>
      </c>
    </row>
    <row r="2742" spans="1:7" x14ac:dyDescent="0.3">
      <c r="A2742" s="80">
        <v>45783</v>
      </c>
      <c r="B2742">
        <v>3010212</v>
      </c>
      <c r="C2742">
        <v>1142.02</v>
      </c>
      <c r="E2742" s="80">
        <v>45770</v>
      </c>
      <c r="F2742">
        <v>2011310</v>
      </c>
      <c r="G2742">
        <v>1083.52</v>
      </c>
    </row>
    <row r="2743" spans="1:7" x14ac:dyDescent="0.3">
      <c r="A2743" s="80">
        <v>45783</v>
      </c>
      <c r="B2743">
        <v>3010212</v>
      </c>
      <c r="C2743">
        <v>951.62</v>
      </c>
      <c r="E2743" s="80">
        <v>45769</v>
      </c>
      <c r="F2743">
        <v>2011310</v>
      </c>
      <c r="G2743">
        <v>4788.32</v>
      </c>
    </row>
    <row r="2744" spans="1:7" x14ac:dyDescent="0.3">
      <c r="A2744" s="80">
        <v>45783</v>
      </c>
      <c r="B2744">
        <v>3010212</v>
      </c>
      <c r="C2744">
        <v>951.62</v>
      </c>
      <c r="E2744" s="80">
        <v>45769</v>
      </c>
      <c r="F2744">
        <v>2011310</v>
      </c>
      <c r="G2744">
        <v>4788.32</v>
      </c>
    </row>
    <row r="2745" spans="1:7" x14ac:dyDescent="0.3">
      <c r="A2745" s="80">
        <v>45783</v>
      </c>
      <c r="B2745">
        <v>3010212</v>
      </c>
      <c r="C2745">
        <v>951.62</v>
      </c>
      <c r="E2745" s="80">
        <v>45768</v>
      </c>
      <c r="F2745">
        <v>2011310</v>
      </c>
      <c r="G2745">
        <v>4499.8500000000004</v>
      </c>
    </row>
    <row r="2746" spans="1:7" x14ac:dyDescent="0.3">
      <c r="A2746" s="80">
        <v>45783</v>
      </c>
      <c r="B2746">
        <v>3010212</v>
      </c>
      <c r="C2746">
        <v>1103.94</v>
      </c>
      <c r="E2746" s="80">
        <v>45768</v>
      </c>
      <c r="F2746">
        <v>2011310</v>
      </c>
      <c r="G2746">
        <v>4682.07</v>
      </c>
    </row>
    <row r="2747" spans="1:7" x14ac:dyDescent="0.3">
      <c r="A2747" s="80">
        <v>45782</v>
      </c>
      <c r="B2747">
        <v>3010212</v>
      </c>
      <c r="C2747">
        <v>1142.02</v>
      </c>
      <c r="E2747" s="80">
        <v>45768</v>
      </c>
      <c r="F2747">
        <v>2011310</v>
      </c>
      <c r="G2747">
        <v>8793.93</v>
      </c>
    </row>
    <row r="2748" spans="1:7" x14ac:dyDescent="0.3">
      <c r="A2748" s="80">
        <v>45782</v>
      </c>
      <c r="B2748">
        <v>3010212</v>
      </c>
      <c r="C2748">
        <v>951.62</v>
      </c>
      <c r="E2748" s="80">
        <v>45768</v>
      </c>
      <c r="F2748">
        <v>2011310</v>
      </c>
      <c r="G2748">
        <v>4499.8500000000004</v>
      </c>
    </row>
    <row r="2749" spans="1:7" x14ac:dyDescent="0.3">
      <c r="A2749" s="80">
        <v>45782</v>
      </c>
      <c r="B2749">
        <v>3010212</v>
      </c>
      <c r="C2749">
        <v>951.62</v>
      </c>
      <c r="E2749" s="80">
        <v>45768</v>
      </c>
      <c r="F2749">
        <v>2011310</v>
      </c>
      <c r="G2749">
        <v>4300.07</v>
      </c>
    </row>
    <row r="2750" spans="1:7" x14ac:dyDescent="0.3">
      <c r="A2750" s="80">
        <v>45782</v>
      </c>
      <c r="B2750">
        <v>3010212</v>
      </c>
      <c r="C2750">
        <v>1865.54</v>
      </c>
      <c r="E2750" s="80">
        <v>45768</v>
      </c>
      <c r="F2750">
        <v>2011310</v>
      </c>
      <c r="G2750">
        <v>4611.8500000000004</v>
      </c>
    </row>
    <row r="2751" spans="1:7" x14ac:dyDescent="0.3">
      <c r="A2751" s="80">
        <v>45782</v>
      </c>
      <c r="B2751">
        <v>3010212</v>
      </c>
      <c r="C2751">
        <v>951.62</v>
      </c>
      <c r="E2751" s="80">
        <v>45768</v>
      </c>
      <c r="F2751">
        <v>2011310</v>
      </c>
      <c r="G2751">
        <v>4586.07</v>
      </c>
    </row>
    <row r="2752" spans="1:7" x14ac:dyDescent="0.3">
      <c r="A2752" s="80">
        <v>45782</v>
      </c>
      <c r="B2752">
        <v>3010212</v>
      </c>
      <c r="C2752">
        <v>951.62</v>
      </c>
      <c r="E2752" s="80">
        <v>45766</v>
      </c>
      <c r="F2752">
        <v>2011310</v>
      </c>
      <c r="G2752">
        <v>4611.8500000000004</v>
      </c>
    </row>
    <row r="2753" spans="1:7" x14ac:dyDescent="0.3">
      <c r="A2753" s="80">
        <v>45782</v>
      </c>
      <c r="B2753">
        <v>3010212</v>
      </c>
      <c r="C2753">
        <v>380.42</v>
      </c>
      <c r="E2753" s="80">
        <v>45766</v>
      </c>
      <c r="F2753">
        <v>2011310</v>
      </c>
      <c r="G2753">
        <v>4300.07</v>
      </c>
    </row>
    <row r="2754" spans="1:7" x14ac:dyDescent="0.3">
      <c r="A2754" s="80">
        <v>45782</v>
      </c>
      <c r="B2754">
        <v>3010212</v>
      </c>
      <c r="C2754">
        <v>380.42</v>
      </c>
      <c r="E2754" s="80">
        <v>45766</v>
      </c>
      <c r="F2754">
        <v>2011310</v>
      </c>
      <c r="G2754">
        <v>4788.32</v>
      </c>
    </row>
    <row r="2755" spans="1:7" x14ac:dyDescent="0.3">
      <c r="A2755" s="80">
        <v>45782</v>
      </c>
      <c r="B2755">
        <v>3010212</v>
      </c>
      <c r="C2755">
        <v>1903.24</v>
      </c>
      <c r="E2755" s="80">
        <v>45765</v>
      </c>
      <c r="F2755">
        <v>2011310</v>
      </c>
      <c r="G2755">
        <v>4499.8500000000004</v>
      </c>
    </row>
    <row r="2756" spans="1:7" x14ac:dyDescent="0.3">
      <c r="A2756" s="80">
        <v>45782</v>
      </c>
      <c r="B2756">
        <v>3010212</v>
      </c>
      <c r="C2756">
        <v>951.62</v>
      </c>
      <c r="E2756" s="80">
        <v>45765</v>
      </c>
      <c r="F2756">
        <v>2011310</v>
      </c>
      <c r="G2756">
        <v>4611.8500000000004</v>
      </c>
    </row>
    <row r="2757" spans="1:7" x14ac:dyDescent="0.3">
      <c r="A2757" s="80">
        <v>45782</v>
      </c>
      <c r="B2757">
        <v>3010212</v>
      </c>
      <c r="C2757">
        <v>951.62</v>
      </c>
      <c r="E2757" s="80">
        <v>45765</v>
      </c>
      <c r="F2757">
        <v>2011310</v>
      </c>
      <c r="G2757">
        <v>4499.8500000000004</v>
      </c>
    </row>
    <row r="2758" spans="1:7" x14ac:dyDescent="0.3">
      <c r="A2758" s="80">
        <v>45782</v>
      </c>
      <c r="B2758">
        <v>3010212</v>
      </c>
      <c r="C2758">
        <v>1142.02</v>
      </c>
      <c r="E2758" s="80">
        <v>45765</v>
      </c>
      <c r="F2758">
        <v>2011310</v>
      </c>
      <c r="G2758">
        <v>4499.8500000000004</v>
      </c>
    </row>
    <row r="2759" spans="1:7" x14ac:dyDescent="0.3">
      <c r="A2759" s="80">
        <v>45782</v>
      </c>
      <c r="B2759">
        <v>3010212</v>
      </c>
      <c r="C2759">
        <v>951.62</v>
      </c>
      <c r="E2759" s="80">
        <v>45765</v>
      </c>
      <c r="F2759">
        <v>2011310</v>
      </c>
      <c r="G2759">
        <v>4586.07</v>
      </c>
    </row>
    <row r="2760" spans="1:7" x14ac:dyDescent="0.3">
      <c r="A2760" s="80">
        <v>45781</v>
      </c>
      <c r="B2760">
        <v>3010212</v>
      </c>
      <c r="C2760">
        <v>951.62</v>
      </c>
      <c r="E2760" s="80">
        <v>45765</v>
      </c>
      <c r="F2760">
        <v>2011310</v>
      </c>
      <c r="G2760">
        <v>4499.8500000000004</v>
      </c>
    </row>
    <row r="2761" spans="1:7" x14ac:dyDescent="0.3">
      <c r="A2761" s="80">
        <v>45781</v>
      </c>
      <c r="B2761">
        <v>3010212</v>
      </c>
      <c r="C2761">
        <v>951.62</v>
      </c>
      <c r="E2761" s="80">
        <v>45765</v>
      </c>
      <c r="F2761">
        <v>2011310</v>
      </c>
      <c r="G2761">
        <v>4499.8500000000004</v>
      </c>
    </row>
    <row r="2762" spans="1:7" x14ac:dyDescent="0.3">
      <c r="A2762" s="80">
        <v>45781</v>
      </c>
      <c r="B2762">
        <v>3010212</v>
      </c>
      <c r="C2762">
        <v>951.62</v>
      </c>
      <c r="E2762" s="80">
        <v>45765</v>
      </c>
      <c r="F2762">
        <v>2011310</v>
      </c>
      <c r="G2762">
        <v>4595.8500000000004</v>
      </c>
    </row>
    <row r="2763" spans="1:7" x14ac:dyDescent="0.3">
      <c r="A2763" s="80">
        <v>45781</v>
      </c>
      <c r="B2763">
        <v>3010212</v>
      </c>
      <c r="C2763">
        <v>951.62</v>
      </c>
      <c r="E2763" s="80">
        <v>45765</v>
      </c>
      <c r="F2763">
        <v>2011310</v>
      </c>
      <c r="G2763">
        <v>4841.07</v>
      </c>
    </row>
    <row r="2764" spans="1:7" x14ac:dyDescent="0.3">
      <c r="A2764" s="80">
        <v>45781</v>
      </c>
      <c r="B2764">
        <v>3010212</v>
      </c>
      <c r="C2764">
        <v>951.62</v>
      </c>
      <c r="E2764" s="80">
        <v>45764</v>
      </c>
      <c r="F2764">
        <v>2011310</v>
      </c>
      <c r="G2764">
        <v>4499.8500000000004</v>
      </c>
    </row>
    <row r="2765" spans="1:7" x14ac:dyDescent="0.3">
      <c r="A2765" s="80">
        <v>45780</v>
      </c>
      <c r="B2765">
        <v>3010212</v>
      </c>
      <c r="C2765">
        <v>951.62</v>
      </c>
      <c r="E2765" s="80">
        <v>45763</v>
      </c>
      <c r="F2765">
        <v>2011310</v>
      </c>
      <c r="G2765">
        <v>4690.8500000000004</v>
      </c>
    </row>
    <row r="2766" spans="1:7" x14ac:dyDescent="0.3">
      <c r="A2766" s="80">
        <v>45780</v>
      </c>
      <c r="B2766">
        <v>3010212</v>
      </c>
      <c r="C2766">
        <v>1142.02</v>
      </c>
      <c r="E2766" s="80">
        <v>45763</v>
      </c>
      <c r="F2766">
        <v>2011310</v>
      </c>
      <c r="G2766">
        <v>4300.07</v>
      </c>
    </row>
    <row r="2767" spans="1:7" x14ac:dyDescent="0.3">
      <c r="A2767" s="80">
        <v>45780</v>
      </c>
      <c r="B2767">
        <v>3010212</v>
      </c>
      <c r="C2767">
        <v>951.62</v>
      </c>
      <c r="E2767" s="80">
        <v>45763</v>
      </c>
      <c r="F2767">
        <v>2011310</v>
      </c>
      <c r="G2767">
        <v>4650.07</v>
      </c>
    </row>
    <row r="2768" spans="1:7" x14ac:dyDescent="0.3">
      <c r="A2768" s="80">
        <v>45780</v>
      </c>
      <c r="B2768">
        <v>3010212</v>
      </c>
      <c r="C2768">
        <v>951.62</v>
      </c>
      <c r="E2768" s="80">
        <v>45763</v>
      </c>
      <c r="F2768">
        <v>2011310</v>
      </c>
      <c r="G2768">
        <v>4213.8500000000004</v>
      </c>
    </row>
    <row r="2769" spans="1:7" x14ac:dyDescent="0.3">
      <c r="A2769" s="80">
        <v>45779</v>
      </c>
      <c r="B2769">
        <v>3010212</v>
      </c>
      <c r="C2769">
        <v>951.62</v>
      </c>
      <c r="E2769" s="80">
        <v>45760</v>
      </c>
      <c r="F2769">
        <v>2011310</v>
      </c>
      <c r="G2769">
        <v>4788.32</v>
      </c>
    </row>
    <row r="2770" spans="1:7" x14ac:dyDescent="0.3">
      <c r="A2770" s="80">
        <v>45779</v>
      </c>
      <c r="B2770">
        <v>3010212</v>
      </c>
      <c r="C2770">
        <v>1142.02</v>
      </c>
      <c r="E2770" s="80">
        <v>45758</v>
      </c>
      <c r="F2770">
        <v>2011310</v>
      </c>
      <c r="G2770">
        <v>8107.93</v>
      </c>
    </row>
    <row r="2771" spans="1:7" x14ac:dyDescent="0.3">
      <c r="A2771" s="80">
        <v>45779</v>
      </c>
      <c r="B2771">
        <v>3010212</v>
      </c>
      <c r="C2771">
        <v>951.62</v>
      </c>
      <c r="E2771" s="80">
        <v>45757</v>
      </c>
      <c r="F2771">
        <v>2011310</v>
      </c>
      <c r="G2771">
        <v>4666.07</v>
      </c>
    </row>
    <row r="2772" spans="1:7" x14ac:dyDescent="0.3">
      <c r="A2772" s="80">
        <v>45779</v>
      </c>
      <c r="B2772">
        <v>3010212</v>
      </c>
      <c r="C2772">
        <v>951.62</v>
      </c>
      <c r="E2772" s="80">
        <v>45757</v>
      </c>
      <c r="F2772">
        <v>2011310</v>
      </c>
      <c r="G2772">
        <v>4300.07</v>
      </c>
    </row>
    <row r="2773" spans="1:7" x14ac:dyDescent="0.3">
      <c r="A2773" s="80">
        <v>45778</v>
      </c>
      <c r="B2773">
        <v>3010212</v>
      </c>
      <c r="C2773">
        <v>951.62</v>
      </c>
      <c r="E2773" s="80">
        <v>45757</v>
      </c>
      <c r="F2773">
        <v>2011310</v>
      </c>
      <c r="G2773">
        <v>4586.07</v>
      </c>
    </row>
    <row r="2774" spans="1:7" x14ac:dyDescent="0.3">
      <c r="A2774" s="80">
        <v>45778</v>
      </c>
      <c r="B2774">
        <v>3010212</v>
      </c>
      <c r="C2774">
        <v>951.62</v>
      </c>
      <c r="E2774" s="80">
        <v>45756</v>
      </c>
      <c r="F2774">
        <v>2011310</v>
      </c>
      <c r="G2774">
        <v>4788.32</v>
      </c>
    </row>
    <row r="2775" spans="1:7" x14ac:dyDescent="0.3">
      <c r="A2775" s="80">
        <v>45777</v>
      </c>
      <c r="B2775">
        <v>3010212</v>
      </c>
      <c r="C2775">
        <v>951.62</v>
      </c>
      <c r="E2775" s="80">
        <v>45756</v>
      </c>
      <c r="F2775">
        <v>2011310</v>
      </c>
      <c r="G2775">
        <v>4788.32</v>
      </c>
    </row>
    <row r="2776" spans="1:7" x14ac:dyDescent="0.3">
      <c r="A2776" s="80">
        <v>45777</v>
      </c>
      <c r="B2776">
        <v>3010212</v>
      </c>
      <c r="C2776">
        <v>951.62</v>
      </c>
      <c r="E2776" s="80">
        <v>45755</v>
      </c>
      <c r="F2776">
        <v>2011310</v>
      </c>
      <c r="G2776">
        <v>8107.93</v>
      </c>
    </row>
    <row r="2777" spans="1:7" x14ac:dyDescent="0.3">
      <c r="A2777" s="80">
        <v>45777</v>
      </c>
      <c r="B2777">
        <v>3010212</v>
      </c>
      <c r="C2777">
        <v>1142.02</v>
      </c>
      <c r="E2777" s="80">
        <v>45755</v>
      </c>
      <c r="F2777">
        <v>2011310</v>
      </c>
      <c r="G2777">
        <v>4788.32</v>
      </c>
    </row>
    <row r="2778" spans="1:7" x14ac:dyDescent="0.3">
      <c r="A2778" s="80">
        <v>45777</v>
      </c>
      <c r="B2778">
        <v>3010212</v>
      </c>
      <c r="C2778">
        <v>951.62</v>
      </c>
      <c r="E2778" s="80">
        <v>45754</v>
      </c>
      <c r="F2778">
        <v>2011310</v>
      </c>
      <c r="G2778">
        <v>5553.31</v>
      </c>
    </row>
    <row r="2779" spans="1:7" x14ac:dyDescent="0.3">
      <c r="A2779" s="80">
        <v>45777</v>
      </c>
      <c r="B2779">
        <v>3010212</v>
      </c>
      <c r="C2779">
        <v>1142.02</v>
      </c>
      <c r="E2779" s="80">
        <v>45754</v>
      </c>
      <c r="F2779">
        <v>2011310</v>
      </c>
      <c r="G2779">
        <v>5712.31</v>
      </c>
    </row>
    <row r="2780" spans="1:7" x14ac:dyDescent="0.3">
      <c r="A2780" s="80">
        <v>45776</v>
      </c>
      <c r="B2780">
        <v>3010212</v>
      </c>
      <c r="C2780">
        <v>951.62</v>
      </c>
      <c r="E2780" s="80">
        <v>45754</v>
      </c>
      <c r="F2780">
        <v>2011310</v>
      </c>
      <c r="G2780">
        <v>4788.32</v>
      </c>
    </row>
    <row r="2781" spans="1:7" x14ac:dyDescent="0.3">
      <c r="A2781" s="80">
        <v>45776</v>
      </c>
      <c r="B2781">
        <v>3010212</v>
      </c>
      <c r="C2781">
        <v>951.62</v>
      </c>
      <c r="E2781" s="80">
        <v>45753</v>
      </c>
      <c r="F2781">
        <v>2011310</v>
      </c>
      <c r="G2781">
        <v>4468.12</v>
      </c>
    </row>
    <row r="2782" spans="1:7" x14ac:dyDescent="0.3">
      <c r="A2782" s="80">
        <v>45776</v>
      </c>
      <c r="B2782">
        <v>3010212</v>
      </c>
      <c r="C2782">
        <v>951.62</v>
      </c>
      <c r="E2782" s="80">
        <v>45753</v>
      </c>
      <c r="F2782">
        <v>2011310</v>
      </c>
      <c r="G2782">
        <v>3973.12</v>
      </c>
    </row>
    <row r="2783" spans="1:7" x14ac:dyDescent="0.3">
      <c r="A2783" s="80">
        <v>45776</v>
      </c>
      <c r="B2783">
        <v>3010212</v>
      </c>
      <c r="C2783">
        <v>951.62</v>
      </c>
      <c r="E2783" s="80">
        <v>45753</v>
      </c>
      <c r="F2783">
        <v>2011310</v>
      </c>
      <c r="G2783">
        <v>3973.12</v>
      </c>
    </row>
    <row r="2784" spans="1:7" x14ac:dyDescent="0.3">
      <c r="A2784" s="80">
        <v>45776</v>
      </c>
      <c r="B2784">
        <v>3010212</v>
      </c>
      <c r="C2784">
        <v>951.62</v>
      </c>
      <c r="E2784" s="80">
        <v>45753</v>
      </c>
      <c r="F2784">
        <v>2011310</v>
      </c>
      <c r="G2784">
        <v>7821.93</v>
      </c>
    </row>
    <row r="2785" spans="1:7" x14ac:dyDescent="0.3">
      <c r="A2785" s="80">
        <v>45776</v>
      </c>
      <c r="B2785">
        <v>3010212</v>
      </c>
      <c r="C2785">
        <v>951.62</v>
      </c>
      <c r="E2785" s="80">
        <v>45753</v>
      </c>
      <c r="F2785">
        <v>2011310</v>
      </c>
      <c r="G2785">
        <v>4788.32</v>
      </c>
    </row>
    <row r="2786" spans="1:7" x14ac:dyDescent="0.3">
      <c r="A2786" s="80">
        <v>45776</v>
      </c>
      <c r="B2786">
        <v>3010212</v>
      </c>
      <c r="C2786">
        <v>951.62</v>
      </c>
      <c r="E2786" s="80">
        <v>45752</v>
      </c>
      <c r="F2786">
        <v>2011310</v>
      </c>
      <c r="G2786">
        <v>7821.93</v>
      </c>
    </row>
    <row r="2787" spans="1:7" x14ac:dyDescent="0.3">
      <c r="A2787" s="80">
        <v>45775</v>
      </c>
      <c r="B2787">
        <v>3010212</v>
      </c>
      <c r="C2787">
        <v>1005.01</v>
      </c>
      <c r="E2787" s="80">
        <v>45752</v>
      </c>
      <c r="F2787">
        <v>2011310</v>
      </c>
      <c r="G2787">
        <v>3685.06</v>
      </c>
    </row>
    <row r="2788" spans="1:7" x14ac:dyDescent="0.3">
      <c r="A2788" s="80">
        <v>45775</v>
      </c>
      <c r="B2788">
        <v>3010212</v>
      </c>
      <c r="C2788">
        <v>190.21</v>
      </c>
      <c r="E2788" s="80">
        <v>45752</v>
      </c>
      <c r="F2788">
        <v>2011310</v>
      </c>
      <c r="G2788">
        <v>4499.8500000000004</v>
      </c>
    </row>
    <row r="2789" spans="1:7" x14ac:dyDescent="0.3">
      <c r="A2789" s="80">
        <v>45775</v>
      </c>
      <c r="B2789">
        <v>3010212</v>
      </c>
      <c r="C2789">
        <v>951.62</v>
      </c>
      <c r="E2789" s="80">
        <v>45752</v>
      </c>
      <c r="F2789">
        <v>2011310</v>
      </c>
      <c r="G2789">
        <v>3973.12</v>
      </c>
    </row>
    <row r="2790" spans="1:7" x14ac:dyDescent="0.3">
      <c r="A2790" s="80">
        <v>45774</v>
      </c>
      <c r="B2790">
        <v>3010212</v>
      </c>
      <c r="C2790">
        <v>951.62</v>
      </c>
      <c r="E2790" s="80">
        <v>45752</v>
      </c>
      <c r="F2790">
        <v>2011310</v>
      </c>
      <c r="G2790">
        <v>7821.93</v>
      </c>
    </row>
    <row r="2791" spans="1:7" x14ac:dyDescent="0.3">
      <c r="A2791" s="80">
        <v>45774</v>
      </c>
      <c r="B2791">
        <v>3010212</v>
      </c>
      <c r="C2791">
        <v>951.62</v>
      </c>
      <c r="E2791" s="80">
        <v>45752</v>
      </c>
      <c r="F2791">
        <v>2011310</v>
      </c>
      <c r="G2791">
        <v>3973.12</v>
      </c>
    </row>
    <row r="2792" spans="1:7" x14ac:dyDescent="0.3">
      <c r="A2792" s="80">
        <v>45774</v>
      </c>
      <c r="B2792">
        <v>3010212</v>
      </c>
      <c r="C2792">
        <v>1005.01</v>
      </c>
      <c r="E2792" s="80">
        <v>45751</v>
      </c>
      <c r="F2792">
        <v>2011310</v>
      </c>
      <c r="G2792">
        <v>1562.03</v>
      </c>
    </row>
    <row r="2793" spans="1:7" x14ac:dyDescent="0.3">
      <c r="A2793" s="80">
        <v>45774</v>
      </c>
      <c r="B2793">
        <v>3010212</v>
      </c>
      <c r="C2793">
        <v>951.62</v>
      </c>
      <c r="E2793" s="80">
        <v>45751</v>
      </c>
      <c r="F2793">
        <v>2011310</v>
      </c>
      <c r="G2793">
        <v>1562.03</v>
      </c>
    </row>
    <row r="2794" spans="1:7" x14ac:dyDescent="0.3">
      <c r="A2794" s="80">
        <v>45774</v>
      </c>
      <c r="B2794">
        <v>3010212</v>
      </c>
      <c r="C2794">
        <v>1142.02</v>
      </c>
      <c r="E2794" s="80">
        <v>45751</v>
      </c>
      <c r="F2794">
        <v>2011310</v>
      </c>
      <c r="G2794">
        <v>4085.12</v>
      </c>
    </row>
    <row r="2795" spans="1:7" x14ac:dyDescent="0.3">
      <c r="A2795" s="80">
        <v>45774</v>
      </c>
      <c r="B2795">
        <v>3010212</v>
      </c>
      <c r="C2795">
        <v>1005.01</v>
      </c>
      <c r="E2795" s="80">
        <v>45751</v>
      </c>
      <c r="F2795">
        <v>2011310</v>
      </c>
      <c r="G2795">
        <v>4085.12</v>
      </c>
    </row>
    <row r="2796" spans="1:7" x14ac:dyDescent="0.3">
      <c r="A2796" s="80">
        <v>45774</v>
      </c>
      <c r="B2796">
        <v>3010212</v>
      </c>
      <c r="C2796">
        <v>951.62</v>
      </c>
      <c r="E2796" s="80">
        <v>45751</v>
      </c>
      <c r="F2796">
        <v>2011310</v>
      </c>
      <c r="G2796">
        <v>3973.12</v>
      </c>
    </row>
    <row r="2797" spans="1:7" x14ac:dyDescent="0.3">
      <c r="A2797" s="80">
        <v>45773</v>
      </c>
      <c r="B2797">
        <v>3010212</v>
      </c>
      <c r="C2797">
        <v>951.62</v>
      </c>
      <c r="E2797" s="80">
        <v>45751</v>
      </c>
      <c r="F2797">
        <v>2011310</v>
      </c>
      <c r="G2797">
        <v>3973.12</v>
      </c>
    </row>
    <row r="2798" spans="1:7" x14ac:dyDescent="0.3">
      <c r="A2798" s="80">
        <v>45773</v>
      </c>
      <c r="B2798">
        <v>3010212</v>
      </c>
      <c r="C2798">
        <v>1142.02</v>
      </c>
      <c r="E2798" s="80">
        <v>45751</v>
      </c>
      <c r="F2798">
        <v>2011310</v>
      </c>
      <c r="G2798">
        <v>4228.12</v>
      </c>
    </row>
    <row r="2799" spans="1:7" x14ac:dyDescent="0.3">
      <c r="A2799" s="80">
        <v>45773</v>
      </c>
      <c r="B2799">
        <v>3010212</v>
      </c>
      <c r="C2799">
        <v>951.62</v>
      </c>
      <c r="E2799" s="80">
        <v>45751</v>
      </c>
      <c r="F2799">
        <v>2011310</v>
      </c>
      <c r="G2799">
        <v>4228.12</v>
      </c>
    </row>
    <row r="2800" spans="1:7" x14ac:dyDescent="0.3">
      <c r="A2800" s="80">
        <v>45773</v>
      </c>
      <c r="B2800">
        <v>3010212</v>
      </c>
      <c r="C2800">
        <v>1142.02</v>
      </c>
      <c r="E2800" s="80">
        <v>45751</v>
      </c>
      <c r="F2800">
        <v>2011310</v>
      </c>
      <c r="G2800">
        <v>3973.12</v>
      </c>
    </row>
    <row r="2801" spans="1:7" x14ac:dyDescent="0.3">
      <c r="A2801" s="80">
        <v>45773</v>
      </c>
      <c r="B2801">
        <v>3010212</v>
      </c>
      <c r="C2801">
        <v>1142.02</v>
      </c>
      <c r="E2801" s="80">
        <v>45750</v>
      </c>
      <c r="F2801">
        <v>2011310</v>
      </c>
      <c r="G2801">
        <v>3973.12</v>
      </c>
    </row>
    <row r="2802" spans="1:7" x14ac:dyDescent="0.3">
      <c r="A2802" s="80">
        <v>45773</v>
      </c>
      <c r="B2802">
        <v>3010212</v>
      </c>
      <c r="C2802">
        <v>1142.02</v>
      </c>
      <c r="E2802" s="80">
        <v>45750</v>
      </c>
      <c r="F2802">
        <v>2011310</v>
      </c>
      <c r="G2802">
        <v>7821.93</v>
      </c>
    </row>
    <row r="2803" spans="1:7" x14ac:dyDescent="0.3">
      <c r="A2803" s="80">
        <v>45773</v>
      </c>
      <c r="B2803">
        <v>3010212</v>
      </c>
      <c r="C2803">
        <v>1142.02</v>
      </c>
      <c r="E2803" s="80">
        <v>45750</v>
      </c>
      <c r="F2803">
        <v>2011310</v>
      </c>
      <c r="G2803">
        <v>4788.32</v>
      </c>
    </row>
    <row r="2804" spans="1:7" x14ac:dyDescent="0.3">
      <c r="A2804" s="80">
        <v>45773</v>
      </c>
      <c r="B2804">
        <v>3010212</v>
      </c>
      <c r="C2804">
        <v>951.62</v>
      </c>
      <c r="E2804" s="80">
        <v>45750</v>
      </c>
      <c r="F2804">
        <v>2011310</v>
      </c>
      <c r="G2804">
        <v>4788.32</v>
      </c>
    </row>
    <row r="2805" spans="1:7" x14ac:dyDescent="0.3">
      <c r="A2805" s="80">
        <v>45773</v>
      </c>
      <c r="B2805">
        <v>3010212</v>
      </c>
      <c r="C2805">
        <v>1005.01</v>
      </c>
      <c r="E2805" s="80">
        <v>45750</v>
      </c>
      <c r="F2805">
        <v>2011310</v>
      </c>
      <c r="G2805">
        <v>4404.12</v>
      </c>
    </row>
    <row r="2806" spans="1:7" x14ac:dyDescent="0.3">
      <c r="A2806" s="80">
        <v>45773</v>
      </c>
      <c r="B2806">
        <v>3010212</v>
      </c>
      <c r="C2806">
        <v>1005.01</v>
      </c>
      <c r="E2806" s="80">
        <v>45750</v>
      </c>
      <c r="F2806">
        <v>2011310</v>
      </c>
      <c r="G2806">
        <v>3973.12</v>
      </c>
    </row>
    <row r="2807" spans="1:7" x14ac:dyDescent="0.3">
      <c r="A2807" s="80">
        <v>45773</v>
      </c>
      <c r="B2807">
        <v>3010212</v>
      </c>
      <c r="C2807">
        <v>1005.01</v>
      </c>
      <c r="E2807" s="80">
        <v>45749</v>
      </c>
      <c r="F2807">
        <v>2011310</v>
      </c>
      <c r="G2807">
        <v>3687.12</v>
      </c>
    </row>
    <row r="2808" spans="1:7" x14ac:dyDescent="0.3">
      <c r="A2808" s="80">
        <v>45772</v>
      </c>
      <c r="B2808">
        <v>3010212</v>
      </c>
      <c r="C2808">
        <v>951.62</v>
      </c>
      <c r="E2808" s="80">
        <v>45749</v>
      </c>
      <c r="F2808">
        <v>2011310</v>
      </c>
      <c r="G2808">
        <v>3973.12</v>
      </c>
    </row>
    <row r="2809" spans="1:7" x14ac:dyDescent="0.3">
      <c r="A2809" s="80">
        <v>45772</v>
      </c>
      <c r="B2809">
        <v>3010212</v>
      </c>
      <c r="C2809">
        <v>1142.02</v>
      </c>
      <c r="E2809" s="80">
        <v>45749</v>
      </c>
      <c r="F2809">
        <v>2011310</v>
      </c>
      <c r="G2809">
        <v>3973.12</v>
      </c>
    </row>
    <row r="2810" spans="1:7" x14ac:dyDescent="0.3">
      <c r="A2810" s="80">
        <v>45772</v>
      </c>
      <c r="B2810">
        <v>3010212</v>
      </c>
      <c r="C2810">
        <v>1142.02</v>
      </c>
      <c r="E2810" s="80">
        <v>45749</v>
      </c>
      <c r="F2810">
        <v>2011310</v>
      </c>
      <c r="G2810">
        <v>4643.12</v>
      </c>
    </row>
    <row r="2811" spans="1:7" x14ac:dyDescent="0.3">
      <c r="A2811" s="80">
        <v>45772</v>
      </c>
      <c r="B2811">
        <v>3010212</v>
      </c>
      <c r="C2811">
        <v>1005.01</v>
      </c>
      <c r="E2811" s="80">
        <v>45749</v>
      </c>
      <c r="F2811">
        <v>2011310</v>
      </c>
      <c r="G2811">
        <v>3973.12</v>
      </c>
    </row>
    <row r="2812" spans="1:7" x14ac:dyDescent="0.3">
      <c r="A2812" s="80">
        <v>45772</v>
      </c>
      <c r="B2812">
        <v>3010212</v>
      </c>
      <c r="C2812">
        <v>190.21</v>
      </c>
      <c r="E2812" s="80">
        <v>45749</v>
      </c>
      <c r="F2812">
        <v>2011310</v>
      </c>
      <c r="G2812">
        <v>3973.12</v>
      </c>
    </row>
    <row r="2813" spans="1:7" x14ac:dyDescent="0.3">
      <c r="A2813" s="80">
        <v>45772</v>
      </c>
      <c r="B2813">
        <v>3010212</v>
      </c>
      <c r="C2813">
        <v>951.62</v>
      </c>
      <c r="E2813" s="80">
        <v>45749</v>
      </c>
      <c r="F2813">
        <v>2011310</v>
      </c>
      <c r="G2813">
        <v>7821.93</v>
      </c>
    </row>
    <row r="2814" spans="1:7" x14ac:dyDescent="0.3">
      <c r="A2814" s="80">
        <v>45772</v>
      </c>
      <c r="B2814">
        <v>3010212</v>
      </c>
      <c r="C2814">
        <v>190.21</v>
      </c>
      <c r="E2814" s="80">
        <v>45748</v>
      </c>
      <c r="F2814">
        <v>2011310</v>
      </c>
      <c r="G2814">
        <v>4069.99</v>
      </c>
    </row>
    <row r="2815" spans="1:7" x14ac:dyDescent="0.3">
      <c r="A2815" s="80">
        <v>45772</v>
      </c>
      <c r="B2815">
        <v>3010212</v>
      </c>
      <c r="C2815">
        <v>951.62</v>
      </c>
      <c r="E2815" s="80">
        <v>45748</v>
      </c>
      <c r="F2815">
        <v>2011310</v>
      </c>
      <c r="G2815">
        <v>4213.8500000000004</v>
      </c>
    </row>
    <row r="2816" spans="1:7" x14ac:dyDescent="0.3">
      <c r="A2816" s="80">
        <v>45772</v>
      </c>
      <c r="B2816">
        <v>3010212</v>
      </c>
      <c r="C2816">
        <v>951.62</v>
      </c>
      <c r="E2816" s="80">
        <v>45748</v>
      </c>
      <c r="F2816">
        <v>2011310</v>
      </c>
      <c r="G2816">
        <v>3240.06</v>
      </c>
    </row>
    <row r="2817" spans="1:7" x14ac:dyDescent="0.3">
      <c r="A2817" s="80">
        <v>45772</v>
      </c>
      <c r="B2817">
        <v>3010212</v>
      </c>
      <c r="C2817">
        <v>1005.01</v>
      </c>
      <c r="E2817" s="80">
        <v>45747</v>
      </c>
      <c r="F2817">
        <v>2011310</v>
      </c>
      <c r="G2817">
        <v>4788.32</v>
      </c>
    </row>
    <row r="2818" spans="1:7" x14ac:dyDescent="0.3">
      <c r="A2818" s="80">
        <v>45772</v>
      </c>
      <c r="B2818">
        <v>3010212</v>
      </c>
      <c r="C2818">
        <v>190.21</v>
      </c>
      <c r="E2818" s="80">
        <v>45747</v>
      </c>
      <c r="F2818">
        <v>2011310</v>
      </c>
      <c r="G2818">
        <v>3973.12</v>
      </c>
    </row>
    <row r="2819" spans="1:7" x14ac:dyDescent="0.3">
      <c r="A2819" s="80">
        <v>45772</v>
      </c>
      <c r="B2819">
        <v>3010212</v>
      </c>
      <c r="C2819">
        <v>1903.24</v>
      </c>
      <c r="E2819" s="80">
        <v>45747</v>
      </c>
      <c r="F2819">
        <v>2011310</v>
      </c>
      <c r="G2819">
        <v>4788.32</v>
      </c>
    </row>
    <row r="2820" spans="1:7" x14ac:dyDescent="0.3">
      <c r="A2820" s="80">
        <v>45772</v>
      </c>
      <c r="B2820">
        <v>3010212</v>
      </c>
      <c r="C2820">
        <v>1142.02</v>
      </c>
      <c r="E2820" s="80">
        <v>45747</v>
      </c>
      <c r="F2820">
        <v>2011310</v>
      </c>
      <c r="G2820">
        <v>4788.32</v>
      </c>
    </row>
    <row r="2821" spans="1:7" x14ac:dyDescent="0.3">
      <c r="A2821" s="80">
        <v>45772</v>
      </c>
      <c r="B2821">
        <v>3010212</v>
      </c>
      <c r="C2821">
        <v>1005.01</v>
      </c>
      <c r="E2821" s="80">
        <v>45747</v>
      </c>
      <c r="F2821">
        <v>2011310</v>
      </c>
      <c r="G2821">
        <v>3973.12</v>
      </c>
    </row>
    <row r="2822" spans="1:7" x14ac:dyDescent="0.3">
      <c r="A2822" s="80">
        <v>45771</v>
      </c>
      <c r="B2822">
        <v>3010212</v>
      </c>
      <c r="C2822">
        <v>1005.01</v>
      </c>
      <c r="E2822" s="80">
        <v>45747</v>
      </c>
      <c r="F2822">
        <v>2011310</v>
      </c>
      <c r="G2822">
        <v>4788.32</v>
      </c>
    </row>
    <row r="2823" spans="1:7" x14ac:dyDescent="0.3">
      <c r="A2823" s="80">
        <v>45771</v>
      </c>
      <c r="B2823">
        <v>3010212</v>
      </c>
      <c r="C2823">
        <v>380.42</v>
      </c>
      <c r="E2823" s="80">
        <v>45747</v>
      </c>
      <c r="F2823">
        <v>2011310</v>
      </c>
      <c r="G2823">
        <v>4499.8500000000004</v>
      </c>
    </row>
    <row r="2824" spans="1:7" x14ac:dyDescent="0.3">
      <c r="A2824" s="80">
        <v>45771</v>
      </c>
      <c r="B2824">
        <v>3010212</v>
      </c>
      <c r="C2824">
        <v>1005.01</v>
      </c>
      <c r="E2824" s="80">
        <v>45747</v>
      </c>
      <c r="F2824">
        <v>2011310</v>
      </c>
      <c r="G2824">
        <v>4499.8500000000004</v>
      </c>
    </row>
    <row r="2825" spans="1:7" x14ac:dyDescent="0.3">
      <c r="A2825" s="80">
        <v>45771</v>
      </c>
      <c r="B2825">
        <v>3010212</v>
      </c>
      <c r="C2825">
        <v>951.62</v>
      </c>
      <c r="E2825" s="80">
        <v>45746</v>
      </c>
      <c r="F2825">
        <v>2011310</v>
      </c>
      <c r="G2825">
        <v>7821.93</v>
      </c>
    </row>
    <row r="2826" spans="1:7" x14ac:dyDescent="0.3">
      <c r="A2826" s="80">
        <v>45771</v>
      </c>
      <c r="B2826">
        <v>3010212</v>
      </c>
      <c r="C2826">
        <v>951.62</v>
      </c>
      <c r="E2826" s="80">
        <v>45746</v>
      </c>
      <c r="F2826">
        <v>2011310</v>
      </c>
      <c r="G2826">
        <v>4499.8500000000004</v>
      </c>
    </row>
    <row r="2827" spans="1:7" x14ac:dyDescent="0.3">
      <c r="A2827" s="80">
        <v>45771</v>
      </c>
      <c r="B2827">
        <v>3010212</v>
      </c>
      <c r="C2827">
        <v>1005.01</v>
      </c>
      <c r="E2827" s="80">
        <v>45746</v>
      </c>
      <c r="F2827">
        <v>2011310</v>
      </c>
      <c r="G2827">
        <v>4658.8500000000004</v>
      </c>
    </row>
    <row r="2828" spans="1:7" x14ac:dyDescent="0.3">
      <c r="A2828" s="80">
        <v>45771</v>
      </c>
      <c r="B2828">
        <v>3010212</v>
      </c>
      <c r="C2828">
        <v>1142.02</v>
      </c>
      <c r="E2828" s="80">
        <v>45746</v>
      </c>
      <c r="F2828">
        <v>2011310</v>
      </c>
      <c r="G2828">
        <v>4499.8500000000004</v>
      </c>
    </row>
    <row r="2829" spans="1:7" x14ac:dyDescent="0.3">
      <c r="A2829" s="80">
        <v>45771</v>
      </c>
      <c r="B2829">
        <v>3010212</v>
      </c>
      <c r="C2829">
        <v>1142.02</v>
      </c>
      <c r="E2829" s="80">
        <v>45746</v>
      </c>
      <c r="F2829">
        <v>2011310</v>
      </c>
      <c r="G2829">
        <v>7821.93</v>
      </c>
    </row>
    <row r="2830" spans="1:7" x14ac:dyDescent="0.3">
      <c r="A2830" s="80">
        <v>45770</v>
      </c>
      <c r="B2830">
        <v>3010212</v>
      </c>
      <c r="C2830">
        <v>1005.01</v>
      </c>
      <c r="E2830" s="80">
        <v>45745</v>
      </c>
      <c r="F2830">
        <v>2011310</v>
      </c>
      <c r="G2830">
        <v>4788.32</v>
      </c>
    </row>
    <row r="2831" spans="1:7" x14ac:dyDescent="0.3">
      <c r="A2831" s="80">
        <v>45770</v>
      </c>
      <c r="B2831">
        <v>3010212</v>
      </c>
      <c r="C2831">
        <v>1005.01</v>
      </c>
      <c r="E2831" s="80">
        <v>45745</v>
      </c>
      <c r="F2831">
        <v>2011310</v>
      </c>
      <c r="G2831">
        <v>4788.32</v>
      </c>
    </row>
    <row r="2832" spans="1:7" x14ac:dyDescent="0.3">
      <c r="A2832" s="80">
        <v>45770</v>
      </c>
      <c r="B2832">
        <v>3010212</v>
      </c>
      <c r="C2832">
        <v>1142.02</v>
      </c>
      <c r="E2832" s="80">
        <v>45744</v>
      </c>
      <c r="F2832">
        <v>2011310</v>
      </c>
      <c r="G2832">
        <v>4788.32</v>
      </c>
    </row>
    <row r="2833" spans="1:7" x14ac:dyDescent="0.3">
      <c r="A2833" s="80">
        <v>45770</v>
      </c>
      <c r="B2833">
        <v>3010212</v>
      </c>
      <c r="C2833">
        <v>951.62</v>
      </c>
      <c r="E2833" s="80">
        <v>45744</v>
      </c>
      <c r="F2833">
        <v>2011310</v>
      </c>
      <c r="G2833">
        <v>4788.32</v>
      </c>
    </row>
    <row r="2834" spans="1:7" x14ac:dyDescent="0.3">
      <c r="A2834" s="80">
        <v>45770</v>
      </c>
      <c r="B2834">
        <v>3010212</v>
      </c>
      <c r="C2834">
        <v>190.21</v>
      </c>
      <c r="E2834" s="80">
        <v>45744</v>
      </c>
      <c r="F2834">
        <v>2011310</v>
      </c>
      <c r="G2834">
        <v>4788.32</v>
      </c>
    </row>
    <row r="2835" spans="1:7" x14ac:dyDescent="0.3">
      <c r="A2835" s="80">
        <v>45769</v>
      </c>
      <c r="B2835">
        <v>3010212</v>
      </c>
      <c r="C2835">
        <v>1142.02</v>
      </c>
      <c r="E2835" s="80">
        <v>45743</v>
      </c>
      <c r="F2835">
        <v>2011310</v>
      </c>
      <c r="G2835">
        <v>4788.32</v>
      </c>
    </row>
    <row r="2836" spans="1:7" x14ac:dyDescent="0.3">
      <c r="A2836" s="80">
        <v>45769</v>
      </c>
      <c r="B2836">
        <v>3010212</v>
      </c>
      <c r="C2836">
        <v>1142.02</v>
      </c>
      <c r="E2836" s="80">
        <v>45743</v>
      </c>
      <c r="F2836">
        <v>2011310</v>
      </c>
      <c r="G2836">
        <v>4788.32</v>
      </c>
    </row>
    <row r="2837" spans="1:7" x14ac:dyDescent="0.3">
      <c r="A2837" s="80">
        <v>45768</v>
      </c>
      <c r="B2837">
        <v>3010212</v>
      </c>
      <c r="C2837">
        <v>1005.01</v>
      </c>
      <c r="E2837" s="80">
        <v>45743</v>
      </c>
      <c r="F2837">
        <v>2011310</v>
      </c>
      <c r="G2837">
        <v>1595.04</v>
      </c>
    </row>
    <row r="2838" spans="1:7" x14ac:dyDescent="0.3">
      <c r="A2838" s="80">
        <v>45768</v>
      </c>
      <c r="B2838">
        <v>3010212</v>
      </c>
      <c r="C2838">
        <v>1025.57</v>
      </c>
      <c r="E2838" s="80">
        <v>45743</v>
      </c>
      <c r="F2838">
        <v>2011310</v>
      </c>
      <c r="G2838">
        <v>3990</v>
      </c>
    </row>
    <row r="2839" spans="1:7" x14ac:dyDescent="0.3">
      <c r="A2839" s="80">
        <v>45768</v>
      </c>
      <c r="B2839">
        <v>3010212</v>
      </c>
      <c r="C2839">
        <v>1865.54</v>
      </c>
      <c r="E2839" s="80">
        <v>45743</v>
      </c>
      <c r="F2839">
        <v>2011310</v>
      </c>
      <c r="G2839">
        <v>4788.32</v>
      </c>
    </row>
    <row r="2840" spans="1:7" x14ac:dyDescent="0.3">
      <c r="A2840" s="80">
        <v>45768</v>
      </c>
      <c r="B2840">
        <v>3010212</v>
      </c>
      <c r="C2840">
        <v>1005.01</v>
      </c>
      <c r="E2840" s="80">
        <v>45743</v>
      </c>
      <c r="F2840">
        <v>2011310</v>
      </c>
      <c r="G2840">
        <v>4788.32</v>
      </c>
    </row>
    <row r="2841" spans="1:7" x14ac:dyDescent="0.3">
      <c r="A2841" s="80">
        <v>45768</v>
      </c>
      <c r="B2841">
        <v>3010212</v>
      </c>
      <c r="C2841">
        <v>1025.57</v>
      </c>
      <c r="E2841" s="80">
        <v>45743</v>
      </c>
      <c r="F2841">
        <v>2011310</v>
      </c>
      <c r="G2841">
        <v>4788.32</v>
      </c>
    </row>
    <row r="2842" spans="1:7" x14ac:dyDescent="0.3">
      <c r="A2842" s="80">
        <v>45768</v>
      </c>
      <c r="B2842">
        <v>3010212</v>
      </c>
      <c r="C2842">
        <v>1005.01</v>
      </c>
      <c r="E2842" s="80">
        <v>45740</v>
      </c>
      <c r="F2842">
        <v>2011310</v>
      </c>
      <c r="G2842">
        <v>9576.64</v>
      </c>
    </row>
    <row r="2843" spans="1:7" x14ac:dyDescent="0.3">
      <c r="A2843" s="80">
        <v>45768</v>
      </c>
      <c r="B2843">
        <v>3010212</v>
      </c>
      <c r="C2843">
        <v>1025.57</v>
      </c>
      <c r="E2843" s="80">
        <v>45740</v>
      </c>
      <c r="F2843">
        <v>2011310</v>
      </c>
      <c r="G2843">
        <v>4788.32</v>
      </c>
    </row>
    <row r="2844" spans="1:7" x14ac:dyDescent="0.3">
      <c r="A2844" s="80">
        <v>45766</v>
      </c>
      <c r="B2844">
        <v>3010212</v>
      </c>
      <c r="C2844">
        <v>1005.01</v>
      </c>
      <c r="E2844" s="80">
        <v>45739</v>
      </c>
      <c r="F2844">
        <v>2011310</v>
      </c>
      <c r="G2844">
        <v>4788.32</v>
      </c>
    </row>
    <row r="2845" spans="1:7" x14ac:dyDescent="0.3">
      <c r="A2845" s="80">
        <v>45766</v>
      </c>
      <c r="B2845">
        <v>3010212</v>
      </c>
      <c r="C2845">
        <v>1025.57</v>
      </c>
      <c r="E2845" s="80">
        <v>45739</v>
      </c>
      <c r="F2845">
        <v>2011310</v>
      </c>
      <c r="G2845">
        <v>1595.04</v>
      </c>
    </row>
    <row r="2846" spans="1:7" x14ac:dyDescent="0.3">
      <c r="A2846" s="80">
        <v>45766</v>
      </c>
      <c r="B2846">
        <v>3010212</v>
      </c>
      <c r="C2846">
        <v>1142.02</v>
      </c>
      <c r="E2846" s="80">
        <v>45739</v>
      </c>
      <c r="F2846">
        <v>2011310</v>
      </c>
      <c r="G2846">
        <v>4788.32</v>
      </c>
    </row>
    <row r="2847" spans="1:7" x14ac:dyDescent="0.3">
      <c r="A2847" s="80">
        <v>45765</v>
      </c>
      <c r="B2847">
        <v>3010212</v>
      </c>
      <c r="C2847">
        <v>1005.01</v>
      </c>
      <c r="E2847" s="80">
        <v>45738</v>
      </c>
      <c r="F2847">
        <v>2011310</v>
      </c>
      <c r="G2847">
        <v>4788.32</v>
      </c>
    </row>
    <row r="2848" spans="1:7" x14ac:dyDescent="0.3">
      <c r="A2848" s="80">
        <v>45765</v>
      </c>
      <c r="B2848">
        <v>3010212</v>
      </c>
      <c r="C2848">
        <v>1005.01</v>
      </c>
      <c r="E2848" s="80">
        <v>45738</v>
      </c>
      <c r="F2848">
        <v>2011310</v>
      </c>
      <c r="G2848">
        <v>5361.32</v>
      </c>
    </row>
    <row r="2849" spans="1:7" x14ac:dyDescent="0.3">
      <c r="A2849" s="80">
        <v>45765</v>
      </c>
      <c r="B2849">
        <v>3010212</v>
      </c>
      <c r="C2849">
        <v>1005.01</v>
      </c>
      <c r="E2849" s="80">
        <v>45737</v>
      </c>
      <c r="F2849">
        <v>2011310</v>
      </c>
      <c r="G2849">
        <v>4788.32</v>
      </c>
    </row>
    <row r="2850" spans="1:7" x14ac:dyDescent="0.3">
      <c r="A2850" s="80">
        <v>45765</v>
      </c>
      <c r="B2850">
        <v>3010212</v>
      </c>
      <c r="C2850">
        <v>1005.01</v>
      </c>
      <c r="E2850" s="80">
        <v>45737</v>
      </c>
      <c r="F2850">
        <v>2011310</v>
      </c>
      <c r="G2850">
        <v>7821.93</v>
      </c>
    </row>
    <row r="2851" spans="1:7" x14ac:dyDescent="0.3">
      <c r="A2851" s="80">
        <v>45765</v>
      </c>
      <c r="B2851">
        <v>3010212</v>
      </c>
      <c r="C2851">
        <v>1025.57</v>
      </c>
      <c r="E2851" s="80">
        <v>45736</v>
      </c>
      <c r="F2851">
        <v>2011310</v>
      </c>
      <c r="G2851">
        <v>5106.32</v>
      </c>
    </row>
    <row r="2852" spans="1:7" x14ac:dyDescent="0.3">
      <c r="A2852" s="80">
        <v>45765</v>
      </c>
      <c r="B2852">
        <v>3010212</v>
      </c>
      <c r="C2852">
        <v>1005.01</v>
      </c>
      <c r="E2852" s="80">
        <v>45736</v>
      </c>
      <c r="F2852">
        <v>2011310</v>
      </c>
      <c r="G2852">
        <v>5138.32</v>
      </c>
    </row>
    <row r="2853" spans="1:7" x14ac:dyDescent="0.3">
      <c r="A2853" s="80">
        <v>45765</v>
      </c>
      <c r="B2853">
        <v>3010212</v>
      </c>
      <c r="C2853">
        <v>1005.01</v>
      </c>
      <c r="E2853" s="80">
        <v>45736</v>
      </c>
      <c r="F2853">
        <v>2011310</v>
      </c>
      <c r="G2853">
        <v>4788.32</v>
      </c>
    </row>
    <row r="2854" spans="1:7" x14ac:dyDescent="0.3">
      <c r="A2854" s="80">
        <v>45765</v>
      </c>
      <c r="B2854">
        <v>3010212</v>
      </c>
      <c r="C2854">
        <v>1005.01</v>
      </c>
      <c r="E2854" s="80">
        <v>45736</v>
      </c>
      <c r="F2854">
        <v>2011310</v>
      </c>
      <c r="G2854">
        <v>4788.32</v>
      </c>
    </row>
    <row r="2855" spans="1:7" x14ac:dyDescent="0.3">
      <c r="A2855" s="80">
        <v>45765</v>
      </c>
      <c r="B2855">
        <v>3010212</v>
      </c>
      <c r="C2855">
        <v>1025.57</v>
      </c>
      <c r="E2855" s="80">
        <v>45736</v>
      </c>
      <c r="F2855">
        <v>2011310</v>
      </c>
      <c r="G2855">
        <v>4788.32</v>
      </c>
    </row>
    <row r="2856" spans="1:7" x14ac:dyDescent="0.3">
      <c r="A2856" s="80">
        <v>45764</v>
      </c>
      <c r="B2856">
        <v>3010212</v>
      </c>
      <c r="C2856">
        <v>1005.01</v>
      </c>
      <c r="E2856" s="80">
        <v>45735</v>
      </c>
      <c r="F2856">
        <v>2011310</v>
      </c>
      <c r="G2856">
        <v>4788.32</v>
      </c>
    </row>
    <row r="2857" spans="1:7" x14ac:dyDescent="0.3">
      <c r="A2857" s="80">
        <v>45763</v>
      </c>
      <c r="B2857">
        <v>3010212</v>
      </c>
      <c r="C2857">
        <v>1005.01</v>
      </c>
      <c r="E2857" s="80">
        <v>45735</v>
      </c>
      <c r="F2857">
        <v>2011310</v>
      </c>
      <c r="G2857">
        <v>4788.32</v>
      </c>
    </row>
    <row r="2858" spans="1:7" x14ac:dyDescent="0.3">
      <c r="A2858" s="80">
        <v>45763</v>
      </c>
      <c r="B2858">
        <v>3010212</v>
      </c>
      <c r="C2858">
        <v>1025.57</v>
      </c>
      <c r="E2858" s="80">
        <v>45735</v>
      </c>
      <c r="F2858">
        <v>2011310</v>
      </c>
      <c r="G2858">
        <v>4788.32</v>
      </c>
    </row>
    <row r="2859" spans="1:7" x14ac:dyDescent="0.3">
      <c r="A2859" s="80">
        <v>45763</v>
      </c>
      <c r="B2859">
        <v>3010212</v>
      </c>
      <c r="C2859">
        <v>1025.57</v>
      </c>
      <c r="E2859" s="80">
        <v>45734</v>
      </c>
      <c r="F2859">
        <v>2011310</v>
      </c>
      <c r="G2859">
        <v>3869.09</v>
      </c>
    </row>
    <row r="2860" spans="1:7" x14ac:dyDescent="0.3">
      <c r="A2860" s="80">
        <v>45763</v>
      </c>
      <c r="B2860">
        <v>3010212</v>
      </c>
      <c r="C2860">
        <v>1005.01</v>
      </c>
      <c r="E2860" s="80">
        <v>45734</v>
      </c>
      <c r="F2860">
        <v>2011310</v>
      </c>
      <c r="G2860">
        <v>4627.49</v>
      </c>
    </row>
    <row r="2861" spans="1:7" x14ac:dyDescent="0.3">
      <c r="A2861" s="80">
        <v>45760</v>
      </c>
      <c r="B2861">
        <v>3010212</v>
      </c>
      <c r="C2861">
        <v>1142.02</v>
      </c>
      <c r="E2861" s="80">
        <v>45734</v>
      </c>
      <c r="F2861">
        <v>2011310</v>
      </c>
      <c r="G2861">
        <v>4788.32</v>
      </c>
    </row>
    <row r="2862" spans="1:7" x14ac:dyDescent="0.3">
      <c r="A2862" s="80">
        <v>45758</v>
      </c>
      <c r="B2862">
        <v>3010212</v>
      </c>
      <c r="C2862">
        <v>1865.54</v>
      </c>
      <c r="E2862" s="80">
        <v>45734</v>
      </c>
      <c r="F2862">
        <v>2011310</v>
      </c>
      <c r="G2862">
        <v>4788.32</v>
      </c>
    </row>
    <row r="2863" spans="1:7" x14ac:dyDescent="0.3">
      <c r="A2863" s="80">
        <v>45757</v>
      </c>
      <c r="B2863">
        <v>3010212</v>
      </c>
      <c r="C2863">
        <v>1025.57</v>
      </c>
      <c r="E2863" s="80">
        <v>45734</v>
      </c>
      <c r="F2863">
        <v>2011310</v>
      </c>
      <c r="G2863">
        <v>4788.32</v>
      </c>
    </row>
    <row r="2864" spans="1:7" x14ac:dyDescent="0.3">
      <c r="A2864" s="80">
        <v>45757</v>
      </c>
      <c r="B2864">
        <v>3010212</v>
      </c>
      <c r="C2864">
        <v>1025.57</v>
      </c>
      <c r="E2864" s="80">
        <v>45733</v>
      </c>
      <c r="F2864">
        <v>2011310</v>
      </c>
      <c r="G2864">
        <v>4788.32</v>
      </c>
    </row>
    <row r="2865" spans="1:7" x14ac:dyDescent="0.3">
      <c r="A2865" s="80">
        <v>45757</v>
      </c>
      <c r="B2865">
        <v>3010212</v>
      </c>
      <c r="C2865">
        <v>1025.57</v>
      </c>
      <c r="E2865" s="80">
        <v>45733</v>
      </c>
      <c r="F2865">
        <v>2011310</v>
      </c>
      <c r="G2865">
        <v>5361.32</v>
      </c>
    </row>
    <row r="2866" spans="1:7" x14ac:dyDescent="0.3">
      <c r="A2866" s="80">
        <v>45756</v>
      </c>
      <c r="B2866">
        <v>3010212</v>
      </c>
      <c r="C2866">
        <v>1142.02</v>
      </c>
      <c r="E2866" s="80">
        <v>45733</v>
      </c>
      <c r="F2866">
        <v>2011310</v>
      </c>
      <c r="G2866">
        <v>5186.32</v>
      </c>
    </row>
    <row r="2867" spans="1:7" x14ac:dyDescent="0.3">
      <c r="A2867" s="80">
        <v>45756</v>
      </c>
      <c r="B2867">
        <v>3010212</v>
      </c>
      <c r="C2867">
        <v>1142.02</v>
      </c>
      <c r="E2867" s="80">
        <v>45733</v>
      </c>
      <c r="F2867">
        <v>2011310</v>
      </c>
      <c r="G2867">
        <v>5186.32</v>
      </c>
    </row>
    <row r="2868" spans="1:7" x14ac:dyDescent="0.3">
      <c r="A2868" s="80">
        <v>45755</v>
      </c>
      <c r="B2868">
        <v>3010212</v>
      </c>
      <c r="C2868">
        <v>1865.54</v>
      </c>
      <c r="E2868" s="80">
        <v>45733</v>
      </c>
      <c r="F2868">
        <v>2011310</v>
      </c>
      <c r="G2868">
        <v>4627.49</v>
      </c>
    </row>
    <row r="2869" spans="1:7" x14ac:dyDescent="0.3">
      <c r="A2869" s="80">
        <v>45755</v>
      </c>
      <c r="B2869">
        <v>3010212</v>
      </c>
      <c r="C2869">
        <v>1142.02</v>
      </c>
      <c r="E2869" s="80">
        <v>45733</v>
      </c>
      <c r="F2869">
        <v>2011310</v>
      </c>
      <c r="G2869">
        <v>4788.32</v>
      </c>
    </row>
    <row r="2870" spans="1:7" x14ac:dyDescent="0.3">
      <c r="A2870" s="80">
        <v>45754</v>
      </c>
      <c r="B2870">
        <v>3010212</v>
      </c>
      <c r="C2870">
        <v>1256.26</v>
      </c>
      <c r="E2870" s="80">
        <v>45733</v>
      </c>
      <c r="F2870">
        <v>2011310</v>
      </c>
      <c r="G2870">
        <v>4788.32</v>
      </c>
    </row>
    <row r="2871" spans="1:7" x14ac:dyDescent="0.3">
      <c r="A2871" s="80">
        <v>45754</v>
      </c>
      <c r="B2871">
        <v>3010212</v>
      </c>
      <c r="C2871">
        <v>1256.26</v>
      </c>
      <c r="E2871" s="80">
        <v>45733</v>
      </c>
      <c r="F2871">
        <v>2011310</v>
      </c>
      <c r="G2871">
        <v>4788.32</v>
      </c>
    </row>
    <row r="2872" spans="1:7" x14ac:dyDescent="0.3">
      <c r="A2872" s="80">
        <v>45754</v>
      </c>
      <c r="B2872">
        <v>3010212</v>
      </c>
      <c r="C2872">
        <v>1142.02</v>
      </c>
      <c r="E2872" s="80">
        <v>45732</v>
      </c>
      <c r="F2872">
        <v>2011310</v>
      </c>
      <c r="G2872">
        <v>5106.32</v>
      </c>
    </row>
    <row r="2873" spans="1:7" x14ac:dyDescent="0.3">
      <c r="A2873" s="80">
        <v>45753</v>
      </c>
      <c r="B2873">
        <v>3010212</v>
      </c>
      <c r="C2873">
        <v>879.38</v>
      </c>
      <c r="E2873" s="80">
        <v>45732</v>
      </c>
      <c r="F2873">
        <v>2011310</v>
      </c>
      <c r="G2873">
        <v>5106.32</v>
      </c>
    </row>
    <row r="2874" spans="1:7" x14ac:dyDescent="0.3">
      <c r="A2874" s="80">
        <v>45753</v>
      </c>
      <c r="B2874">
        <v>3010212</v>
      </c>
      <c r="C2874">
        <v>879.38</v>
      </c>
      <c r="E2874" s="80">
        <v>45731</v>
      </c>
      <c r="F2874">
        <v>2011310</v>
      </c>
      <c r="G2874">
        <v>4309.49</v>
      </c>
    </row>
    <row r="2875" spans="1:7" x14ac:dyDescent="0.3">
      <c r="A2875" s="80">
        <v>45753</v>
      </c>
      <c r="B2875">
        <v>3010212</v>
      </c>
      <c r="C2875">
        <v>879.38</v>
      </c>
      <c r="E2875" s="80">
        <v>45731</v>
      </c>
      <c r="F2875">
        <v>2011310</v>
      </c>
      <c r="G2875">
        <v>1435.54</v>
      </c>
    </row>
    <row r="2876" spans="1:7" x14ac:dyDescent="0.3">
      <c r="A2876" s="80">
        <v>45753</v>
      </c>
      <c r="B2876">
        <v>3010212</v>
      </c>
      <c r="C2876">
        <v>1865.54</v>
      </c>
      <c r="E2876" s="80">
        <v>45731</v>
      </c>
      <c r="F2876">
        <v>2011310</v>
      </c>
      <c r="G2876">
        <v>4788.32</v>
      </c>
    </row>
    <row r="2877" spans="1:7" x14ac:dyDescent="0.3">
      <c r="A2877" s="80">
        <v>45753</v>
      </c>
      <c r="B2877">
        <v>3010212</v>
      </c>
      <c r="C2877">
        <v>1142.02</v>
      </c>
      <c r="E2877" s="80">
        <v>45730</v>
      </c>
      <c r="F2877">
        <v>2011310</v>
      </c>
      <c r="G2877">
        <v>4788.32</v>
      </c>
    </row>
    <row r="2878" spans="1:7" x14ac:dyDescent="0.3">
      <c r="A2878" s="80">
        <v>45752</v>
      </c>
      <c r="B2878">
        <v>3010212</v>
      </c>
      <c r="C2878">
        <v>1865.54</v>
      </c>
      <c r="E2878" s="80">
        <v>45730</v>
      </c>
      <c r="F2878">
        <v>2011310</v>
      </c>
      <c r="G2878">
        <v>4309.49</v>
      </c>
    </row>
    <row r="2879" spans="1:7" x14ac:dyDescent="0.3">
      <c r="A2879" s="80">
        <v>45752</v>
      </c>
      <c r="B2879">
        <v>3010212</v>
      </c>
      <c r="C2879">
        <v>772.76</v>
      </c>
      <c r="E2879" s="80">
        <v>45730</v>
      </c>
      <c r="F2879">
        <v>2011310</v>
      </c>
      <c r="G2879">
        <v>4788.32</v>
      </c>
    </row>
    <row r="2880" spans="1:7" x14ac:dyDescent="0.3">
      <c r="A2880" s="80">
        <v>45752</v>
      </c>
      <c r="B2880">
        <v>3010212</v>
      </c>
      <c r="C2880">
        <v>1005.01</v>
      </c>
      <c r="E2880" s="80">
        <v>45729</v>
      </c>
      <c r="F2880">
        <v>2011310</v>
      </c>
      <c r="G2880">
        <v>5138.32</v>
      </c>
    </row>
    <row r="2881" spans="1:7" x14ac:dyDescent="0.3">
      <c r="A2881" s="80">
        <v>45752</v>
      </c>
      <c r="B2881">
        <v>3010212</v>
      </c>
      <c r="C2881">
        <v>879.38</v>
      </c>
      <c r="E2881" s="80">
        <v>45728</v>
      </c>
      <c r="F2881">
        <v>2011310</v>
      </c>
      <c r="G2881">
        <v>5106.32</v>
      </c>
    </row>
    <row r="2882" spans="1:7" x14ac:dyDescent="0.3">
      <c r="A2882" s="80">
        <v>45752</v>
      </c>
      <c r="B2882">
        <v>3010212</v>
      </c>
      <c r="C2882">
        <v>1865.54</v>
      </c>
      <c r="E2882" s="80">
        <v>45728</v>
      </c>
      <c r="F2882">
        <v>2011310</v>
      </c>
      <c r="G2882">
        <v>5106.32</v>
      </c>
    </row>
    <row r="2883" spans="1:7" x14ac:dyDescent="0.3">
      <c r="A2883" s="80">
        <v>45752</v>
      </c>
      <c r="B2883">
        <v>3010212</v>
      </c>
      <c r="C2883">
        <v>879.38</v>
      </c>
      <c r="E2883" s="80">
        <v>45727</v>
      </c>
      <c r="F2883">
        <v>2011310</v>
      </c>
      <c r="G2883">
        <v>4754.49</v>
      </c>
    </row>
    <row r="2884" spans="1:7" x14ac:dyDescent="0.3">
      <c r="A2884" s="80">
        <v>45751</v>
      </c>
      <c r="B2884">
        <v>3010212</v>
      </c>
      <c r="C2884">
        <v>304.33999999999997</v>
      </c>
      <c r="E2884" s="80">
        <v>45727</v>
      </c>
      <c r="F2884">
        <v>2011310</v>
      </c>
      <c r="G2884">
        <v>4627.49</v>
      </c>
    </row>
    <row r="2885" spans="1:7" x14ac:dyDescent="0.3">
      <c r="A2885" s="80">
        <v>45751</v>
      </c>
      <c r="B2885">
        <v>3010212</v>
      </c>
      <c r="C2885">
        <v>304.33999999999997</v>
      </c>
      <c r="E2885" s="80">
        <v>45727</v>
      </c>
      <c r="F2885">
        <v>2011310</v>
      </c>
      <c r="G2885">
        <v>7671.18</v>
      </c>
    </row>
    <row r="2886" spans="1:7" x14ac:dyDescent="0.3">
      <c r="A2886" s="80">
        <v>45751</v>
      </c>
      <c r="B2886">
        <v>3010212</v>
      </c>
      <c r="C2886">
        <v>879.38</v>
      </c>
      <c r="E2886" s="80">
        <v>45727</v>
      </c>
      <c r="F2886">
        <v>2011310</v>
      </c>
      <c r="G2886">
        <v>4627.49</v>
      </c>
    </row>
    <row r="2887" spans="1:7" x14ac:dyDescent="0.3">
      <c r="A2887" s="80">
        <v>45751</v>
      </c>
      <c r="B2887">
        <v>3010212</v>
      </c>
      <c r="C2887">
        <v>879.38</v>
      </c>
      <c r="E2887" s="80">
        <v>45727</v>
      </c>
      <c r="F2887">
        <v>2011310</v>
      </c>
      <c r="G2887">
        <v>9576.64</v>
      </c>
    </row>
    <row r="2888" spans="1:7" x14ac:dyDescent="0.3">
      <c r="A2888" s="80">
        <v>45751</v>
      </c>
      <c r="B2888">
        <v>3010212</v>
      </c>
      <c r="C2888">
        <v>879.38</v>
      </c>
      <c r="E2888" s="80">
        <v>45726</v>
      </c>
      <c r="F2888">
        <v>2011310</v>
      </c>
      <c r="G2888">
        <v>3789.09</v>
      </c>
    </row>
    <row r="2889" spans="1:7" x14ac:dyDescent="0.3">
      <c r="A2889" s="80">
        <v>45751</v>
      </c>
      <c r="B2889">
        <v>3010212</v>
      </c>
      <c r="C2889">
        <v>879.38</v>
      </c>
      <c r="E2889" s="80">
        <v>45726</v>
      </c>
      <c r="F2889">
        <v>2011310</v>
      </c>
      <c r="G2889">
        <v>4788.32</v>
      </c>
    </row>
    <row r="2890" spans="1:7" x14ac:dyDescent="0.3">
      <c r="A2890" s="80">
        <v>45751</v>
      </c>
      <c r="B2890">
        <v>3010212</v>
      </c>
      <c r="C2890">
        <v>879.38</v>
      </c>
      <c r="E2890" s="80">
        <v>45726</v>
      </c>
      <c r="F2890">
        <v>2011310</v>
      </c>
      <c r="G2890">
        <v>5106.32</v>
      </c>
    </row>
    <row r="2891" spans="1:7" x14ac:dyDescent="0.3">
      <c r="A2891" s="80">
        <v>45751</v>
      </c>
      <c r="B2891">
        <v>3010212</v>
      </c>
      <c r="C2891">
        <v>879.38</v>
      </c>
      <c r="E2891" s="80">
        <v>45726</v>
      </c>
      <c r="F2891">
        <v>2011310</v>
      </c>
      <c r="G2891">
        <v>5170.32</v>
      </c>
    </row>
    <row r="2892" spans="1:7" x14ac:dyDescent="0.3">
      <c r="A2892" s="80">
        <v>45751</v>
      </c>
      <c r="B2892">
        <v>3010212</v>
      </c>
      <c r="C2892">
        <v>879.38</v>
      </c>
      <c r="E2892" s="80">
        <v>45726</v>
      </c>
      <c r="F2892">
        <v>2011310</v>
      </c>
      <c r="G2892">
        <v>4788.32</v>
      </c>
    </row>
    <row r="2893" spans="1:7" x14ac:dyDescent="0.3">
      <c r="A2893" s="80">
        <v>45750</v>
      </c>
      <c r="B2893">
        <v>3010212</v>
      </c>
      <c r="C2893">
        <v>879.38</v>
      </c>
      <c r="E2893" s="80">
        <v>45725</v>
      </c>
      <c r="F2893">
        <v>2011310</v>
      </c>
      <c r="G2893">
        <v>4788.32</v>
      </c>
    </row>
    <row r="2894" spans="1:7" x14ac:dyDescent="0.3">
      <c r="A2894" s="80">
        <v>45750</v>
      </c>
      <c r="B2894">
        <v>3010212</v>
      </c>
      <c r="C2894">
        <v>1865.54</v>
      </c>
      <c r="E2894" s="80">
        <v>45725</v>
      </c>
      <c r="F2894">
        <v>2011310</v>
      </c>
      <c r="G2894">
        <v>4788.32</v>
      </c>
    </row>
    <row r="2895" spans="1:7" x14ac:dyDescent="0.3">
      <c r="A2895" s="80">
        <v>45750</v>
      </c>
      <c r="B2895">
        <v>3010212</v>
      </c>
      <c r="C2895">
        <v>1142.02</v>
      </c>
      <c r="E2895" s="80">
        <v>45725</v>
      </c>
      <c r="F2895">
        <v>2011310</v>
      </c>
      <c r="G2895">
        <v>4788.32</v>
      </c>
    </row>
    <row r="2896" spans="1:7" x14ac:dyDescent="0.3">
      <c r="A2896" s="80">
        <v>45750</v>
      </c>
      <c r="B2896">
        <v>3010212</v>
      </c>
      <c r="C2896">
        <v>1142.02</v>
      </c>
      <c r="E2896" s="80">
        <v>45725</v>
      </c>
      <c r="F2896">
        <v>2011310</v>
      </c>
      <c r="G2896">
        <v>1595.04</v>
      </c>
    </row>
    <row r="2897" spans="1:7" x14ac:dyDescent="0.3">
      <c r="A2897" s="80">
        <v>45750</v>
      </c>
      <c r="B2897">
        <v>3010212</v>
      </c>
      <c r="C2897">
        <v>879.38</v>
      </c>
      <c r="E2897" s="80">
        <v>45725</v>
      </c>
      <c r="F2897">
        <v>2011310</v>
      </c>
      <c r="G2897">
        <v>4788.32</v>
      </c>
    </row>
    <row r="2898" spans="1:7" x14ac:dyDescent="0.3">
      <c r="A2898" s="80">
        <v>45750</v>
      </c>
      <c r="B2898">
        <v>3010212</v>
      </c>
      <c r="C2898">
        <v>879.38</v>
      </c>
      <c r="E2898" s="80">
        <v>45725</v>
      </c>
      <c r="F2898">
        <v>2011310</v>
      </c>
      <c r="G2898">
        <v>4788.32</v>
      </c>
    </row>
    <row r="2899" spans="1:7" x14ac:dyDescent="0.3">
      <c r="A2899" s="80">
        <v>45749</v>
      </c>
      <c r="B2899">
        <v>3010212</v>
      </c>
      <c r="C2899">
        <v>879.38</v>
      </c>
      <c r="E2899" s="80">
        <v>45725</v>
      </c>
      <c r="F2899">
        <v>2011310</v>
      </c>
      <c r="G2899">
        <v>4788.32</v>
      </c>
    </row>
    <row r="2900" spans="1:7" x14ac:dyDescent="0.3">
      <c r="A2900" s="80">
        <v>45749</v>
      </c>
      <c r="B2900">
        <v>3010212</v>
      </c>
      <c r="C2900">
        <v>879.38</v>
      </c>
      <c r="E2900" s="80">
        <v>45725</v>
      </c>
      <c r="F2900">
        <v>2011310</v>
      </c>
      <c r="G2900">
        <v>4788.32</v>
      </c>
    </row>
    <row r="2901" spans="1:7" x14ac:dyDescent="0.3">
      <c r="A2901" s="80">
        <v>45749</v>
      </c>
      <c r="B2901">
        <v>3010212</v>
      </c>
      <c r="C2901">
        <v>879.38</v>
      </c>
      <c r="E2901" s="80">
        <v>45725</v>
      </c>
      <c r="F2901">
        <v>2011310</v>
      </c>
      <c r="G2901">
        <v>5106.32</v>
      </c>
    </row>
    <row r="2902" spans="1:7" x14ac:dyDescent="0.3">
      <c r="A2902" s="80">
        <v>45749</v>
      </c>
      <c r="B2902">
        <v>3010212</v>
      </c>
      <c r="C2902">
        <v>879.38</v>
      </c>
      <c r="E2902" s="80">
        <v>45725</v>
      </c>
      <c r="F2902">
        <v>2011310</v>
      </c>
      <c r="G2902">
        <v>4788.32</v>
      </c>
    </row>
    <row r="2903" spans="1:7" x14ac:dyDescent="0.3">
      <c r="A2903" s="80">
        <v>45749</v>
      </c>
      <c r="B2903">
        <v>3010212</v>
      </c>
      <c r="C2903">
        <v>879.38</v>
      </c>
      <c r="E2903" s="80">
        <v>45724</v>
      </c>
      <c r="F2903">
        <v>2011310</v>
      </c>
      <c r="G2903">
        <v>4788.32</v>
      </c>
    </row>
    <row r="2904" spans="1:7" x14ac:dyDescent="0.3">
      <c r="A2904" s="80">
        <v>45749</v>
      </c>
      <c r="B2904">
        <v>3010212</v>
      </c>
      <c r="C2904">
        <v>879.38</v>
      </c>
      <c r="E2904" s="80">
        <v>45724</v>
      </c>
      <c r="F2904">
        <v>2011310</v>
      </c>
      <c r="G2904">
        <v>5505.32</v>
      </c>
    </row>
    <row r="2905" spans="1:7" x14ac:dyDescent="0.3">
      <c r="A2905" s="80">
        <v>45749</v>
      </c>
      <c r="B2905">
        <v>3010212</v>
      </c>
      <c r="C2905">
        <v>1865.54</v>
      </c>
      <c r="E2905" s="80">
        <v>45723</v>
      </c>
      <c r="F2905">
        <v>2011310</v>
      </c>
      <c r="G2905">
        <v>4788.32</v>
      </c>
    </row>
    <row r="2906" spans="1:7" x14ac:dyDescent="0.3">
      <c r="A2906" s="80">
        <v>45748</v>
      </c>
      <c r="B2906">
        <v>3010212</v>
      </c>
      <c r="C2906">
        <v>970.7</v>
      </c>
      <c r="E2906" s="80">
        <v>45723</v>
      </c>
      <c r="F2906">
        <v>2011310</v>
      </c>
      <c r="G2906">
        <v>4946.49</v>
      </c>
    </row>
    <row r="2907" spans="1:7" x14ac:dyDescent="0.3">
      <c r="A2907" s="80">
        <v>45748</v>
      </c>
      <c r="B2907">
        <v>3010212</v>
      </c>
      <c r="C2907">
        <v>1005.01</v>
      </c>
      <c r="E2907" s="80">
        <v>45723</v>
      </c>
      <c r="F2907">
        <v>2011310</v>
      </c>
      <c r="G2907">
        <v>4788.32</v>
      </c>
    </row>
    <row r="2908" spans="1:7" x14ac:dyDescent="0.3">
      <c r="A2908" s="80">
        <v>45748</v>
      </c>
      <c r="B2908">
        <v>3010212</v>
      </c>
      <c r="C2908">
        <v>772.76</v>
      </c>
      <c r="E2908" s="80">
        <v>45723</v>
      </c>
      <c r="F2908">
        <v>2011310</v>
      </c>
      <c r="G2908">
        <v>4788.32</v>
      </c>
    </row>
    <row r="2909" spans="1:7" x14ac:dyDescent="0.3">
      <c r="A2909" s="80">
        <v>45747</v>
      </c>
      <c r="B2909">
        <v>3010212</v>
      </c>
      <c r="C2909">
        <v>1142.02</v>
      </c>
      <c r="E2909" s="80">
        <v>45722</v>
      </c>
      <c r="F2909">
        <v>2011310</v>
      </c>
      <c r="G2909">
        <v>5776.32</v>
      </c>
    </row>
    <row r="2910" spans="1:7" x14ac:dyDescent="0.3">
      <c r="A2910" s="80">
        <v>45747</v>
      </c>
      <c r="B2910">
        <v>3010212</v>
      </c>
      <c r="C2910">
        <v>879.38</v>
      </c>
      <c r="E2910" s="80">
        <v>45722</v>
      </c>
      <c r="F2910">
        <v>2011310</v>
      </c>
      <c r="G2910">
        <v>4788.32</v>
      </c>
    </row>
    <row r="2911" spans="1:7" x14ac:dyDescent="0.3">
      <c r="A2911" s="80">
        <v>45747</v>
      </c>
      <c r="B2911">
        <v>3010212</v>
      </c>
      <c r="C2911">
        <v>1142.02</v>
      </c>
      <c r="E2911" s="80">
        <v>45722</v>
      </c>
      <c r="F2911">
        <v>2011310</v>
      </c>
      <c r="G2911">
        <v>4788.32</v>
      </c>
    </row>
    <row r="2912" spans="1:7" x14ac:dyDescent="0.3">
      <c r="A2912" s="80">
        <v>45747</v>
      </c>
      <c r="B2912">
        <v>3010212</v>
      </c>
      <c r="C2912">
        <v>1142.02</v>
      </c>
      <c r="E2912" s="80">
        <v>45722</v>
      </c>
      <c r="F2912">
        <v>2011310</v>
      </c>
      <c r="G2912">
        <v>4788.32</v>
      </c>
    </row>
    <row r="2913" spans="1:7" x14ac:dyDescent="0.3">
      <c r="A2913" s="80">
        <v>45747</v>
      </c>
      <c r="B2913">
        <v>3010212</v>
      </c>
      <c r="C2913">
        <v>879.38</v>
      </c>
      <c r="E2913" s="80">
        <v>45721</v>
      </c>
      <c r="F2913">
        <v>2011310</v>
      </c>
      <c r="G2913">
        <v>5888.32</v>
      </c>
    </row>
    <row r="2914" spans="1:7" x14ac:dyDescent="0.3">
      <c r="A2914" s="80">
        <v>45747</v>
      </c>
      <c r="B2914">
        <v>3010212</v>
      </c>
      <c r="C2914">
        <v>1142.02</v>
      </c>
      <c r="E2914" s="80">
        <v>45721</v>
      </c>
      <c r="F2914">
        <v>2011310</v>
      </c>
      <c r="G2914">
        <v>5106.32</v>
      </c>
    </row>
    <row r="2915" spans="1:7" x14ac:dyDescent="0.3">
      <c r="A2915" s="80">
        <v>45747</v>
      </c>
      <c r="B2915">
        <v>3010212</v>
      </c>
      <c r="C2915">
        <v>1005.01</v>
      </c>
      <c r="E2915" s="80">
        <v>45721</v>
      </c>
      <c r="F2915">
        <v>2011310</v>
      </c>
      <c r="G2915">
        <v>5106.32</v>
      </c>
    </row>
    <row r="2916" spans="1:7" x14ac:dyDescent="0.3">
      <c r="A2916" s="80">
        <v>45747</v>
      </c>
      <c r="B2916">
        <v>3010212</v>
      </c>
      <c r="C2916">
        <v>1005.01</v>
      </c>
      <c r="E2916" s="80">
        <v>45720</v>
      </c>
      <c r="F2916">
        <v>2011310</v>
      </c>
      <c r="G2916">
        <v>5106.32</v>
      </c>
    </row>
    <row r="2917" spans="1:7" x14ac:dyDescent="0.3">
      <c r="A2917" s="80">
        <v>45746</v>
      </c>
      <c r="B2917">
        <v>3010212</v>
      </c>
      <c r="C2917">
        <v>1865.54</v>
      </c>
      <c r="E2917" s="80">
        <v>45720</v>
      </c>
      <c r="F2917">
        <v>2011310</v>
      </c>
      <c r="G2917">
        <v>5106.32</v>
      </c>
    </row>
    <row r="2918" spans="1:7" x14ac:dyDescent="0.3">
      <c r="A2918" s="80">
        <v>45746</v>
      </c>
      <c r="B2918">
        <v>3010212</v>
      </c>
      <c r="C2918">
        <v>1005.01</v>
      </c>
      <c r="E2918" s="80">
        <v>45720</v>
      </c>
      <c r="F2918">
        <v>2011310</v>
      </c>
      <c r="G2918">
        <v>3789.09</v>
      </c>
    </row>
    <row r="2919" spans="1:7" x14ac:dyDescent="0.3">
      <c r="A2919" s="80">
        <v>45746</v>
      </c>
      <c r="B2919">
        <v>3010212</v>
      </c>
      <c r="C2919">
        <v>1005.01</v>
      </c>
      <c r="E2919" s="80">
        <v>45720</v>
      </c>
      <c r="F2919">
        <v>2011310</v>
      </c>
      <c r="G2919">
        <v>5225.32</v>
      </c>
    </row>
    <row r="2920" spans="1:7" x14ac:dyDescent="0.3">
      <c r="A2920" s="80">
        <v>45746</v>
      </c>
      <c r="B2920">
        <v>3010212</v>
      </c>
      <c r="C2920">
        <v>1005.01</v>
      </c>
      <c r="E2920" s="80">
        <v>45719</v>
      </c>
      <c r="F2920">
        <v>2011310</v>
      </c>
      <c r="G2920">
        <v>5225.32</v>
      </c>
    </row>
    <row r="2921" spans="1:7" x14ac:dyDescent="0.3">
      <c r="A2921" s="80">
        <v>45746</v>
      </c>
      <c r="B2921">
        <v>3010212</v>
      </c>
      <c r="C2921">
        <v>1865.54</v>
      </c>
      <c r="E2921" s="80">
        <v>45719</v>
      </c>
      <c r="F2921">
        <v>2011310</v>
      </c>
      <c r="G2921">
        <v>9576.64</v>
      </c>
    </row>
    <row r="2922" spans="1:7" x14ac:dyDescent="0.3">
      <c r="A2922" s="80">
        <v>45745</v>
      </c>
      <c r="B2922">
        <v>3010212</v>
      </c>
      <c r="C2922">
        <v>1142.02</v>
      </c>
      <c r="E2922" s="80">
        <v>45719</v>
      </c>
      <c r="F2922">
        <v>2011310</v>
      </c>
      <c r="G2922">
        <v>5545.32</v>
      </c>
    </row>
    <row r="2923" spans="1:7" x14ac:dyDescent="0.3">
      <c r="A2923" s="80">
        <v>45745</v>
      </c>
      <c r="B2923">
        <v>3010212</v>
      </c>
      <c r="C2923">
        <v>1142.02</v>
      </c>
      <c r="E2923" s="80">
        <v>45719</v>
      </c>
      <c r="F2923">
        <v>2011310</v>
      </c>
      <c r="G2923">
        <v>5425.32</v>
      </c>
    </row>
    <row r="2924" spans="1:7" x14ac:dyDescent="0.3">
      <c r="A2924" s="80">
        <v>45744</v>
      </c>
      <c r="B2924">
        <v>3010212</v>
      </c>
      <c r="C2924">
        <v>1142.02</v>
      </c>
      <c r="E2924" s="80">
        <v>45718</v>
      </c>
      <c r="F2924">
        <v>2011310</v>
      </c>
      <c r="G2924">
        <v>5481.32</v>
      </c>
    </row>
    <row r="2925" spans="1:7" x14ac:dyDescent="0.3">
      <c r="A2925" s="80">
        <v>45744</v>
      </c>
      <c r="B2925">
        <v>3010212</v>
      </c>
      <c r="C2925">
        <v>1142.02</v>
      </c>
      <c r="E2925" s="80">
        <v>45718</v>
      </c>
      <c r="F2925">
        <v>2011310</v>
      </c>
      <c r="G2925">
        <v>5225.32</v>
      </c>
    </row>
    <row r="2926" spans="1:7" x14ac:dyDescent="0.3">
      <c r="A2926" s="80">
        <v>45744</v>
      </c>
      <c r="B2926">
        <v>3010212</v>
      </c>
      <c r="C2926">
        <v>1142.02</v>
      </c>
      <c r="E2926" s="80">
        <v>45718</v>
      </c>
      <c r="F2926">
        <v>2011310</v>
      </c>
      <c r="G2926">
        <v>5225.32</v>
      </c>
    </row>
    <row r="2927" spans="1:7" x14ac:dyDescent="0.3">
      <c r="A2927" s="80">
        <v>45743</v>
      </c>
      <c r="B2927">
        <v>3010212</v>
      </c>
      <c r="C2927">
        <v>1142.02</v>
      </c>
      <c r="E2927" s="80">
        <v>45718</v>
      </c>
      <c r="F2927">
        <v>2011310</v>
      </c>
      <c r="G2927">
        <v>3908.09</v>
      </c>
    </row>
    <row r="2928" spans="1:7" x14ac:dyDescent="0.3">
      <c r="A2928" s="80">
        <v>45743</v>
      </c>
      <c r="B2928">
        <v>3010212</v>
      </c>
      <c r="C2928">
        <v>1142.02</v>
      </c>
      <c r="E2928" s="80">
        <v>45718</v>
      </c>
      <c r="F2928">
        <v>2011310</v>
      </c>
      <c r="G2928">
        <v>4788.32</v>
      </c>
    </row>
    <row r="2929" spans="1:7" x14ac:dyDescent="0.3">
      <c r="A2929" s="80">
        <v>45743</v>
      </c>
      <c r="B2929">
        <v>3010212</v>
      </c>
      <c r="C2929">
        <v>380.42</v>
      </c>
      <c r="E2929" s="80">
        <v>45718</v>
      </c>
      <c r="F2929">
        <v>2011310</v>
      </c>
      <c r="G2929">
        <v>4788.32</v>
      </c>
    </row>
    <row r="2930" spans="1:7" x14ac:dyDescent="0.3">
      <c r="A2930" s="80">
        <v>45743</v>
      </c>
      <c r="B2930">
        <v>3010212</v>
      </c>
      <c r="C2930">
        <v>951.62</v>
      </c>
      <c r="E2930" s="80">
        <v>45718</v>
      </c>
      <c r="F2930">
        <v>2011310</v>
      </c>
      <c r="G2930">
        <v>3908.09</v>
      </c>
    </row>
    <row r="2931" spans="1:7" x14ac:dyDescent="0.3">
      <c r="A2931" s="80">
        <v>45743</v>
      </c>
      <c r="B2931">
        <v>3010212</v>
      </c>
      <c r="C2931">
        <v>1142.02</v>
      </c>
      <c r="E2931" s="80">
        <v>45718</v>
      </c>
      <c r="F2931">
        <v>2011310</v>
      </c>
      <c r="G2931">
        <v>5225.32</v>
      </c>
    </row>
    <row r="2932" spans="1:7" x14ac:dyDescent="0.3">
      <c r="A2932" s="80">
        <v>45743</v>
      </c>
      <c r="B2932">
        <v>3010212</v>
      </c>
      <c r="C2932">
        <v>1142.02</v>
      </c>
      <c r="E2932" s="80">
        <v>45718</v>
      </c>
      <c r="F2932">
        <v>2011310</v>
      </c>
      <c r="G2932">
        <v>1435.54</v>
      </c>
    </row>
    <row r="2933" spans="1:7" x14ac:dyDescent="0.3">
      <c r="A2933" s="80">
        <v>45743</v>
      </c>
      <c r="B2933">
        <v>3010212</v>
      </c>
      <c r="C2933">
        <v>1142.02</v>
      </c>
      <c r="E2933" s="80">
        <v>45718</v>
      </c>
      <c r="F2933">
        <v>2011310</v>
      </c>
      <c r="G2933">
        <v>4309.49</v>
      </c>
    </row>
    <row r="2934" spans="1:7" x14ac:dyDescent="0.3">
      <c r="A2934" s="80">
        <v>45740</v>
      </c>
      <c r="B2934">
        <v>3010212</v>
      </c>
      <c r="C2934">
        <v>2284.04</v>
      </c>
      <c r="E2934" s="80">
        <v>45717</v>
      </c>
      <c r="F2934">
        <v>2011310</v>
      </c>
      <c r="G2934">
        <v>4788.32</v>
      </c>
    </row>
    <row r="2935" spans="1:7" x14ac:dyDescent="0.3">
      <c r="A2935" s="80">
        <v>45740</v>
      </c>
      <c r="B2935">
        <v>3010212</v>
      </c>
      <c r="C2935">
        <v>1142.02</v>
      </c>
      <c r="E2935" s="80">
        <v>45717</v>
      </c>
      <c r="F2935">
        <v>2011310</v>
      </c>
      <c r="G2935">
        <v>5665.32</v>
      </c>
    </row>
    <row r="2936" spans="1:7" x14ac:dyDescent="0.3">
      <c r="A2936" s="80">
        <v>45739</v>
      </c>
      <c r="B2936">
        <v>3010212</v>
      </c>
      <c r="C2936">
        <v>1142.02</v>
      </c>
      <c r="E2936" s="80">
        <v>45717</v>
      </c>
      <c r="F2936">
        <v>2011310</v>
      </c>
      <c r="G2936">
        <v>4788.32</v>
      </c>
    </row>
    <row r="2937" spans="1:7" x14ac:dyDescent="0.3">
      <c r="A2937" s="80">
        <v>45739</v>
      </c>
      <c r="B2937">
        <v>3010212</v>
      </c>
      <c r="C2937">
        <v>380.42</v>
      </c>
      <c r="E2937" s="80">
        <v>45717</v>
      </c>
      <c r="F2937">
        <v>2011310</v>
      </c>
      <c r="G2937">
        <v>5225.32</v>
      </c>
    </row>
    <row r="2938" spans="1:7" x14ac:dyDescent="0.3">
      <c r="A2938" s="80">
        <v>45739</v>
      </c>
      <c r="B2938">
        <v>3010212</v>
      </c>
      <c r="C2938">
        <v>1142.02</v>
      </c>
      <c r="E2938" s="80">
        <v>45717</v>
      </c>
      <c r="F2938">
        <v>2011310</v>
      </c>
      <c r="G2938">
        <v>4788.32</v>
      </c>
    </row>
    <row r="2939" spans="1:7" x14ac:dyDescent="0.3">
      <c r="A2939" s="80">
        <v>45738</v>
      </c>
      <c r="B2939">
        <v>3010212</v>
      </c>
      <c r="C2939">
        <v>1142.02</v>
      </c>
      <c r="E2939" s="80">
        <v>45717</v>
      </c>
      <c r="F2939">
        <v>2011310</v>
      </c>
      <c r="G2939">
        <v>4788.32</v>
      </c>
    </row>
    <row r="2940" spans="1:7" x14ac:dyDescent="0.3">
      <c r="A2940" s="80">
        <v>45738</v>
      </c>
      <c r="B2940">
        <v>3010212</v>
      </c>
      <c r="C2940">
        <v>1142.02</v>
      </c>
      <c r="E2940" s="80">
        <v>45717</v>
      </c>
      <c r="F2940">
        <v>2011310</v>
      </c>
      <c r="G2940">
        <v>4788.32</v>
      </c>
    </row>
    <row r="2941" spans="1:7" x14ac:dyDescent="0.3">
      <c r="A2941" s="80">
        <v>45737</v>
      </c>
      <c r="B2941">
        <v>3010212</v>
      </c>
      <c r="C2941">
        <v>1142.02</v>
      </c>
      <c r="E2941" s="80">
        <v>45717</v>
      </c>
      <c r="F2941">
        <v>2011310</v>
      </c>
      <c r="G2941">
        <v>5225.32</v>
      </c>
    </row>
    <row r="2942" spans="1:7" x14ac:dyDescent="0.3">
      <c r="A2942" s="80">
        <v>45737</v>
      </c>
      <c r="B2942">
        <v>3010212</v>
      </c>
      <c r="C2942">
        <v>1865.54</v>
      </c>
      <c r="E2942" s="80">
        <v>45716</v>
      </c>
      <c r="F2942">
        <v>2011310</v>
      </c>
      <c r="G2942">
        <v>5505.32</v>
      </c>
    </row>
    <row r="2943" spans="1:7" x14ac:dyDescent="0.3">
      <c r="A2943" s="80">
        <v>45736</v>
      </c>
      <c r="B2943">
        <v>3010212</v>
      </c>
      <c r="C2943">
        <v>1142.02</v>
      </c>
      <c r="E2943" s="80">
        <v>45716</v>
      </c>
      <c r="F2943">
        <v>2011310</v>
      </c>
      <c r="G2943">
        <v>5225.32</v>
      </c>
    </row>
    <row r="2944" spans="1:7" x14ac:dyDescent="0.3">
      <c r="A2944" s="80">
        <v>45736</v>
      </c>
      <c r="B2944">
        <v>3010212</v>
      </c>
      <c r="C2944">
        <v>1142.02</v>
      </c>
      <c r="E2944" s="80">
        <v>45716</v>
      </c>
      <c r="F2944">
        <v>2011310</v>
      </c>
      <c r="G2944">
        <v>3908.09</v>
      </c>
    </row>
    <row r="2945" spans="1:7" x14ac:dyDescent="0.3">
      <c r="A2945" s="80">
        <v>45736</v>
      </c>
      <c r="B2945">
        <v>3010212</v>
      </c>
      <c r="C2945">
        <v>1142.02</v>
      </c>
      <c r="E2945" s="80">
        <v>45716</v>
      </c>
      <c r="F2945">
        <v>2011310</v>
      </c>
      <c r="G2945">
        <v>5225.32</v>
      </c>
    </row>
    <row r="2946" spans="1:7" x14ac:dyDescent="0.3">
      <c r="A2946" s="80">
        <v>45736</v>
      </c>
      <c r="B2946">
        <v>3010212</v>
      </c>
      <c r="C2946">
        <v>1142.02</v>
      </c>
      <c r="E2946" s="80">
        <v>45716</v>
      </c>
      <c r="F2946">
        <v>2011310</v>
      </c>
      <c r="G2946">
        <v>5106.32</v>
      </c>
    </row>
    <row r="2947" spans="1:7" x14ac:dyDescent="0.3">
      <c r="A2947" s="80">
        <v>45736</v>
      </c>
      <c r="B2947">
        <v>3010212</v>
      </c>
      <c r="C2947">
        <v>1142.02</v>
      </c>
      <c r="E2947" s="80">
        <v>45716</v>
      </c>
      <c r="F2947">
        <v>2011310</v>
      </c>
      <c r="G2947">
        <v>1595.04</v>
      </c>
    </row>
    <row r="2948" spans="1:7" x14ac:dyDescent="0.3">
      <c r="A2948" s="80">
        <v>45735</v>
      </c>
      <c r="B2948">
        <v>3010212</v>
      </c>
      <c r="C2948">
        <v>1142.02</v>
      </c>
      <c r="E2948" s="80">
        <v>45716</v>
      </c>
      <c r="F2948">
        <v>2011310</v>
      </c>
      <c r="G2948">
        <v>4788.32</v>
      </c>
    </row>
    <row r="2949" spans="1:7" x14ac:dyDescent="0.3">
      <c r="A2949" s="80">
        <v>45735</v>
      </c>
      <c r="B2949">
        <v>3010212</v>
      </c>
      <c r="C2949">
        <v>1142.02</v>
      </c>
      <c r="E2949" s="80">
        <v>45716</v>
      </c>
      <c r="F2949">
        <v>2011310</v>
      </c>
      <c r="G2949">
        <v>4788.32</v>
      </c>
    </row>
    <row r="2950" spans="1:7" x14ac:dyDescent="0.3">
      <c r="A2950" s="80">
        <v>45735</v>
      </c>
      <c r="B2950">
        <v>3010212</v>
      </c>
      <c r="C2950">
        <v>1142.02</v>
      </c>
      <c r="E2950" s="80">
        <v>45715</v>
      </c>
      <c r="F2950">
        <v>2011310</v>
      </c>
      <c r="G2950">
        <v>3789.09</v>
      </c>
    </row>
    <row r="2951" spans="1:7" x14ac:dyDescent="0.3">
      <c r="A2951" s="80">
        <v>45734</v>
      </c>
      <c r="B2951">
        <v>3010212</v>
      </c>
      <c r="C2951">
        <v>827.86</v>
      </c>
      <c r="E2951" s="80">
        <v>45715</v>
      </c>
      <c r="F2951">
        <v>2011310</v>
      </c>
      <c r="G2951">
        <v>5510.32</v>
      </c>
    </row>
    <row r="2952" spans="1:7" x14ac:dyDescent="0.3">
      <c r="A2952" s="80">
        <v>45734</v>
      </c>
      <c r="B2952">
        <v>3010212</v>
      </c>
      <c r="C2952">
        <v>1027.82</v>
      </c>
      <c r="E2952" s="80">
        <v>45715</v>
      </c>
      <c r="F2952">
        <v>2011310</v>
      </c>
      <c r="G2952">
        <v>5106.32</v>
      </c>
    </row>
    <row r="2953" spans="1:7" x14ac:dyDescent="0.3">
      <c r="A2953" s="80">
        <v>45734</v>
      </c>
      <c r="B2953">
        <v>3010212</v>
      </c>
      <c r="C2953">
        <v>1142.02</v>
      </c>
      <c r="E2953" s="80">
        <v>45715</v>
      </c>
      <c r="F2953">
        <v>2011310</v>
      </c>
      <c r="G2953">
        <v>4788.32</v>
      </c>
    </row>
    <row r="2954" spans="1:7" x14ac:dyDescent="0.3">
      <c r="A2954" s="80">
        <v>45734</v>
      </c>
      <c r="B2954">
        <v>3010212</v>
      </c>
      <c r="C2954">
        <v>1142.02</v>
      </c>
      <c r="E2954" s="80">
        <v>45714</v>
      </c>
      <c r="F2954">
        <v>2011310</v>
      </c>
      <c r="G2954">
        <v>5106.32</v>
      </c>
    </row>
    <row r="2955" spans="1:7" x14ac:dyDescent="0.3">
      <c r="A2955" s="80">
        <v>45734</v>
      </c>
      <c r="B2955">
        <v>3010212</v>
      </c>
      <c r="C2955">
        <v>1142.02</v>
      </c>
      <c r="E2955" s="80">
        <v>45714</v>
      </c>
      <c r="F2955">
        <v>2011310</v>
      </c>
      <c r="G2955">
        <v>1595.04</v>
      </c>
    </row>
    <row r="2956" spans="1:7" x14ac:dyDescent="0.3">
      <c r="A2956" s="80">
        <v>45733</v>
      </c>
      <c r="B2956">
        <v>3010212</v>
      </c>
      <c r="C2956">
        <v>1142.02</v>
      </c>
      <c r="E2956" s="80">
        <v>45714</v>
      </c>
      <c r="F2956">
        <v>2011310</v>
      </c>
      <c r="G2956">
        <v>5106.32</v>
      </c>
    </row>
    <row r="2957" spans="1:7" x14ac:dyDescent="0.3">
      <c r="A2957" s="80">
        <v>45733</v>
      </c>
      <c r="B2957">
        <v>3010212</v>
      </c>
      <c r="C2957">
        <v>1142.02</v>
      </c>
      <c r="E2957" s="80">
        <v>45714</v>
      </c>
      <c r="F2957">
        <v>2011310</v>
      </c>
      <c r="G2957">
        <v>5106.32</v>
      </c>
    </row>
    <row r="2958" spans="1:7" x14ac:dyDescent="0.3">
      <c r="A2958" s="80">
        <v>45733</v>
      </c>
      <c r="B2958">
        <v>3010212</v>
      </c>
      <c r="C2958">
        <v>1142.02</v>
      </c>
      <c r="E2958" s="80">
        <v>45713</v>
      </c>
      <c r="F2958">
        <v>2011310</v>
      </c>
      <c r="G2958">
        <v>5106.32</v>
      </c>
    </row>
    <row r="2959" spans="1:7" x14ac:dyDescent="0.3">
      <c r="A2959" s="80">
        <v>45733</v>
      </c>
      <c r="B2959">
        <v>3010212</v>
      </c>
      <c r="C2959">
        <v>1142.02</v>
      </c>
      <c r="E2959" s="80">
        <v>45713</v>
      </c>
      <c r="F2959">
        <v>2011310</v>
      </c>
      <c r="G2959">
        <v>5106.32</v>
      </c>
    </row>
    <row r="2960" spans="1:7" x14ac:dyDescent="0.3">
      <c r="A2960" s="80">
        <v>45733</v>
      </c>
      <c r="B2960">
        <v>3010212</v>
      </c>
      <c r="C2960">
        <v>1027.82</v>
      </c>
      <c r="E2960" s="80">
        <v>45713</v>
      </c>
      <c r="F2960">
        <v>2011310</v>
      </c>
      <c r="G2960">
        <v>5489.32</v>
      </c>
    </row>
    <row r="2961" spans="1:7" x14ac:dyDescent="0.3">
      <c r="A2961" s="80">
        <v>45733</v>
      </c>
      <c r="B2961">
        <v>3010212</v>
      </c>
      <c r="C2961">
        <v>1142.02</v>
      </c>
      <c r="E2961" s="80">
        <v>45713</v>
      </c>
      <c r="F2961">
        <v>2011310</v>
      </c>
      <c r="G2961">
        <v>5106.32</v>
      </c>
    </row>
    <row r="2962" spans="1:7" x14ac:dyDescent="0.3">
      <c r="A2962" s="80">
        <v>45733</v>
      </c>
      <c r="B2962">
        <v>3010212</v>
      </c>
      <c r="C2962">
        <v>1142.02</v>
      </c>
      <c r="E2962" s="80">
        <v>45712</v>
      </c>
      <c r="F2962">
        <v>2011310</v>
      </c>
      <c r="G2962">
        <v>5393.32</v>
      </c>
    </row>
    <row r="2963" spans="1:7" x14ac:dyDescent="0.3">
      <c r="A2963" s="80">
        <v>45733</v>
      </c>
      <c r="B2963">
        <v>3010212</v>
      </c>
      <c r="C2963">
        <v>1142.02</v>
      </c>
      <c r="E2963" s="80">
        <v>45712</v>
      </c>
      <c r="F2963">
        <v>2011310</v>
      </c>
      <c r="G2963">
        <v>5473.32</v>
      </c>
    </row>
    <row r="2964" spans="1:7" x14ac:dyDescent="0.3">
      <c r="A2964" s="80">
        <v>45732</v>
      </c>
      <c r="B2964">
        <v>3010212</v>
      </c>
      <c r="C2964">
        <v>1142.02</v>
      </c>
      <c r="E2964" s="80">
        <v>45712</v>
      </c>
      <c r="F2964">
        <v>2011310</v>
      </c>
      <c r="G2964">
        <v>4627.49</v>
      </c>
    </row>
    <row r="2965" spans="1:7" x14ac:dyDescent="0.3">
      <c r="A2965" s="80">
        <v>45732</v>
      </c>
      <c r="B2965">
        <v>3010212</v>
      </c>
      <c r="C2965">
        <v>1142.02</v>
      </c>
      <c r="E2965" s="80">
        <v>45712</v>
      </c>
      <c r="F2965">
        <v>2011310</v>
      </c>
      <c r="G2965">
        <v>4068.01</v>
      </c>
    </row>
    <row r="2966" spans="1:7" x14ac:dyDescent="0.3">
      <c r="A2966" s="80">
        <v>45731</v>
      </c>
      <c r="B2966">
        <v>3010212</v>
      </c>
      <c r="C2966">
        <v>1027.82</v>
      </c>
      <c r="E2966" s="80">
        <v>45712</v>
      </c>
      <c r="F2966">
        <v>2011310</v>
      </c>
      <c r="G2966">
        <v>5553.32</v>
      </c>
    </row>
    <row r="2967" spans="1:7" x14ac:dyDescent="0.3">
      <c r="A2967" s="80">
        <v>45731</v>
      </c>
      <c r="B2967">
        <v>3010212</v>
      </c>
      <c r="C2967">
        <v>342.38</v>
      </c>
      <c r="E2967" s="80">
        <v>45711</v>
      </c>
      <c r="F2967">
        <v>2011310</v>
      </c>
      <c r="G2967">
        <v>5106.32</v>
      </c>
    </row>
    <row r="2968" spans="1:7" x14ac:dyDescent="0.3">
      <c r="A2968" s="80">
        <v>45731</v>
      </c>
      <c r="B2968">
        <v>3010212</v>
      </c>
      <c r="C2968">
        <v>1142.02</v>
      </c>
      <c r="E2968" s="80">
        <v>45711</v>
      </c>
      <c r="F2968">
        <v>2011310</v>
      </c>
      <c r="G2968">
        <v>5489.32</v>
      </c>
    </row>
    <row r="2969" spans="1:7" x14ac:dyDescent="0.3">
      <c r="A2969" s="80">
        <v>45730</v>
      </c>
      <c r="B2969">
        <v>3010212</v>
      </c>
      <c r="C2969">
        <v>1142.02</v>
      </c>
      <c r="E2969" s="80">
        <v>45710</v>
      </c>
      <c r="F2969">
        <v>2011310</v>
      </c>
      <c r="G2969">
        <v>5776.32</v>
      </c>
    </row>
    <row r="2970" spans="1:7" x14ac:dyDescent="0.3">
      <c r="A2970" s="80">
        <v>45730</v>
      </c>
      <c r="B2970">
        <v>3010212</v>
      </c>
      <c r="C2970">
        <v>1027.82</v>
      </c>
      <c r="E2970" s="80">
        <v>45710</v>
      </c>
      <c r="F2970">
        <v>2011310</v>
      </c>
      <c r="G2970">
        <v>5106.32</v>
      </c>
    </row>
    <row r="2971" spans="1:7" x14ac:dyDescent="0.3">
      <c r="A2971" s="80">
        <v>45730</v>
      </c>
      <c r="B2971">
        <v>3010212</v>
      </c>
      <c r="C2971">
        <v>1142.02</v>
      </c>
      <c r="E2971" s="80">
        <v>45710</v>
      </c>
      <c r="F2971">
        <v>2011310</v>
      </c>
      <c r="G2971">
        <v>5106.32</v>
      </c>
    </row>
    <row r="2972" spans="1:7" x14ac:dyDescent="0.3">
      <c r="A2972" s="80">
        <v>45729</v>
      </c>
      <c r="B2972">
        <v>3010212</v>
      </c>
      <c r="C2972">
        <v>1142.02</v>
      </c>
      <c r="E2972" s="80">
        <v>45710</v>
      </c>
      <c r="F2972">
        <v>2011310</v>
      </c>
      <c r="G2972">
        <v>5553.32</v>
      </c>
    </row>
    <row r="2973" spans="1:7" x14ac:dyDescent="0.3">
      <c r="A2973" s="80">
        <v>45728</v>
      </c>
      <c r="B2973">
        <v>3010212</v>
      </c>
      <c r="C2973">
        <v>1142.02</v>
      </c>
      <c r="E2973" s="80">
        <v>45710</v>
      </c>
      <c r="F2973">
        <v>2011310</v>
      </c>
      <c r="G2973">
        <v>5425.32</v>
      </c>
    </row>
    <row r="2974" spans="1:7" x14ac:dyDescent="0.3">
      <c r="A2974" s="80">
        <v>45728</v>
      </c>
      <c r="B2974">
        <v>3010212</v>
      </c>
      <c r="C2974">
        <v>1142.02</v>
      </c>
      <c r="E2974" s="80">
        <v>45710</v>
      </c>
      <c r="F2974">
        <v>2011310</v>
      </c>
      <c r="G2974">
        <v>5489.32</v>
      </c>
    </row>
    <row r="2975" spans="1:7" x14ac:dyDescent="0.3">
      <c r="A2975" s="80">
        <v>45727</v>
      </c>
      <c r="B2975">
        <v>3010212</v>
      </c>
      <c r="C2975">
        <v>1027.82</v>
      </c>
      <c r="E2975" s="80">
        <v>45710</v>
      </c>
      <c r="F2975">
        <v>2011310</v>
      </c>
      <c r="G2975">
        <v>5569.32</v>
      </c>
    </row>
    <row r="2976" spans="1:7" x14ac:dyDescent="0.3">
      <c r="A2976" s="80">
        <v>45727</v>
      </c>
      <c r="B2976">
        <v>3010212</v>
      </c>
      <c r="C2976">
        <v>1027.82</v>
      </c>
      <c r="E2976" s="80">
        <v>45710</v>
      </c>
      <c r="F2976">
        <v>2011310</v>
      </c>
      <c r="G2976">
        <v>4788.32</v>
      </c>
    </row>
    <row r="2977" spans="1:7" x14ac:dyDescent="0.3">
      <c r="A2977" s="80">
        <v>45727</v>
      </c>
      <c r="B2977">
        <v>3010212</v>
      </c>
      <c r="C2977">
        <v>1655.72</v>
      </c>
      <c r="E2977" s="80">
        <v>45710</v>
      </c>
      <c r="F2977">
        <v>2011310</v>
      </c>
      <c r="G2977">
        <v>4627.49</v>
      </c>
    </row>
    <row r="2978" spans="1:7" x14ac:dyDescent="0.3">
      <c r="A2978" s="80">
        <v>45727</v>
      </c>
      <c r="B2978">
        <v>3010212</v>
      </c>
      <c r="C2978">
        <v>1027.82</v>
      </c>
      <c r="E2978" s="80">
        <v>45710</v>
      </c>
      <c r="F2978">
        <v>2011310</v>
      </c>
      <c r="G2978">
        <v>5106.32</v>
      </c>
    </row>
    <row r="2979" spans="1:7" x14ac:dyDescent="0.3">
      <c r="A2979" s="80">
        <v>45727</v>
      </c>
      <c r="B2979">
        <v>3010212</v>
      </c>
      <c r="C2979">
        <v>2284.04</v>
      </c>
      <c r="E2979" s="80">
        <v>45709</v>
      </c>
      <c r="F2979">
        <v>2011310</v>
      </c>
      <c r="G2979">
        <v>5409.32</v>
      </c>
    </row>
    <row r="2980" spans="1:7" x14ac:dyDescent="0.3">
      <c r="A2980" s="80">
        <v>45726</v>
      </c>
      <c r="B2980">
        <v>3010212</v>
      </c>
      <c r="C2980">
        <v>827.86</v>
      </c>
      <c r="E2980" s="80">
        <v>45709</v>
      </c>
      <c r="F2980">
        <v>2011310</v>
      </c>
      <c r="G2980">
        <v>4788.32</v>
      </c>
    </row>
    <row r="2981" spans="1:7" x14ac:dyDescent="0.3">
      <c r="A2981" s="80">
        <v>45726</v>
      </c>
      <c r="B2981">
        <v>3010212</v>
      </c>
      <c r="C2981">
        <v>1142.02</v>
      </c>
      <c r="E2981" s="80">
        <v>45709</v>
      </c>
      <c r="F2981">
        <v>2011310</v>
      </c>
      <c r="G2981">
        <v>1595.04</v>
      </c>
    </row>
    <row r="2982" spans="1:7" x14ac:dyDescent="0.3">
      <c r="A2982" s="80">
        <v>45726</v>
      </c>
      <c r="B2982">
        <v>3010212</v>
      </c>
      <c r="C2982">
        <v>1142.02</v>
      </c>
      <c r="E2982" s="80">
        <v>45709</v>
      </c>
      <c r="F2982">
        <v>2011310</v>
      </c>
      <c r="G2982">
        <v>5106.32</v>
      </c>
    </row>
    <row r="2983" spans="1:7" x14ac:dyDescent="0.3">
      <c r="A2983" s="80">
        <v>45726</v>
      </c>
      <c r="B2983">
        <v>3010212</v>
      </c>
      <c r="C2983">
        <v>1142.02</v>
      </c>
      <c r="E2983" s="80">
        <v>45709</v>
      </c>
      <c r="F2983">
        <v>2011310</v>
      </c>
      <c r="G2983">
        <v>5106.32</v>
      </c>
    </row>
    <row r="2984" spans="1:7" x14ac:dyDescent="0.3">
      <c r="A2984" s="80">
        <v>45726</v>
      </c>
      <c r="B2984">
        <v>3010212</v>
      </c>
      <c r="C2984">
        <v>1142.02</v>
      </c>
      <c r="E2984" s="80">
        <v>45709</v>
      </c>
      <c r="F2984">
        <v>2011310</v>
      </c>
      <c r="G2984">
        <v>5106.32</v>
      </c>
    </row>
    <row r="2985" spans="1:7" x14ac:dyDescent="0.3">
      <c r="A2985" s="80">
        <v>45725</v>
      </c>
      <c r="B2985">
        <v>3010212</v>
      </c>
      <c r="C2985">
        <v>1142.02</v>
      </c>
      <c r="E2985" s="80">
        <v>45709</v>
      </c>
      <c r="F2985">
        <v>2011310</v>
      </c>
      <c r="G2985">
        <v>5744.32</v>
      </c>
    </row>
    <row r="2986" spans="1:7" x14ac:dyDescent="0.3">
      <c r="A2986" s="80">
        <v>45725</v>
      </c>
      <c r="B2986">
        <v>3010212</v>
      </c>
      <c r="C2986">
        <v>1142.02</v>
      </c>
      <c r="E2986" s="80">
        <v>45709</v>
      </c>
      <c r="F2986">
        <v>2011310</v>
      </c>
      <c r="G2986">
        <v>4788.32</v>
      </c>
    </row>
    <row r="2987" spans="1:7" x14ac:dyDescent="0.3">
      <c r="A2987" s="80">
        <v>45725</v>
      </c>
      <c r="B2987">
        <v>3010212</v>
      </c>
      <c r="C2987">
        <v>1142.02</v>
      </c>
      <c r="E2987" s="80">
        <v>45709</v>
      </c>
      <c r="F2987">
        <v>2011310</v>
      </c>
      <c r="G2987">
        <v>4788.32</v>
      </c>
    </row>
    <row r="2988" spans="1:7" x14ac:dyDescent="0.3">
      <c r="A2988" s="80">
        <v>45725</v>
      </c>
      <c r="B2988">
        <v>3010212</v>
      </c>
      <c r="C2988">
        <v>380.42</v>
      </c>
      <c r="E2988" s="80">
        <v>45709</v>
      </c>
      <c r="F2988">
        <v>2011310</v>
      </c>
      <c r="G2988">
        <v>5106.32</v>
      </c>
    </row>
    <row r="2989" spans="1:7" x14ac:dyDescent="0.3">
      <c r="A2989" s="80">
        <v>45725</v>
      </c>
      <c r="B2989">
        <v>3010212</v>
      </c>
      <c r="C2989">
        <v>1142.02</v>
      </c>
      <c r="E2989" s="80">
        <v>45709</v>
      </c>
      <c r="F2989">
        <v>2011310</v>
      </c>
      <c r="G2989">
        <v>5425.32</v>
      </c>
    </row>
    <row r="2990" spans="1:7" x14ac:dyDescent="0.3">
      <c r="A2990" s="80">
        <v>45725</v>
      </c>
      <c r="B2990">
        <v>3010212</v>
      </c>
      <c r="C2990">
        <v>1142.02</v>
      </c>
      <c r="E2990" s="80">
        <v>45709</v>
      </c>
      <c r="F2990">
        <v>2011310</v>
      </c>
      <c r="G2990">
        <v>5106.32</v>
      </c>
    </row>
    <row r="2991" spans="1:7" x14ac:dyDescent="0.3">
      <c r="A2991" s="80">
        <v>45725</v>
      </c>
      <c r="B2991">
        <v>3010212</v>
      </c>
      <c r="C2991">
        <v>1142.02</v>
      </c>
      <c r="E2991" s="80">
        <v>45708</v>
      </c>
      <c r="F2991">
        <v>2011310</v>
      </c>
      <c r="G2991">
        <v>5425.32</v>
      </c>
    </row>
    <row r="2992" spans="1:7" x14ac:dyDescent="0.3">
      <c r="A2992" s="80">
        <v>45725</v>
      </c>
      <c r="B2992">
        <v>3010212</v>
      </c>
      <c r="C2992">
        <v>1142.02</v>
      </c>
      <c r="E2992" s="80">
        <v>45708</v>
      </c>
      <c r="F2992">
        <v>2011310</v>
      </c>
      <c r="G2992">
        <v>5106.32</v>
      </c>
    </row>
    <row r="2993" spans="1:7" x14ac:dyDescent="0.3">
      <c r="A2993" s="80">
        <v>45725</v>
      </c>
      <c r="B2993">
        <v>3010212</v>
      </c>
      <c r="C2993">
        <v>1142.02</v>
      </c>
      <c r="E2993" s="80">
        <v>45708</v>
      </c>
      <c r="F2993">
        <v>2011310</v>
      </c>
      <c r="G2993">
        <v>5569.32</v>
      </c>
    </row>
    <row r="2994" spans="1:7" x14ac:dyDescent="0.3">
      <c r="A2994" s="80">
        <v>45725</v>
      </c>
      <c r="B2994">
        <v>3010212</v>
      </c>
      <c r="C2994">
        <v>1142.02</v>
      </c>
      <c r="E2994" s="80">
        <v>45708</v>
      </c>
      <c r="F2994">
        <v>2011310</v>
      </c>
      <c r="G2994">
        <v>3829.01</v>
      </c>
    </row>
    <row r="2995" spans="1:7" x14ac:dyDescent="0.3">
      <c r="A2995" s="80">
        <v>45724</v>
      </c>
      <c r="B2995">
        <v>3010212</v>
      </c>
      <c r="C2995">
        <v>1142.02</v>
      </c>
      <c r="E2995" s="80">
        <v>45708</v>
      </c>
      <c r="F2995">
        <v>2011310</v>
      </c>
      <c r="G2995">
        <v>5106.32</v>
      </c>
    </row>
    <row r="2996" spans="1:7" x14ac:dyDescent="0.3">
      <c r="A2996" s="80">
        <v>45724</v>
      </c>
      <c r="B2996">
        <v>3010212</v>
      </c>
      <c r="C2996">
        <v>1142.02</v>
      </c>
      <c r="E2996" s="80">
        <v>45708</v>
      </c>
      <c r="F2996">
        <v>2011310</v>
      </c>
      <c r="G2996">
        <v>3990</v>
      </c>
    </row>
    <row r="2997" spans="1:7" x14ac:dyDescent="0.3">
      <c r="A2997" s="80">
        <v>45723</v>
      </c>
      <c r="B2997">
        <v>3010212</v>
      </c>
      <c r="C2997">
        <v>1142.02</v>
      </c>
      <c r="E2997" s="80">
        <v>45708</v>
      </c>
      <c r="F2997">
        <v>2011310</v>
      </c>
      <c r="G2997">
        <v>4788.32</v>
      </c>
    </row>
    <row r="2998" spans="1:7" x14ac:dyDescent="0.3">
      <c r="A2998" s="80">
        <v>45723</v>
      </c>
      <c r="B2998">
        <v>3010212</v>
      </c>
      <c r="C2998">
        <v>1027.82</v>
      </c>
      <c r="E2998" s="80">
        <v>45707</v>
      </c>
      <c r="F2998">
        <v>2011310</v>
      </c>
      <c r="G2998">
        <v>3829.01</v>
      </c>
    </row>
    <row r="2999" spans="1:7" x14ac:dyDescent="0.3">
      <c r="A2999" s="80">
        <v>45723</v>
      </c>
      <c r="B2999">
        <v>3010212</v>
      </c>
      <c r="C2999">
        <v>1142.02</v>
      </c>
      <c r="E2999" s="80">
        <v>45705</v>
      </c>
      <c r="F2999">
        <v>2011310</v>
      </c>
      <c r="G2999">
        <v>3511.01</v>
      </c>
    </row>
    <row r="3000" spans="1:7" x14ac:dyDescent="0.3">
      <c r="A3000" s="80">
        <v>45723</v>
      </c>
      <c r="B3000">
        <v>3010212</v>
      </c>
      <c r="C3000">
        <v>1142.02</v>
      </c>
      <c r="E3000" s="80">
        <v>45705</v>
      </c>
      <c r="F3000">
        <v>2011310</v>
      </c>
      <c r="G3000">
        <v>5473.32</v>
      </c>
    </row>
    <row r="3001" spans="1:7" x14ac:dyDescent="0.3">
      <c r="A3001" s="80">
        <v>45722</v>
      </c>
      <c r="B3001">
        <v>3010212</v>
      </c>
      <c r="C3001">
        <v>1142.02</v>
      </c>
      <c r="E3001" s="80">
        <v>45705</v>
      </c>
      <c r="F3001">
        <v>2011310</v>
      </c>
      <c r="G3001">
        <v>3511.01</v>
      </c>
    </row>
    <row r="3002" spans="1:7" x14ac:dyDescent="0.3">
      <c r="A3002" s="80">
        <v>45722</v>
      </c>
      <c r="B3002">
        <v>3010212</v>
      </c>
      <c r="C3002">
        <v>1142.02</v>
      </c>
      <c r="E3002" s="80">
        <v>45704</v>
      </c>
      <c r="F3002">
        <v>2011310</v>
      </c>
      <c r="G3002">
        <v>4148.01</v>
      </c>
    </row>
    <row r="3003" spans="1:7" x14ac:dyDescent="0.3">
      <c r="A3003" s="80">
        <v>45722</v>
      </c>
      <c r="B3003">
        <v>3010212</v>
      </c>
      <c r="C3003">
        <v>1142.02</v>
      </c>
      <c r="E3003" s="80">
        <v>45704</v>
      </c>
      <c r="F3003">
        <v>2011310</v>
      </c>
      <c r="G3003">
        <v>3990</v>
      </c>
    </row>
    <row r="3004" spans="1:7" x14ac:dyDescent="0.3">
      <c r="A3004" s="80">
        <v>45722</v>
      </c>
      <c r="B3004">
        <v>3010212</v>
      </c>
      <c r="C3004">
        <v>1142.02</v>
      </c>
      <c r="E3004" s="80">
        <v>45704</v>
      </c>
      <c r="F3004">
        <v>2011310</v>
      </c>
      <c r="G3004">
        <v>5377.32</v>
      </c>
    </row>
    <row r="3005" spans="1:7" x14ac:dyDescent="0.3">
      <c r="A3005" s="80">
        <v>45721</v>
      </c>
      <c r="B3005">
        <v>3010212</v>
      </c>
      <c r="C3005">
        <v>1142.02</v>
      </c>
      <c r="E3005" s="80">
        <v>45703</v>
      </c>
      <c r="F3005">
        <v>2011310</v>
      </c>
      <c r="G3005">
        <v>3829.01</v>
      </c>
    </row>
    <row r="3006" spans="1:7" x14ac:dyDescent="0.3">
      <c r="A3006" s="80">
        <v>45721</v>
      </c>
      <c r="B3006">
        <v>3010212</v>
      </c>
      <c r="C3006">
        <v>1142.02</v>
      </c>
      <c r="E3006" s="80">
        <v>45703</v>
      </c>
      <c r="F3006">
        <v>2011310</v>
      </c>
      <c r="G3006">
        <v>5425.32</v>
      </c>
    </row>
    <row r="3007" spans="1:7" x14ac:dyDescent="0.3">
      <c r="A3007" s="80">
        <v>45721</v>
      </c>
      <c r="B3007">
        <v>3010212</v>
      </c>
      <c r="C3007">
        <v>1142.02</v>
      </c>
      <c r="E3007" s="80">
        <v>45703</v>
      </c>
      <c r="F3007">
        <v>2011310</v>
      </c>
      <c r="G3007">
        <v>5106.32</v>
      </c>
    </row>
    <row r="3008" spans="1:7" x14ac:dyDescent="0.3">
      <c r="A3008" s="80">
        <v>45720</v>
      </c>
      <c r="B3008">
        <v>3010212</v>
      </c>
      <c r="C3008">
        <v>1142.02</v>
      </c>
      <c r="E3008" s="80">
        <v>45703</v>
      </c>
      <c r="F3008">
        <v>2011310</v>
      </c>
      <c r="G3008">
        <v>5106.32</v>
      </c>
    </row>
    <row r="3009" spans="1:7" x14ac:dyDescent="0.3">
      <c r="A3009" s="80">
        <v>45720</v>
      </c>
      <c r="B3009">
        <v>3010212</v>
      </c>
      <c r="C3009">
        <v>1142.02</v>
      </c>
      <c r="E3009" s="80">
        <v>45702</v>
      </c>
      <c r="F3009">
        <v>2011310</v>
      </c>
      <c r="G3009">
        <v>4788.32</v>
      </c>
    </row>
    <row r="3010" spans="1:7" x14ac:dyDescent="0.3">
      <c r="A3010" s="80">
        <v>45720</v>
      </c>
      <c r="B3010">
        <v>3010212</v>
      </c>
      <c r="C3010">
        <v>827.86</v>
      </c>
      <c r="E3010" s="80">
        <v>45702</v>
      </c>
      <c r="F3010">
        <v>2011310</v>
      </c>
      <c r="G3010">
        <v>3990</v>
      </c>
    </row>
    <row r="3011" spans="1:7" x14ac:dyDescent="0.3">
      <c r="A3011" s="80">
        <v>45720</v>
      </c>
      <c r="B3011">
        <v>3010212</v>
      </c>
      <c r="C3011">
        <v>1142.02</v>
      </c>
      <c r="E3011" s="80">
        <v>45701</v>
      </c>
      <c r="F3011">
        <v>2011310</v>
      </c>
      <c r="G3011">
        <v>4172.09</v>
      </c>
    </row>
    <row r="3012" spans="1:7" x14ac:dyDescent="0.3">
      <c r="A3012" s="80">
        <v>45719</v>
      </c>
      <c r="B3012">
        <v>3010212</v>
      </c>
      <c r="C3012">
        <v>1142.02</v>
      </c>
      <c r="E3012" s="80">
        <v>45701</v>
      </c>
      <c r="F3012">
        <v>2011310</v>
      </c>
      <c r="G3012">
        <v>4156.09</v>
      </c>
    </row>
    <row r="3013" spans="1:7" x14ac:dyDescent="0.3">
      <c r="A3013" s="80">
        <v>45719</v>
      </c>
      <c r="B3013">
        <v>3010212</v>
      </c>
      <c r="C3013">
        <v>2284.04</v>
      </c>
      <c r="E3013" s="80">
        <v>45701</v>
      </c>
      <c r="F3013">
        <v>2011310</v>
      </c>
      <c r="G3013">
        <v>3789.09</v>
      </c>
    </row>
    <row r="3014" spans="1:7" x14ac:dyDescent="0.3">
      <c r="A3014" s="80">
        <v>45719</v>
      </c>
      <c r="B3014">
        <v>3010212</v>
      </c>
      <c r="C3014">
        <v>1142.02</v>
      </c>
      <c r="E3014" s="80">
        <v>45699</v>
      </c>
      <c r="F3014">
        <v>2011310</v>
      </c>
      <c r="G3014">
        <v>4788.32</v>
      </c>
    </row>
    <row r="3015" spans="1:7" x14ac:dyDescent="0.3">
      <c r="A3015" s="80">
        <v>45719</v>
      </c>
      <c r="B3015">
        <v>3010212</v>
      </c>
      <c r="C3015">
        <v>1142.02</v>
      </c>
      <c r="E3015" s="80">
        <v>45699</v>
      </c>
      <c r="F3015">
        <v>2011310</v>
      </c>
      <c r="G3015">
        <v>4028.09</v>
      </c>
    </row>
    <row r="3016" spans="1:7" x14ac:dyDescent="0.3">
      <c r="A3016" s="80">
        <v>45718</v>
      </c>
      <c r="B3016">
        <v>3010212</v>
      </c>
      <c r="C3016">
        <v>1142.02</v>
      </c>
      <c r="E3016" s="80">
        <v>45699</v>
      </c>
      <c r="F3016">
        <v>2011310</v>
      </c>
      <c r="G3016">
        <v>3471.09</v>
      </c>
    </row>
    <row r="3017" spans="1:7" x14ac:dyDescent="0.3">
      <c r="A3017" s="80">
        <v>45718</v>
      </c>
      <c r="B3017">
        <v>3010212</v>
      </c>
      <c r="C3017">
        <v>1142.02</v>
      </c>
      <c r="E3017" s="80">
        <v>45699</v>
      </c>
      <c r="F3017">
        <v>2011310</v>
      </c>
      <c r="G3017">
        <v>2312.04</v>
      </c>
    </row>
    <row r="3018" spans="1:7" x14ac:dyDescent="0.3">
      <c r="A3018" s="80">
        <v>45718</v>
      </c>
      <c r="B3018">
        <v>3010212</v>
      </c>
      <c r="C3018">
        <v>1142.02</v>
      </c>
      <c r="E3018" s="80">
        <v>45698</v>
      </c>
      <c r="F3018">
        <v>2011310</v>
      </c>
      <c r="G3018">
        <v>3471.09</v>
      </c>
    </row>
    <row r="3019" spans="1:7" x14ac:dyDescent="0.3">
      <c r="A3019" s="80">
        <v>45718</v>
      </c>
      <c r="B3019">
        <v>3010212</v>
      </c>
      <c r="C3019">
        <v>827.86</v>
      </c>
      <c r="E3019" s="80">
        <v>45698</v>
      </c>
      <c r="F3019">
        <v>2011310</v>
      </c>
      <c r="G3019">
        <v>3350.02</v>
      </c>
    </row>
    <row r="3020" spans="1:7" x14ac:dyDescent="0.3">
      <c r="A3020" s="80">
        <v>45718</v>
      </c>
      <c r="B3020">
        <v>3010212</v>
      </c>
      <c r="C3020">
        <v>1142.02</v>
      </c>
      <c r="E3020" s="80">
        <v>45698</v>
      </c>
      <c r="F3020">
        <v>2011310</v>
      </c>
      <c r="G3020">
        <v>3789.09</v>
      </c>
    </row>
    <row r="3021" spans="1:7" x14ac:dyDescent="0.3">
      <c r="A3021" s="80">
        <v>45718</v>
      </c>
      <c r="B3021">
        <v>3010212</v>
      </c>
      <c r="C3021">
        <v>1142.02</v>
      </c>
      <c r="E3021" s="80">
        <v>45698</v>
      </c>
      <c r="F3021">
        <v>2011310</v>
      </c>
      <c r="G3021">
        <v>4220.09</v>
      </c>
    </row>
    <row r="3022" spans="1:7" x14ac:dyDescent="0.3">
      <c r="A3022" s="80">
        <v>45718</v>
      </c>
      <c r="B3022">
        <v>3010212</v>
      </c>
      <c r="C3022">
        <v>827.86</v>
      </c>
      <c r="E3022" s="80">
        <v>45698</v>
      </c>
      <c r="F3022">
        <v>2011310</v>
      </c>
      <c r="G3022">
        <v>3471.09</v>
      </c>
    </row>
    <row r="3023" spans="1:7" x14ac:dyDescent="0.3">
      <c r="A3023" s="80">
        <v>45718</v>
      </c>
      <c r="B3023">
        <v>3010212</v>
      </c>
      <c r="C3023">
        <v>1142.02</v>
      </c>
      <c r="E3023" s="80">
        <v>45698</v>
      </c>
      <c r="F3023">
        <v>2011310</v>
      </c>
      <c r="G3023">
        <v>3032.02</v>
      </c>
    </row>
    <row r="3024" spans="1:7" x14ac:dyDescent="0.3">
      <c r="A3024" s="80">
        <v>45718</v>
      </c>
      <c r="B3024">
        <v>3010212</v>
      </c>
      <c r="C3024">
        <v>342.38</v>
      </c>
      <c r="E3024" s="80">
        <v>45697</v>
      </c>
      <c r="F3024">
        <v>2011310</v>
      </c>
      <c r="G3024">
        <v>3471.09</v>
      </c>
    </row>
    <row r="3025" spans="1:7" x14ac:dyDescent="0.3">
      <c r="A3025" s="80">
        <v>45718</v>
      </c>
      <c r="B3025">
        <v>3010212</v>
      </c>
      <c r="C3025">
        <v>1027.82</v>
      </c>
      <c r="E3025" s="80">
        <v>45697</v>
      </c>
      <c r="F3025">
        <v>2011310</v>
      </c>
      <c r="G3025">
        <v>4788.32</v>
      </c>
    </row>
    <row r="3026" spans="1:7" x14ac:dyDescent="0.3">
      <c r="A3026" s="80">
        <v>45717</v>
      </c>
      <c r="B3026">
        <v>3010212</v>
      </c>
      <c r="C3026">
        <v>1142.02</v>
      </c>
      <c r="E3026" s="80">
        <v>45696</v>
      </c>
      <c r="F3026">
        <v>2011310</v>
      </c>
      <c r="G3026">
        <v>3032.02</v>
      </c>
    </row>
    <row r="3027" spans="1:7" x14ac:dyDescent="0.3">
      <c r="A3027" s="80">
        <v>45717</v>
      </c>
      <c r="B3027">
        <v>3010212</v>
      </c>
      <c r="C3027">
        <v>1142.02</v>
      </c>
      <c r="E3027" s="80">
        <v>45696</v>
      </c>
      <c r="F3027">
        <v>2011310</v>
      </c>
      <c r="G3027">
        <v>4788.32</v>
      </c>
    </row>
    <row r="3028" spans="1:7" x14ac:dyDescent="0.3">
      <c r="A3028" s="80">
        <v>45717</v>
      </c>
      <c r="B3028">
        <v>3010212</v>
      </c>
      <c r="C3028">
        <v>1142.02</v>
      </c>
      <c r="E3028" s="80">
        <v>45696</v>
      </c>
      <c r="F3028">
        <v>2011310</v>
      </c>
      <c r="G3028">
        <v>5425.32</v>
      </c>
    </row>
    <row r="3029" spans="1:7" x14ac:dyDescent="0.3">
      <c r="A3029" s="80">
        <v>45717</v>
      </c>
      <c r="B3029">
        <v>3010212</v>
      </c>
      <c r="C3029">
        <v>1142.02</v>
      </c>
      <c r="E3029" s="80">
        <v>45696</v>
      </c>
      <c r="F3029">
        <v>2011310</v>
      </c>
      <c r="G3029">
        <v>3789.09</v>
      </c>
    </row>
    <row r="3030" spans="1:7" x14ac:dyDescent="0.3">
      <c r="A3030" s="80">
        <v>45717</v>
      </c>
      <c r="B3030">
        <v>3010212</v>
      </c>
      <c r="C3030">
        <v>1142.02</v>
      </c>
      <c r="E3030" s="80">
        <v>45696</v>
      </c>
      <c r="F3030">
        <v>2011310</v>
      </c>
      <c r="G3030">
        <v>5569.32</v>
      </c>
    </row>
    <row r="3031" spans="1:7" x14ac:dyDescent="0.3">
      <c r="A3031" s="80">
        <v>45717</v>
      </c>
      <c r="B3031">
        <v>3010212</v>
      </c>
      <c r="C3031">
        <v>1142.02</v>
      </c>
      <c r="E3031" s="80">
        <v>45695</v>
      </c>
      <c r="F3031">
        <v>2011310</v>
      </c>
      <c r="G3031">
        <v>5744.32</v>
      </c>
    </row>
    <row r="3032" spans="1:7" x14ac:dyDescent="0.3">
      <c r="A3032" s="80">
        <v>45717</v>
      </c>
      <c r="B3032">
        <v>3010212</v>
      </c>
      <c r="C3032">
        <v>1142.02</v>
      </c>
      <c r="E3032" s="80">
        <v>45695</v>
      </c>
      <c r="F3032">
        <v>2011310</v>
      </c>
      <c r="G3032">
        <v>5106.32</v>
      </c>
    </row>
    <row r="3033" spans="1:7" x14ac:dyDescent="0.3">
      <c r="A3033" s="80">
        <v>45717</v>
      </c>
      <c r="B3033">
        <v>3010212</v>
      </c>
      <c r="C3033">
        <v>1142.02</v>
      </c>
      <c r="E3033" s="80">
        <v>45695</v>
      </c>
      <c r="F3033">
        <v>2011310</v>
      </c>
      <c r="G3033">
        <v>4788.32</v>
      </c>
    </row>
    <row r="3034" spans="1:7" x14ac:dyDescent="0.3">
      <c r="A3034" s="80">
        <v>45716</v>
      </c>
      <c r="B3034">
        <v>3010212</v>
      </c>
      <c r="C3034">
        <v>1142.02</v>
      </c>
      <c r="E3034" s="80">
        <v>45695</v>
      </c>
      <c r="F3034">
        <v>2011310</v>
      </c>
      <c r="G3034">
        <v>5361.32</v>
      </c>
    </row>
    <row r="3035" spans="1:7" x14ac:dyDescent="0.3">
      <c r="A3035" s="80">
        <v>45716</v>
      </c>
      <c r="B3035">
        <v>3010212</v>
      </c>
      <c r="C3035">
        <v>1142.02</v>
      </c>
      <c r="E3035" s="80">
        <v>45695</v>
      </c>
      <c r="F3035">
        <v>2011310</v>
      </c>
      <c r="G3035">
        <v>5106.32</v>
      </c>
    </row>
    <row r="3036" spans="1:7" x14ac:dyDescent="0.3">
      <c r="A3036" s="80">
        <v>45716</v>
      </c>
      <c r="B3036">
        <v>3010212</v>
      </c>
      <c r="C3036">
        <v>827.86</v>
      </c>
      <c r="E3036" s="80">
        <v>45695</v>
      </c>
      <c r="F3036">
        <v>2011310</v>
      </c>
      <c r="G3036">
        <v>4788.32</v>
      </c>
    </row>
    <row r="3037" spans="1:7" x14ac:dyDescent="0.3">
      <c r="A3037" s="80">
        <v>45716</v>
      </c>
      <c r="B3037">
        <v>3010212</v>
      </c>
      <c r="C3037">
        <v>1142.02</v>
      </c>
      <c r="E3037" s="80">
        <v>45694</v>
      </c>
      <c r="F3037">
        <v>2011310</v>
      </c>
      <c r="G3037">
        <v>5377.32</v>
      </c>
    </row>
    <row r="3038" spans="1:7" x14ac:dyDescent="0.3">
      <c r="A3038" s="80">
        <v>45716</v>
      </c>
      <c r="B3038">
        <v>3010212</v>
      </c>
      <c r="C3038">
        <v>1142.02</v>
      </c>
      <c r="E3038" s="80">
        <v>45694</v>
      </c>
      <c r="F3038">
        <v>2011310</v>
      </c>
      <c r="G3038">
        <v>5473.32</v>
      </c>
    </row>
    <row r="3039" spans="1:7" x14ac:dyDescent="0.3">
      <c r="A3039" s="80">
        <v>45716</v>
      </c>
      <c r="B3039">
        <v>3010212</v>
      </c>
      <c r="C3039">
        <v>380.42</v>
      </c>
      <c r="E3039" s="80">
        <v>45694</v>
      </c>
      <c r="F3039">
        <v>2011310</v>
      </c>
      <c r="G3039">
        <v>5106.32</v>
      </c>
    </row>
    <row r="3040" spans="1:7" x14ac:dyDescent="0.3">
      <c r="A3040" s="80">
        <v>45716</v>
      </c>
      <c r="B3040">
        <v>3010212</v>
      </c>
      <c r="C3040">
        <v>1142.02</v>
      </c>
      <c r="E3040" s="80">
        <v>45694</v>
      </c>
      <c r="F3040">
        <v>2011310</v>
      </c>
      <c r="G3040">
        <v>3789.09</v>
      </c>
    </row>
    <row r="3041" spans="1:7" x14ac:dyDescent="0.3">
      <c r="A3041" s="80">
        <v>45716</v>
      </c>
      <c r="B3041">
        <v>3010212</v>
      </c>
      <c r="C3041">
        <v>1142.02</v>
      </c>
      <c r="E3041" s="80">
        <v>45694</v>
      </c>
      <c r="F3041">
        <v>2011310</v>
      </c>
      <c r="G3041">
        <v>5106.32</v>
      </c>
    </row>
    <row r="3042" spans="1:7" x14ac:dyDescent="0.3">
      <c r="A3042" s="80">
        <v>45715</v>
      </c>
      <c r="B3042">
        <v>3010212</v>
      </c>
      <c r="C3042">
        <v>827.86</v>
      </c>
      <c r="E3042" s="80">
        <v>45694</v>
      </c>
      <c r="F3042">
        <v>2011310</v>
      </c>
      <c r="G3042">
        <v>1595.04</v>
      </c>
    </row>
    <row r="3043" spans="1:7" x14ac:dyDescent="0.3">
      <c r="A3043" s="80">
        <v>45715</v>
      </c>
      <c r="B3043">
        <v>3010212</v>
      </c>
      <c r="C3043">
        <v>1142.02</v>
      </c>
      <c r="E3043" s="80">
        <v>45694</v>
      </c>
      <c r="F3043">
        <v>2011310</v>
      </c>
      <c r="G3043">
        <v>5473.32</v>
      </c>
    </row>
    <row r="3044" spans="1:7" x14ac:dyDescent="0.3">
      <c r="A3044" s="80">
        <v>45715</v>
      </c>
      <c r="B3044">
        <v>3010212</v>
      </c>
      <c r="C3044">
        <v>1142.02</v>
      </c>
      <c r="E3044" s="80">
        <v>45694</v>
      </c>
      <c r="F3044">
        <v>2011310</v>
      </c>
      <c r="G3044">
        <v>6942.18</v>
      </c>
    </row>
    <row r="3045" spans="1:7" x14ac:dyDescent="0.3">
      <c r="A3045" s="80">
        <v>45715</v>
      </c>
      <c r="B3045">
        <v>3010212</v>
      </c>
      <c r="C3045">
        <v>1142.02</v>
      </c>
      <c r="E3045" s="80">
        <v>45694</v>
      </c>
      <c r="F3045">
        <v>2011310</v>
      </c>
      <c r="G3045">
        <v>4788.32</v>
      </c>
    </row>
    <row r="3046" spans="1:7" x14ac:dyDescent="0.3">
      <c r="A3046" s="80">
        <v>45714</v>
      </c>
      <c r="B3046">
        <v>3010212</v>
      </c>
      <c r="C3046">
        <v>1142.02</v>
      </c>
      <c r="E3046" s="80">
        <v>45694</v>
      </c>
      <c r="F3046">
        <v>2011310</v>
      </c>
      <c r="G3046">
        <v>4788.32</v>
      </c>
    </row>
    <row r="3047" spans="1:7" x14ac:dyDescent="0.3">
      <c r="A3047" s="80">
        <v>45714</v>
      </c>
      <c r="B3047">
        <v>3010212</v>
      </c>
      <c r="C3047">
        <v>380.42</v>
      </c>
      <c r="E3047" s="80">
        <v>45694</v>
      </c>
      <c r="F3047">
        <v>2011310</v>
      </c>
      <c r="G3047">
        <v>5106.32</v>
      </c>
    </row>
    <row r="3048" spans="1:7" x14ac:dyDescent="0.3">
      <c r="A3048" s="80">
        <v>45714</v>
      </c>
      <c r="B3048">
        <v>3010212</v>
      </c>
      <c r="C3048">
        <v>1142.02</v>
      </c>
      <c r="E3048" s="80">
        <v>45693</v>
      </c>
      <c r="F3048">
        <v>2011310</v>
      </c>
      <c r="G3048">
        <v>5425.32</v>
      </c>
    </row>
    <row r="3049" spans="1:7" x14ac:dyDescent="0.3">
      <c r="A3049" s="80">
        <v>45714</v>
      </c>
      <c r="B3049">
        <v>3010212</v>
      </c>
      <c r="C3049">
        <v>1142.02</v>
      </c>
      <c r="E3049" s="80">
        <v>45693</v>
      </c>
      <c r="F3049">
        <v>2011310</v>
      </c>
      <c r="G3049">
        <v>5377.32</v>
      </c>
    </row>
    <row r="3050" spans="1:7" x14ac:dyDescent="0.3">
      <c r="A3050" s="80">
        <v>45713</v>
      </c>
      <c r="B3050">
        <v>3010212</v>
      </c>
      <c r="C3050">
        <v>1142.02</v>
      </c>
      <c r="E3050" s="80">
        <v>45693</v>
      </c>
      <c r="F3050">
        <v>2011310</v>
      </c>
      <c r="G3050">
        <v>5824.32</v>
      </c>
    </row>
    <row r="3051" spans="1:7" x14ac:dyDescent="0.3">
      <c r="A3051" s="80">
        <v>45713</v>
      </c>
      <c r="B3051">
        <v>3010212</v>
      </c>
      <c r="C3051">
        <v>1142.02</v>
      </c>
      <c r="E3051" s="80">
        <v>45693</v>
      </c>
      <c r="F3051">
        <v>2011310</v>
      </c>
      <c r="G3051">
        <v>3471.09</v>
      </c>
    </row>
    <row r="3052" spans="1:7" x14ac:dyDescent="0.3">
      <c r="A3052" s="80">
        <v>45713</v>
      </c>
      <c r="B3052">
        <v>3010212</v>
      </c>
      <c r="C3052">
        <v>1142.02</v>
      </c>
      <c r="E3052" s="80">
        <v>45693</v>
      </c>
      <c r="F3052">
        <v>2011310</v>
      </c>
      <c r="G3052">
        <v>4060.09</v>
      </c>
    </row>
    <row r="3053" spans="1:7" x14ac:dyDescent="0.3">
      <c r="A3053" s="80">
        <v>45713</v>
      </c>
      <c r="B3053">
        <v>3010212</v>
      </c>
      <c r="C3053">
        <v>1142.02</v>
      </c>
      <c r="E3053" s="80">
        <v>45693</v>
      </c>
      <c r="F3053">
        <v>2011310</v>
      </c>
      <c r="G3053">
        <v>3471.09</v>
      </c>
    </row>
    <row r="3054" spans="1:7" x14ac:dyDescent="0.3">
      <c r="A3054" s="80">
        <v>45712</v>
      </c>
      <c r="B3054">
        <v>3010212</v>
      </c>
      <c r="C3054">
        <v>1142.02</v>
      </c>
      <c r="E3054" s="80">
        <v>45693</v>
      </c>
      <c r="F3054">
        <v>2011310</v>
      </c>
      <c r="G3054">
        <v>5553.32</v>
      </c>
    </row>
    <row r="3055" spans="1:7" x14ac:dyDescent="0.3">
      <c r="A3055" s="80">
        <v>45712</v>
      </c>
      <c r="B3055">
        <v>3010212</v>
      </c>
      <c r="C3055">
        <v>1142.02</v>
      </c>
      <c r="E3055" s="80">
        <v>45693</v>
      </c>
      <c r="F3055">
        <v>2011310</v>
      </c>
      <c r="G3055">
        <v>5473.32</v>
      </c>
    </row>
    <row r="3056" spans="1:7" x14ac:dyDescent="0.3">
      <c r="A3056" s="80">
        <v>45712</v>
      </c>
      <c r="B3056">
        <v>3010212</v>
      </c>
      <c r="C3056">
        <v>1027.82</v>
      </c>
      <c r="E3056" s="80">
        <v>45693</v>
      </c>
      <c r="F3056">
        <v>2011310</v>
      </c>
      <c r="G3056">
        <v>5106.32</v>
      </c>
    </row>
    <row r="3057" spans="1:7" x14ac:dyDescent="0.3">
      <c r="A3057" s="80">
        <v>45712</v>
      </c>
      <c r="B3057">
        <v>3010212</v>
      </c>
      <c r="C3057">
        <v>837.38</v>
      </c>
      <c r="E3057" s="80">
        <v>45693</v>
      </c>
      <c r="F3057">
        <v>2011310</v>
      </c>
      <c r="G3057">
        <v>5473.32</v>
      </c>
    </row>
    <row r="3058" spans="1:7" x14ac:dyDescent="0.3">
      <c r="A3058" s="80">
        <v>45712</v>
      </c>
      <c r="B3058">
        <v>3010212</v>
      </c>
      <c r="C3058">
        <v>1142.02</v>
      </c>
      <c r="E3058" s="80">
        <v>45693</v>
      </c>
      <c r="F3058">
        <v>2011310</v>
      </c>
      <c r="G3058">
        <v>3471.09</v>
      </c>
    </row>
    <row r="3059" spans="1:7" x14ac:dyDescent="0.3">
      <c r="A3059" s="80">
        <v>45711</v>
      </c>
      <c r="B3059">
        <v>3010212</v>
      </c>
      <c r="C3059">
        <v>1142.02</v>
      </c>
      <c r="E3059" s="80">
        <v>45692</v>
      </c>
      <c r="F3059">
        <v>2011310</v>
      </c>
      <c r="G3059">
        <v>3789.09</v>
      </c>
    </row>
    <row r="3060" spans="1:7" x14ac:dyDescent="0.3">
      <c r="A3060" s="80">
        <v>45711</v>
      </c>
      <c r="B3060">
        <v>3010212</v>
      </c>
      <c r="C3060">
        <v>1142.02</v>
      </c>
      <c r="E3060" s="80">
        <v>45692</v>
      </c>
      <c r="F3060">
        <v>2011310</v>
      </c>
      <c r="G3060">
        <v>3471.09</v>
      </c>
    </row>
    <row r="3061" spans="1:7" x14ac:dyDescent="0.3">
      <c r="A3061" s="80">
        <v>45710</v>
      </c>
      <c r="B3061">
        <v>3010212</v>
      </c>
      <c r="C3061">
        <v>1142.02</v>
      </c>
      <c r="E3061" s="80">
        <v>45692</v>
      </c>
      <c r="F3061">
        <v>2011310</v>
      </c>
      <c r="G3061">
        <v>3789.09</v>
      </c>
    </row>
    <row r="3062" spans="1:7" x14ac:dyDescent="0.3">
      <c r="A3062" s="80">
        <v>45710</v>
      </c>
      <c r="B3062">
        <v>3010212</v>
      </c>
      <c r="C3062">
        <v>1142.02</v>
      </c>
      <c r="E3062" s="80">
        <v>45692</v>
      </c>
      <c r="F3062">
        <v>2011310</v>
      </c>
      <c r="G3062">
        <v>6399.32</v>
      </c>
    </row>
    <row r="3063" spans="1:7" x14ac:dyDescent="0.3">
      <c r="A3063" s="80">
        <v>45710</v>
      </c>
      <c r="B3063">
        <v>3010212</v>
      </c>
      <c r="C3063">
        <v>1142.02</v>
      </c>
      <c r="E3063" s="80">
        <v>45692</v>
      </c>
      <c r="F3063">
        <v>2011310</v>
      </c>
      <c r="G3063">
        <v>4627.49</v>
      </c>
    </row>
    <row r="3064" spans="1:7" x14ac:dyDescent="0.3">
      <c r="A3064" s="80">
        <v>45710</v>
      </c>
      <c r="B3064">
        <v>3010212</v>
      </c>
      <c r="C3064">
        <v>1142.02</v>
      </c>
      <c r="E3064" s="80">
        <v>45692</v>
      </c>
      <c r="F3064">
        <v>2011310</v>
      </c>
      <c r="G3064">
        <v>5106.32</v>
      </c>
    </row>
    <row r="3065" spans="1:7" x14ac:dyDescent="0.3">
      <c r="A3065" s="80">
        <v>45710</v>
      </c>
      <c r="B3065">
        <v>3010212</v>
      </c>
      <c r="C3065">
        <v>1142.02</v>
      </c>
      <c r="E3065" s="80">
        <v>45692</v>
      </c>
      <c r="F3065">
        <v>2011310</v>
      </c>
      <c r="G3065">
        <v>5361.32</v>
      </c>
    </row>
    <row r="3066" spans="1:7" x14ac:dyDescent="0.3">
      <c r="A3066" s="80">
        <v>45710</v>
      </c>
      <c r="B3066">
        <v>3010212</v>
      </c>
      <c r="C3066">
        <v>1142.02</v>
      </c>
      <c r="E3066" s="80">
        <v>45692</v>
      </c>
      <c r="F3066">
        <v>2011310</v>
      </c>
      <c r="G3066">
        <v>5473.32</v>
      </c>
    </row>
    <row r="3067" spans="1:7" x14ac:dyDescent="0.3">
      <c r="A3067" s="80">
        <v>45710</v>
      </c>
      <c r="B3067">
        <v>3010212</v>
      </c>
      <c r="C3067">
        <v>1142.02</v>
      </c>
      <c r="E3067" s="80">
        <v>45691</v>
      </c>
      <c r="F3067">
        <v>2011310</v>
      </c>
      <c r="G3067">
        <v>4044.09</v>
      </c>
    </row>
    <row r="3068" spans="1:7" x14ac:dyDescent="0.3">
      <c r="A3068" s="80">
        <v>45710</v>
      </c>
      <c r="B3068">
        <v>3010212</v>
      </c>
      <c r="C3068">
        <v>1142.02</v>
      </c>
      <c r="E3068" s="80">
        <v>45691</v>
      </c>
      <c r="F3068">
        <v>2011310</v>
      </c>
      <c r="G3068">
        <v>5106.32</v>
      </c>
    </row>
    <row r="3069" spans="1:7" x14ac:dyDescent="0.3">
      <c r="A3069" s="80">
        <v>45710</v>
      </c>
      <c r="B3069">
        <v>3010212</v>
      </c>
      <c r="C3069">
        <v>1027.82</v>
      </c>
      <c r="E3069" s="80">
        <v>45691</v>
      </c>
      <c r="F3069">
        <v>2011310</v>
      </c>
      <c r="G3069">
        <v>3471.09</v>
      </c>
    </row>
    <row r="3070" spans="1:7" x14ac:dyDescent="0.3">
      <c r="A3070" s="80">
        <v>45710</v>
      </c>
      <c r="B3070">
        <v>3010212</v>
      </c>
      <c r="C3070">
        <v>1142.02</v>
      </c>
      <c r="E3070" s="80">
        <v>45691</v>
      </c>
      <c r="F3070">
        <v>2011310</v>
      </c>
      <c r="G3070">
        <v>4788.32</v>
      </c>
    </row>
    <row r="3071" spans="1:7" x14ac:dyDescent="0.3">
      <c r="A3071" s="80">
        <v>45709</v>
      </c>
      <c r="B3071">
        <v>3010212</v>
      </c>
      <c r="C3071">
        <v>1142.02</v>
      </c>
      <c r="E3071" s="80">
        <v>45691</v>
      </c>
      <c r="F3071">
        <v>2011310</v>
      </c>
      <c r="G3071">
        <v>3789.09</v>
      </c>
    </row>
    <row r="3072" spans="1:7" x14ac:dyDescent="0.3">
      <c r="A3072" s="80">
        <v>45709</v>
      </c>
      <c r="B3072">
        <v>3010212</v>
      </c>
      <c r="C3072">
        <v>1142.02</v>
      </c>
      <c r="E3072" s="80">
        <v>45691</v>
      </c>
      <c r="F3072">
        <v>2011310</v>
      </c>
      <c r="G3072">
        <v>5473.32</v>
      </c>
    </row>
    <row r="3073" spans="1:7" x14ac:dyDescent="0.3">
      <c r="A3073" s="80">
        <v>45709</v>
      </c>
      <c r="B3073">
        <v>3010212</v>
      </c>
      <c r="C3073">
        <v>380.42</v>
      </c>
      <c r="E3073" s="80">
        <v>45690</v>
      </c>
      <c r="F3073">
        <v>2011310</v>
      </c>
      <c r="G3073">
        <v>5537.32</v>
      </c>
    </row>
    <row r="3074" spans="1:7" x14ac:dyDescent="0.3">
      <c r="A3074" s="80">
        <v>45709</v>
      </c>
      <c r="B3074">
        <v>3010212</v>
      </c>
      <c r="C3074">
        <v>1142.02</v>
      </c>
      <c r="E3074" s="80">
        <v>45690</v>
      </c>
      <c r="F3074">
        <v>2011310</v>
      </c>
      <c r="G3074">
        <v>5267.31</v>
      </c>
    </row>
    <row r="3075" spans="1:7" x14ac:dyDescent="0.3">
      <c r="A3075" s="80">
        <v>45709</v>
      </c>
      <c r="B3075">
        <v>3010212</v>
      </c>
      <c r="C3075">
        <v>1142.02</v>
      </c>
      <c r="E3075" s="80">
        <v>45690</v>
      </c>
      <c r="F3075">
        <v>2011310</v>
      </c>
      <c r="G3075">
        <v>3789.09</v>
      </c>
    </row>
    <row r="3076" spans="1:7" x14ac:dyDescent="0.3">
      <c r="A3076" s="80">
        <v>45709</v>
      </c>
      <c r="B3076">
        <v>3010212</v>
      </c>
      <c r="C3076">
        <v>1142.02</v>
      </c>
      <c r="E3076" s="80">
        <v>45690</v>
      </c>
      <c r="F3076">
        <v>2011310</v>
      </c>
      <c r="G3076">
        <v>5505.32</v>
      </c>
    </row>
    <row r="3077" spans="1:7" x14ac:dyDescent="0.3">
      <c r="A3077" s="80">
        <v>45709</v>
      </c>
      <c r="B3077">
        <v>3010212</v>
      </c>
      <c r="C3077">
        <v>1142.02</v>
      </c>
      <c r="E3077" s="80">
        <v>45690</v>
      </c>
      <c r="F3077">
        <v>2011310</v>
      </c>
      <c r="G3077">
        <v>5425.32</v>
      </c>
    </row>
    <row r="3078" spans="1:7" x14ac:dyDescent="0.3">
      <c r="A3078" s="80">
        <v>45709</v>
      </c>
      <c r="B3078">
        <v>3010212</v>
      </c>
      <c r="C3078">
        <v>1142.02</v>
      </c>
      <c r="E3078" s="80">
        <v>45690</v>
      </c>
      <c r="F3078">
        <v>2011310</v>
      </c>
      <c r="G3078">
        <v>5106.32</v>
      </c>
    </row>
    <row r="3079" spans="1:7" x14ac:dyDescent="0.3">
      <c r="A3079" s="80">
        <v>45709</v>
      </c>
      <c r="B3079">
        <v>3010212</v>
      </c>
      <c r="C3079">
        <v>1142.02</v>
      </c>
      <c r="E3079" s="80">
        <v>45690</v>
      </c>
      <c r="F3079">
        <v>2011310</v>
      </c>
      <c r="G3079">
        <v>5361.32</v>
      </c>
    </row>
    <row r="3080" spans="1:7" x14ac:dyDescent="0.3">
      <c r="A3080" s="80">
        <v>45709</v>
      </c>
      <c r="B3080">
        <v>3010212</v>
      </c>
      <c r="C3080">
        <v>1142.02</v>
      </c>
      <c r="E3080" s="80">
        <v>45690</v>
      </c>
      <c r="F3080">
        <v>2011310</v>
      </c>
      <c r="G3080">
        <v>5106.32</v>
      </c>
    </row>
    <row r="3081" spans="1:7" x14ac:dyDescent="0.3">
      <c r="A3081" s="80">
        <v>45709</v>
      </c>
      <c r="B3081">
        <v>3010212</v>
      </c>
      <c r="C3081">
        <v>1142.02</v>
      </c>
      <c r="E3081" s="80">
        <v>45690</v>
      </c>
      <c r="F3081">
        <v>2011310</v>
      </c>
      <c r="G3081">
        <v>5106.32</v>
      </c>
    </row>
    <row r="3082" spans="1:7" x14ac:dyDescent="0.3">
      <c r="A3082" s="80">
        <v>45709</v>
      </c>
      <c r="B3082">
        <v>3010212</v>
      </c>
      <c r="C3082">
        <v>1142.02</v>
      </c>
      <c r="E3082" s="80">
        <v>45690</v>
      </c>
      <c r="F3082">
        <v>2011310</v>
      </c>
      <c r="G3082">
        <v>5267.31</v>
      </c>
    </row>
    <row r="3083" spans="1:7" x14ac:dyDescent="0.3">
      <c r="A3083" s="80">
        <v>45708</v>
      </c>
      <c r="B3083">
        <v>3010212</v>
      </c>
      <c r="C3083">
        <v>1142.02</v>
      </c>
      <c r="E3083" s="80">
        <v>45690</v>
      </c>
      <c r="F3083">
        <v>2011310</v>
      </c>
      <c r="G3083">
        <v>5106.32</v>
      </c>
    </row>
    <row r="3084" spans="1:7" x14ac:dyDescent="0.3">
      <c r="A3084" s="80">
        <v>45708</v>
      </c>
      <c r="B3084">
        <v>3010212</v>
      </c>
      <c r="C3084">
        <v>1142.02</v>
      </c>
      <c r="E3084" s="80">
        <v>45690</v>
      </c>
      <c r="F3084">
        <v>2011310</v>
      </c>
      <c r="G3084">
        <v>5393.32</v>
      </c>
    </row>
    <row r="3085" spans="1:7" x14ac:dyDescent="0.3">
      <c r="A3085" s="80">
        <v>45708</v>
      </c>
      <c r="B3085">
        <v>3010212</v>
      </c>
      <c r="C3085">
        <v>1142.02</v>
      </c>
      <c r="E3085" s="80">
        <v>45690</v>
      </c>
      <c r="F3085">
        <v>2011310</v>
      </c>
      <c r="G3085">
        <v>5473.32</v>
      </c>
    </row>
    <row r="3086" spans="1:7" x14ac:dyDescent="0.3">
      <c r="A3086" s="80">
        <v>45708</v>
      </c>
      <c r="B3086">
        <v>3010212</v>
      </c>
      <c r="C3086">
        <v>837.38</v>
      </c>
      <c r="E3086" s="80">
        <v>45690</v>
      </c>
      <c r="F3086">
        <v>2011310</v>
      </c>
      <c r="G3086">
        <v>5106.32</v>
      </c>
    </row>
    <row r="3087" spans="1:7" x14ac:dyDescent="0.3">
      <c r="A3087" s="80">
        <v>45708</v>
      </c>
      <c r="B3087">
        <v>3010212</v>
      </c>
      <c r="C3087">
        <v>1142.02</v>
      </c>
      <c r="E3087" s="80">
        <v>45690</v>
      </c>
      <c r="F3087">
        <v>2011310</v>
      </c>
      <c r="G3087">
        <v>5665.32</v>
      </c>
    </row>
    <row r="3088" spans="1:7" x14ac:dyDescent="0.3">
      <c r="A3088" s="80">
        <v>45708</v>
      </c>
      <c r="B3088">
        <v>3010212</v>
      </c>
      <c r="C3088">
        <v>951.62</v>
      </c>
      <c r="E3088" s="80">
        <v>45690</v>
      </c>
      <c r="F3088">
        <v>2011310</v>
      </c>
      <c r="G3088">
        <v>3471.09</v>
      </c>
    </row>
    <row r="3089" spans="1:7" x14ac:dyDescent="0.3">
      <c r="A3089" s="80">
        <v>45708</v>
      </c>
      <c r="B3089">
        <v>3010212</v>
      </c>
      <c r="C3089">
        <v>1142.02</v>
      </c>
      <c r="E3089" s="80">
        <v>45690</v>
      </c>
      <c r="F3089">
        <v>2011310</v>
      </c>
      <c r="G3089">
        <v>4788.32</v>
      </c>
    </row>
    <row r="3090" spans="1:7" x14ac:dyDescent="0.3">
      <c r="A3090" s="80">
        <v>45707</v>
      </c>
      <c r="B3090">
        <v>3010212</v>
      </c>
      <c r="C3090">
        <v>837.38</v>
      </c>
      <c r="E3090" s="80">
        <v>45690</v>
      </c>
      <c r="F3090">
        <v>2011310</v>
      </c>
      <c r="G3090">
        <v>1595.04</v>
      </c>
    </row>
    <row r="3091" spans="1:7" x14ac:dyDescent="0.3">
      <c r="A3091" s="80">
        <v>45705</v>
      </c>
      <c r="B3091">
        <v>3010212</v>
      </c>
      <c r="C3091">
        <v>837.38</v>
      </c>
      <c r="E3091" s="80">
        <v>45690</v>
      </c>
      <c r="F3091">
        <v>2011310</v>
      </c>
      <c r="G3091">
        <v>9576.64</v>
      </c>
    </row>
    <row r="3092" spans="1:7" x14ac:dyDescent="0.3">
      <c r="A3092" s="80">
        <v>45705</v>
      </c>
      <c r="B3092">
        <v>3010212</v>
      </c>
      <c r="C3092">
        <v>1142.02</v>
      </c>
      <c r="E3092" s="80">
        <v>45690</v>
      </c>
      <c r="F3092">
        <v>2011310</v>
      </c>
      <c r="G3092">
        <v>4788.32</v>
      </c>
    </row>
    <row r="3093" spans="1:7" x14ac:dyDescent="0.3">
      <c r="A3093" s="80">
        <v>45705</v>
      </c>
      <c r="B3093">
        <v>3010212</v>
      </c>
      <c r="C3093">
        <v>837.38</v>
      </c>
      <c r="E3093" s="80">
        <v>45690</v>
      </c>
      <c r="F3093">
        <v>2011310</v>
      </c>
      <c r="G3093">
        <v>4788.32</v>
      </c>
    </row>
    <row r="3094" spans="1:7" x14ac:dyDescent="0.3">
      <c r="A3094" s="80">
        <v>45704</v>
      </c>
      <c r="B3094">
        <v>3010212</v>
      </c>
      <c r="C3094">
        <v>837.38</v>
      </c>
      <c r="E3094" s="80">
        <v>45690</v>
      </c>
      <c r="F3094">
        <v>2011310</v>
      </c>
      <c r="G3094">
        <v>5267.31</v>
      </c>
    </row>
    <row r="3095" spans="1:7" x14ac:dyDescent="0.3">
      <c r="A3095" s="80">
        <v>45704</v>
      </c>
      <c r="B3095">
        <v>3010212</v>
      </c>
      <c r="C3095">
        <v>951.62</v>
      </c>
      <c r="E3095" s="80">
        <v>45689</v>
      </c>
      <c r="F3095">
        <v>2011310</v>
      </c>
      <c r="G3095">
        <v>5267.31</v>
      </c>
    </row>
    <row r="3096" spans="1:7" x14ac:dyDescent="0.3">
      <c r="A3096" s="80">
        <v>45704</v>
      </c>
      <c r="B3096">
        <v>3010212</v>
      </c>
      <c r="C3096">
        <v>1142.02</v>
      </c>
      <c r="E3096" s="80">
        <v>45689</v>
      </c>
      <c r="F3096">
        <v>2011310</v>
      </c>
      <c r="G3096">
        <v>5425.32</v>
      </c>
    </row>
    <row r="3097" spans="1:7" x14ac:dyDescent="0.3">
      <c r="A3097" s="80">
        <v>45703</v>
      </c>
      <c r="B3097">
        <v>3010212</v>
      </c>
      <c r="C3097">
        <v>837.38</v>
      </c>
      <c r="E3097" s="80">
        <v>45689</v>
      </c>
      <c r="F3097">
        <v>2011310</v>
      </c>
      <c r="G3097">
        <v>5267.31</v>
      </c>
    </row>
    <row r="3098" spans="1:7" x14ac:dyDescent="0.3">
      <c r="A3098" s="80">
        <v>45703</v>
      </c>
      <c r="B3098">
        <v>3010212</v>
      </c>
      <c r="C3098">
        <v>1142.02</v>
      </c>
      <c r="E3098" s="80">
        <v>45689</v>
      </c>
      <c r="F3098">
        <v>2011310</v>
      </c>
      <c r="G3098">
        <v>3789.09</v>
      </c>
    </row>
    <row r="3099" spans="1:7" x14ac:dyDescent="0.3">
      <c r="A3099" s="80">
        <v>45703</v>
      </c>
      <c r="B3099">
        <v>3010212</v>
      </c>
      <c r="C3099">
        <v>1142.02</v>
      </c>
      <c r="E3099" s="80">
        <v>45689</v>
      </c>
      <c r="F3099">
        <v>2011310</v>
      </c>
      <c r="G3099">
        <v>5106.32</v>
      </c>
    </row>
    <row r="3100" spans="1:7" x14ac:dyDescent="0.3">
      <c r="A3100" s="80">
        <v>45703</v>
      </c>
      <c r="B3100">
        <v>3010212</v>
      </c>
      <c r="C3100">
        <v>1142.02</v>
      </c>
      <c r="E3100" s="80">
        <v>45689</v>
      </c>
      <c r="F3100">
        <v>2011310</v>
      </c>
      <c r="G3100">
        <v>5106.32</v>
      </c>
    </row>
    <row r="3101" spans="1:7" x14ac:dyDescent="0.3">
      <c r="A3101" s="80">
        <v>45702</v>
      </c>
      <c r="B3101">
        <v>3010212</v>
      </c>
      <c r="C3101">
        <v>1142.02</v>
      </c>
      <c r="E3101" s="80">
        <v>45688</v>
      </c>
      <c r="F3101">
        <v>2011310</v>
      </c>
      <c r="G3101">
        <v>9576.64</v>
      </c>
    </row>
    <row r="3102" spans="1:7" x14ac:dyDescent="0.3">
      <c r="A3102" s="80">
        <v>45702</v>
      </c>
      <c r="B3102">
        <v>3010212</v>
      </c>
      <c r="C3102">
        <v>951.62</v>
      </c>
      <c r="E3102" s="80">
        <v>45688</v>
      </c>
      <c r="F3102">
        <v>2011310</v>
      </c>
      <c r="G3102">
        <v>5106.32</v>
      </c>
    </row>
    <row r="3103" spans="1:7" x14ac:dyDescent="0.3">
      <c r="A3103" s="80">
        <v>45701</v>
      </c>
      <c r="B3103">
        <v>3010212</v>
      </c>
      <c r="C3103">
        <v>827.86</v>
      </c>
      <c r="E3103" s="80">
        <v>45688</v>
      </c>
      <c r="F3103">
        <v>2011310</v>
      </c>
      <c r="G3103">
        <v>5510.32</v>
      </c>
    </row>
    <row r="3104" spans="1:7" x14ac:dyDescent="0.3">
      <c r="A3104" s="80">
        <v>45701</v>
      </c>
      <c r="B3104">
        <v>3010212</v>
      </c>
      <c r="C3104">
        <v>827.86</v>
      </c>
      <c r="E3104" s="80">
        <v>45688</v>
      </c>
      <c r="F3104">
        <v>2011310</v>
      </c>
      <c r="G3104">
        <v>3471.09</v>
      </c>
    </row>
    <row r="3105" spans="1:7" x14ac:dyDescent="0.3">
      <c r="A3105" s="80">
        <v>45701</v>
      </c>
      <c r="B3105">
        <v>3010212</v>
      </c>
      <c r="C3105">
        <v>827.86</v>
      </c>
      <c r="E3105" s="80">
        <v>45688</v>
      </c>
      <c r="F3105">
        <v>2011310</v>
      </c>
      <c r="G3105">
        <v>4788.32</v>
      </c>
    </row>
    <row r="3106" spans="1:7" x14ac:dyDescent="0.3">
      <c r="A3106" s="80">
        <v>45699</v>
      </c>
      <c r="B3106">
        <v>3010212</v>
      </c>
      <c r="C3106">
        <v>1142.02</v>
      </c>
      <c r="E3106" s="80">
        <v>45688</v>
      </c>
      <c r="F3106">
        <v>2011310</v>
      </c>
      <c r="G3106">
        <v>5106.32</v>
      </c>
    </row>
    <row r="3107" spans="1:7" x14ac:dyDescent="0.3">
      <c r="A3107" s="80">
        <v>45699</v>
      </c>
      <c r="B3107">
        <v>3010212</v>
      </c>
      <c r="C3107">
        <v>827.86</v>
      </c>
      <c r="E3107" s="80">
        <v>45687</v>
      </c>
      <c r="F3107">
        <v>2011310</v>
      </c>
      <c r="G3107">
        <v>5106.32</v>
      </c>
    </row>
    <row r="3108" spans="1:7" x14ac:dyDescent="0.3">
      <c r="A3108" s="80">
        <v>45699</v>
      </c>
      <c r="B3108">
        <v>3010212</v>
      </c>
      <c r="C3108">
        <v>827.86</v>
      </c>
      <c r="E3108" s="80">
        <v>45687</v>
      </c>
      <c r="F3108">
        <v>2011310</v>
      </c>
      <c r="G3108">
        <v>4044.09</v>
      </c>
    </row>
    <row r="3109" spans="1:7" x14ac:dyDescent="0.3">
      <c r="A3109" s="80">
        <v>45699</v>
      </c>
      <c r="B3109">
        <v>3010212</v>
      </c>
      <c r="C3109">
        <v>380.42</v>
      </c>
      <c r="E3109" s="80">
        <v>45687</v>
      </c>
      <c r="F3109">
        <v>2011310</v>
      </c>
      <c r="G3109">
        <v>5106.32</v>
      </c>
    </row>
    <row r="3110" spans="1:7" x14ac:dyDescent="0.3">
      <c r="A3110" s="80">
        <v>45698</v>
      </c>
      <c r="B3110">
        <v>3010212</v>
      </c>
      <c r="C3110">
        <v>827.86</v>
      </c>
      <c r="E3110" s="80">
        <v>45687</v>
      </c>
      <c r="F3110">
        <v>2011310</v>
      </c>
      <c r="G3110">
        <v>5106.32</v>
      </c>
    </row>
    <row r="3111" spans="1:7" x14ac:dyDescent="0.3">
      <c r="A3111" s="80">
        <v>45698</v>
      </c>
      <c r="B3111">
        <v>3010212</v>
      </c>
      <c r="C3111">
        <v>723.14</v>
      </c>
      <c r="E3111" s="80">
        <v>45687</v>
      </c>
      <c r="F3111">
        <v>2011310</v>
      </c>
      <c r="G3111">
        <v>3885.09</v>
      </c>
    </row>
    <row r="3112" spans="1:7" x14ac:dyDescent="0.3">
      <c r="A3112" s="80">
        <v>45698</v>
      </c>
      <c r="B3112">
        <v>3010212</v>
      </c>
      <c r="C3112">
        <v>827.86</v>
      </c>
      <c r="E3112" s="80">
        <v>45687</v>
      </c>
      <c r="F3112">
        <v>2011310</v>
      </c>
      <c r="G3112">
        <v>3789.09</v>
      </c>
    </row>
    <row r="3113" spans="1:7" x14ac:dyDescent="0.3">
      <c r="A3113" s="80">
        <v>45698</v>
      </c>
      <c r="B3113">
        <v>3010212</v>
      </c>
      <c r="C3113">
        <v>827.86</v>
      </c>
      <c r="E3113" s="80">
        <v>45687</v>
      </c>
      <c r="F3113">
        <v>2011310</v>
      </c>
      <c r="G3113">
        <v>5267.31</v>
      </c>
    </row>
    <row r="3114" spans="1:7" x14ac:dyDescent="0.3">
      <c r="A3114" s="80">
        <v>45698</v>
      </c>
      <c r="B3114">
        <v>3010212</v>
      </c>
      <c r="C3114">
        <v>827.86</v>
      </c>
      <c r="E3114" s="80">
        <v>45687</v>
      </c>
      <c r="F3114">
        <v>2011310</v>
      </c>
      <c r="G3114">
        <v>3471.09</v>
      </c>
    </row>
    <row r="3115" spans="1:7" x14ac:dyDescent="0.3">
      <c r="A3115" s="80">
        <v>45698</v>
      </c>
      <c r="B3115">
        <v>3010212</v>
      </c>
      <c r="C3115">
        <v>723.14</v>
      </c>
      <c r="E3115" s="80">
        <v>45687</v>
      </c>
      <c r="F3115">
        <v>2011310</v>
      </c>
      <c r="G3115">
        <v>4788.32</v>
      </c>
    </row>
    <row r="3116" spans="1:7" x14ac:dyDescent="0.3">
      <c r="A3116" s="80">
        <v>45697</v>
      </c>
      <c r="B3116">
        <v>3010212</v>
      </c>
      <c r="C3116">
        <v>827.86</v>
      </c>
      <c r="E3116" s="80">
        <v>45687</v>
      </c>
      <c r="F3116">
        <v>2011310</v>
      </c>
      <c r="G3116">
        <v>4788.32</v>
      </c>
    </row>
    <row r="3117" spans="1:7" x14ac:dyDescent="0.3">
      <c r="A3117" s="80">
        <v>45697</v>
      </c>
      <c r="B3117">
        <v>3010212</v>
      </c>
      <c r="C3117">
        <v>1142.02</v>
      </c>
      <c r="E3117" s="80">
        <v>45687</v>
      </c>
      <c r="F3117">
        <v>2011310</v>
      </c>
      <c r="G3117">
        <v>4076.09</v>
      </c>
    </row>
    <row r="3118" spans="1:7" x14ac:dyDescent="0.3">
      <c r="A3118" s="80">
        <v>45696</v>
      </c>
      <c r="B3118">
        <v>3010212</v>
      </c>
      <c r="C3118">
        <v>723.14</v>
      </c>
      <c r="E3118" s="80">
        <v>45687</v>
      </c>
      <c r="F3118">
        <v>2011310</v>
      </c>
      <c r="G3118">
        <v>3789.09</v>
      </c>
    </row>
    <row r="3119" spans="1:7" x14ac:dyDescent="0.3">
      <c r="A3119" s="80">
        <v>45696</v>
      </c>
      <c r="B3119">
        <v>3010212</v>
      </c>
      <c r="C3119">
        <v>1142.02</v>
      </c>
      <c r="E3119" s="80">
        <v>45687</v>
      </c>
      <c r="F3119">
        <v>2011310</v>
      </c>
      <c r="G3119">
        <v>5106.32</v>
      </c>
    </row>
    <row r="3120" spans="1:7" x14ac:dyDescent="0.3">
      <c r="A3120" s="80">
        <v>45696</v>
      </c>
      <c r="B3120">
        <v>3010212</v>
      </c>
      <c r="C3120">
        <v>1142.02</v>
      </c>
      <c r="E3120" s="80">
        <v>45687</v>
      </c>
      <c r="F3120">
        <v>2011310</v>
      </c>
      <c r="G3120">
        <v>5106.32</v>
      </c>
    </row>
    <row r="3121" spans="1:7" x14ac:dyDescent="0.3">
      <c r="A3121" s="80">
        <v>45696</v>
      </c>
      <c r="B3121">
        <v>3010212</v>
      </c>
      <c r="C3121">
        <v>827.86</v>
      </c>
      <c r="E3121" s="80">
        <v>45687</v>
      </c>
      <c r="F3121">
        <v>2011310</v>
      </c>
      <c r="G3121">
        <v>5267.31</v>
      </c>
    </row>
    <row r="3122" spans="1:7" x14ac:dyDescent="0.3">
      <c r="A3122" s="80">
        <v>45696</v>
      </c>
      <c r="B3122">
        <v>3010212</v>
      </c>
      <c r="C3122">
        <v>1142.02</v>
      </c>
      <c r="E3122" s="80">
        <v>45687</v>
      </c>
      <c r="F3122">
        <v>2011310</v>
      </c>
      <c r="G3122">
        <v>5106.32</v>
      </c>
    </row>
    <row r="3123" spans="1:7" x14ac:dyDescent="0.3">
      <c r="A3123" s="80">
        <v>45695</v>
      </c>
      <c r="B3123">
        <v>3010212</v>
      </c>
      <c r="C3123">
        <v>1142.02</v>
      </c>
      <c r="E3123" s="80">
        <v>45687</v>
      </c>
      <c r="F3123">
        <v>2011310</v>
      </c>
      <c r="G3123">
        <v>4788.32</v>
      </c>
    </row>
    <row r="3124" spans="1:7" x14ac:dyDescent="0.3">
      <c r="A3124" s="80">
        <v>45695</v>
      </c>
      <c r="B3124">
        <v>3010212</v>
      </c>
      <c r="C3124">
        <v>1142.02</v>
      </c>
      <c r="E3124" s="80">
        <v>45686</v>
      </c>
      <c r="F3124">
        <v>2011310</v>
      </c>
      <c r="G3124">
        <v>8618.9699999999993</v>
      </c>
    </row>
    <row r="3125" spans="1:7" x14ac:dyDescent="0.3">
      <c r="A3125" s="80">
        <v>45695</v>
      </c>
      <c r="B3125">
        <v>3010212</v>
      </c>
      <c r="C3125">
        <v>1142.02</v>
      </c>
      <c r="E3125" s="80">
        <v>45686</v>
      </c>
      <c r="F3125">
        <v>2011310</v>
      </c>
      <c r="G3125">
        <v>5106.32</v>
      </c>
    </row>
    <row r="3126" spans="1:7" x14ac:dyDescent="0.3">
      <c r="A3126" s="80">
        <v>45695</v>
      </c>
      <c r="B3126">
        <v>3010212</v>
      </c>
      <c r="C3126">
        <v>1142.02</v>
      </c>
      <c r="E3126" s="80">
        <v>45686</v>
      </c>
      <c r="F3126">
        <v>2011310</v>
      </c>
      <c r="G3126">
        <v>5425.32</v>
      </c>
    </row>
    <row r="3127" spans="1:7" x14ac:dyDescent="0.3">
      <c r="A3127" s="80">
        <v>45695</v>
      </c>
      <c r="B3127">
        <v>3010212</v>
      </c>
      <c r="C3127">
        <v>1142.02</v>
      </c>
      <c r="E3127" s="80">
        <v>45686</v>
      </c>
      <c r="F3127">
        <v>2011310</v>
      </c>
      <c r="G3127">
        <v>4627.49</v>
      </c>
    </row>
    <row r="3128" spans="1:7" x14ac:dyDescent="0.3">
      <c r="A3128" s="80">
        <v>45695</v>
      </c>
      <c r="B3128">
        <v>3010212</v>
      </c>
      <c r="C3128">
        <v>1142.02</v>
      </c>
      <c r="E3128" s="80">
        <v>45686</v>
      </c>
      <c r="F3128">
        <v>2011310</v>
      </c>
      <c r="G3128">
        <v>5489.32</v>
      </c>
    </row>
    <row r="3129" spans="1:7" x14ac:dyDescent="0.3">
      <c r="A3129" s="80">
        <v>45694</v>
      </c>
      <c r="B3129">
        <v>3010212</v>
      </c>
      <c r="C3129">
        <v>1142.02</v>
      </c>
      <c r="E3129" s="80">
        <v>45686</v>
      </c>
      <c r="F3129">
        <v>2011310</v>
      </c>
      <c r="G3129">
        <v>5361.32</v>
      </c>
    </row>
    <row r="3130" spans="1:7" x14ac:dyDescent="0.3">
      <c r="A3130" s="80">
        <v>45694</v>
      </c>
      <c r="B3130">
        <v>3010212</v>
      </c>
      <c r="C3130">
        <v>1142.02</v>
      </c>
      <c r="E3130" s="80">
        <v>45686</v>
      </c>
      <c r="F3130">
        <v>2011310</v>
      </c>
      <c r="G3130">
        <v>4788.32</v>
      </c>
    </row>
    <row r="3131" spans="1:7" x14ac:dyDescent="0.3">
      <c r="A3131" s="80">
        <v>45694</v>
      </c>
      <c r="B3131">
        <v>3010212</v>
      </c>
      <c r="C3131">
        <v>1142.02</v>
      </c>
      <c r="E3131" s="80">
        <v>45686</v>
      </c>
      <c r="F3131">
        <v>2011310</v>
      </c>
      <c r="G3131">
        <v>5106.32</v>
      </c>
    </row>
    <row r="3132" spans="1:7" x14ac:dyDescent="0.3">
      <c r="A3132" s="80">
        <v>45694</v>
      </c>
      <c r="B3132">
        <v>3010212</v>
      </c>
      <c r="C3132">
        <v>827.86</v>
      </c>
      <c r="E3132" s="80">
        <v>45686</v>
      </c>
      <c r="F3132">
        <v>2011310</v>
      </c>
      <c r="G3132">
        <v>5633.32</v>
      </c>
    </row>
    <row r="3133" spans="1:7" x14ac:dyDescent="0.3">
      <c r="A3133" s="80">
        <v>45694</v>
      </c>
      <c r="B3133">
        <v>3010212</v>
      </c>
      <c r="C3133">
        <v>1142.02</v>
      </c>
      <c r="E3133" s="80">
        <v>45686</v>
      </c>
      <c r="F3133">
        <v>2011310</v>
      </c>
      <c r="G3133">
        <v>5553.32</v>
      </c>
    </row>
    <row r="3134" spans="1:7" x14ac:dyDescent="0.3">
      <c r="A3134" s="80">
        <v>45694</v>
      </c>
      <c r="B3134">
        <v>3010212</v>
      </c>
      <c r="C3134">
        <v>380.42</v>
      </c>
      <c r="E3134" s="80">
        <v>45686</v>
      </c>
      <c r="F3134">
        <v>2011310</v>
      </c>
      <c r="G3134">
        <v>5106.32</v>
      </c>
    </row>
    <row r="3135" spans="1:7" x14ac:dyDescent="0.3">
      <c r="A3135" s="80">
        <v>45694</v>
      </c>
      <c r="B3135">
        <v>3010212</v>
      </c>
      <c r="C3135">
        <v>1142.02</v>
      </c>
      <c r="E3135" s="80">
        <v>45686</v>
      </c>
      <c r="F3135">
        <v>2011310</v>
      </c>
      <c r="G3135">
        <v>4627.49</v>
      </c>
    </row>
    <row r="3136" spans="1:7" x14ac:dyDescent="0.3">
      <c r="A3136" s="80">
        <v>45694</v>
      </c>
      <c r="B3136">
        <v>3010212</v>
      </c>
      <c r="C3136">
        <v>1655.72</v>
      </c>
      <c r="E3136" s="80">
        <v>45685</v>
      </c>
      <c r="F3136">
        <v>2011310</v>
      </c>
      <c r="G3136">
        <v>5267.31</v>
      </c>
    </row>
    <row r="3137" spans="1:7" x14ac:dyDescent="0.3">
      <c r="A3137" s="80">
        <v>45694</v>
      </c>
      <c r="B3137">
        <v>3010212</v>
      </c>
      <c r="C3137">
        <v>1142.02</v>
      </c>
      <c r="E3137" s="80">
        <v>45685</v>
      </c>
      <c r="F3137">
        <v>2011310</v>
      </c>
      <c r="G3137">
        <v>5106.32</v>
      </c>
    </row>
    <row r="3138" spans="1:7" x14ac:dyDescent="0.3">
      <c r="A3138" s="80">
        <v>45694</v>
      </c>
      <c r="B3138">
        <v>3010212</v>
      </c>
      <c r="C3138">
        <v>1142.02</v>
      </c>
      <c r="E3138" s="80">
        <v>45685</v>
      </c>
      <c r="F3138">
        <v>2011310</v>
      </c>
      <c r="G3138">
        <v>5106.32</v>
      </c>
    </row>
    <row r="3139" spans="1:7" x14ac:dyDescent="0.3">
      <c r="A3139" s="80">
        <v>45694</v>
      </c>
      <c r="B3139">
        <v>3010212</v>
      </c>
      <c r="C3139">
        <v>1142.02</v>
      </c>
      <c r="E3139" s="80">
        <v>45685</v>
      </c>
      <c r="F3139">
        <v>2011310</v>
      </c>
      <c r="G3139">
        <v>5393.32</v>
      </c>
    </row>
    <row r="3140" spans="1:7" x14ac:dyDescent="0.3">
      <c r="A3140" s="80">
        <v>45693</v>
      </c>
      <c r="B3140">
        <v>3010212</v>
      </c>
      <c r="C3140">
        <v>1142.02</v>
      </c>
      <c r="E3140" s="80">
        <v>45685</v>
      </c>
      <c r="F3140">
        <v>2011310</v>
      </c>
      <c r="G3140">
        <v>5106.32</v>
      </c>
    </row>
    <row r="3141" spans="1:7" x14ac:dyDescent="0.3">
      <c r="A3141" s="80">
        <v>45693</v>
      </c>
      <c r="B3141">
        <v>3010212</v>
      </c>
      <c r="C3141">
        <v>1142.02</v>
      </c>
      <c r="E3141" s="80">
        <v>45685</v>
      </c>
      <c r="F3141">
        <v>2011310</v>
      </c>
      <c r="G3141">
        <v>5106.32</v>
      </c>
    </row>
    <row r="3142" spans="1:7" x14ac:dyDescent="0.3">
      <c r="A3142" s="80">
        <v>45693</v>
      </c>
      <c r="B3142">
        <v>3010212</v>
      </c>
      <c r="C3142">
        <v>1142.02</v>
      </c>
      <c r="E3142" s="80">
        <v>45685</v>
      </c>
      <c r="F3142">
        <v>2011310</v>
      </c>
      <c r="G3142">
        <v>5425.32</v>
      </c>
    </row>
    <row r="3143" spans="1:7" x14ac:dyDescent="0.3">
      <c r="A3143" s="80">
        <v>45693</v>
      </c>
      <c r="B3143">
        <v>3010212</v>
      </c>
      <c r="C3143">
        <v>827.86</v>
      </c>
      <c r="E3143" s="80">
        <v>45685</v>
      </c>
      <c r="F3143">
        <v>2011310</v>
      </c>
      <c r="G3143">
        <v>5106.32</v>
      </c>
    </row>
    <row r="3144" spans="1:7" x14ac:dyDescent="0.3">
      <c r="A3144" s="80">
        <v>45693</v>
      </c>
      <c r="B3144">
        <v>3010212</v>
      </c>
      <c r="C3144">
        <v>827.86</v>
      </c>
      <c r="E3144" s="80">
        <v>45684</v>
      </c>
      <c r="F3144">
        <v>2011310</v>
      </c>
      <c r="G3144">
        <v>5106.32</v>
      </c>
    </row>
    <row r="3145" spans="1:7" x14ac:dyDescent="0.3">
      <c r="A3145" s="80">
        <v>45693</v>
      </c>
      <c r="B3145">
        <v>3010212</v>
      </c>
      <c r="C3145">
        <v>827.86</v>
      </c>
      <c r="E3145" s="80">
        <v>45684</v>
      </c>
      <c r="F3145">
        <v>2011310</v>
      </c>
      <c r="G3145">
        <v>5106.32</v>
      </c>
    </row>
    <row r="3146" spans="1:7" x14ac:dyDescent="0.3">
      <c r="A3146" s="80">
        <v>45693</v>
      </c>
      <c r="B3146">
        <v>3010212</v>
      </c>
      <c r="C3146">
        <v>1142.02</v>
      </c>
      <c r="E3146" s="80">
        <v>45684</v>
      </c>
      <c r="F3146">
        <v>2011310</v>
      </c>
      <c r="G3146">
        <v>5267.31</v>
      </c>
    </row>
    <row r="3147" spans="1:7" x14ac:dyDescent="0.3">
      <c r="A3147" s="80">
        <v>45693</v>
      </c>
      <c r="B3147">
        <v>3010212</v>
      </c>
      <c r="C3147">
        <v>1142.02</v>
      </c>
      <c r="E3147" s="80">
        <v>45684</v>
      </c>
      <c r="F3147">
        <v>2011310</v>
      </c>
      <c r="G3147">
        <v>5106.32</v>
      </c>
    </row>
    <row r="3148" spans="1:7" x14ac:dyDescent="0.3">
      <c r="A3148" s="80">
        <v>45693</v>
      </c>
      <c r="B3148">
        <v>3010212</v>
      </c>
      <c r="C3148">
        <v>1142.02</v>
      </c>
      <c r="E3148" s="80">
        <v>45684</v>
      </c>
      <c r="F3148">
        <v>2011310</v>
      </c>
      <c r="G3148">
        <v>5457.32</v>
      </c>
    </row>
    <row r="3149" spans="1:7" x14ac:dyDescent="0.3">
      <c r="A3149" s="80">
        <v>45693</v>
      </c>
      <c r="B3149">
        <v>3010212</v>
      </c>
      <c r="C3149">
        <v>1142.02</v>
      </c>
      <c r="E3149" s="80">
        <v>45684</v>
      </c>
      <c r="F3149">
        <v>2011310</v>
      </c>
      <c r="G3149">
        <v>5457.32</v>
      </c>
    </row>
    <row r="3150" spans="1:7" x14ac:dyDescent="0.3">
      <c r="A3150" s="80">
        <v>45693</v>
      </c>
      <c r="B3150">
        <v>3010212</v>
      </c>
      <c r="C3150">
        <v>827.86</v>
      </c>
      <c r="E3150" s="80">
        <v>45684</v>
      </c>
      <c r="F3150">
        <v>2011310</v>
      </c>
      <c r="G3150">
        <v>9576.64</v>
      </c>
    </row>
    <row r="3151" spans="1:7" x14ac:dyDescent="0.3">
      <c r="A3151" s="80">
        <v>45692</v>
      </c>
      <c r="B3151">
        <v>3010212</v>
      </c>
      <c r="C3151">
        <v>827.86</v>
      </c>
      <c r="E3151" s="80">
        <v>45684</v>
      </c>
      <c r="F3151">
        <v>2011310</v>
      </c>
      <c r="G3151">
        <v>4788.32</v>
      </c>
    </row>
    <row r="3152" spans="1:7" x14ac:dyDescent="0.3">
      <c r="A3152" s="80">
        <v>45692</v>
      </c>
      <c r="B3152">
        <v>3010212</v>
      </c>
      <c r="C3152">
        <v>827.86</v>
      </c>
      <c r="E3152" s="80">
        <v>45683</v>
      </c>
      <c r="F3152">
        <v>2011310</v>
      </c>
      <c r="G3152">
        <v>5361.32</v>
      </c>
    </row>
    <row r="3153" spans="1:7" x14ac:dyDescent="0.3">
      <c r="A3153" s="80">
        <v>45692</v>
      </c>
      <c r="B3153">
        <v>3010212</v>
      </c>
      <c r="C3153">
        <v>827.86</v>
      </c>
      <c r="E3153" s="80">
        <v>45683</v>
      </c>
      <c r="F3153">
        <v>2011310</v>
      </c>
      <c r="G3153">
        <v>5393.32</v>
      </c>
    </row>
    <row r="3154" spans="1:7" x14ac:dyDescent="0.3">
      <c r="A3154" s="80">
        <v>45692</v>
      </c>
      <c r="B3154">
        <v>3010212</v>
      </c>
      <c r="C3154">
        <v>1142.02</v>
      </c>
      <c r="E3154" s="80">
        <v>45683</v>
      </c>
      <c r="F3154">
        <v>2011310</v>
      </c>
      <c r="G3154">
        <v>5106.32</v>
      </c>
    </row>
    <row r="3155" spans="1:7" x14ac:dyDescent="0.3">
      <c r="A3155" s="80">
        <v>45692</v>
      </c>
      <c r="B3155">
        <v>3010212</v>
      </c>
      <c r="C3155">
        <v>1027.82</v>
      </c>
      <c r="E3155" s="80">
        <v>45683</v>
      </c>
      <c r="F3155">
        <v>2011310</v>
      </c>
      <c r="G3155">
        <v>5267.31</v>
      </c>
    </row>
    <row r="3156" spans="1:7" x14ac:dyDescent="0.3">
      <c r="A3156" s="80">
        <v>45692</v>
      </c>
      <c r="B3156">
        <v>3010212</v>
      </c>
      <c r="C3156">
        <v>1142.02</v>
      </c>
      <c r="E3156" s="80">
        <v>45683</v>
      </c>
      <c r="F3156">
        <v>2011310</v>
      </c>
      <c r="G3156">
        <v>5361.32</v>
      </c>
    </row>
    <row r="3157" spans="1:7" x14ac:dyDescent="0.3">
      <c r="A3157" s="80">
        <v>45692</v>
      </c>
      <c r="B3157">
        <v>3010212</v>
      </c>
      <c r="C3157">
        <v>1142.02</v>
      </c>
      <c r="E3157" s="80">
        <v>45683</v>
      </c>
      <c r="F3157">
        <v>2011310</v>
      </c>
      <c r="G3157">
        <v>5106.32</v>
      </c>
    </row>
    <row r="3158" spans="1:7" x14ac:dyDescent="0.3">
      <c r="A3158" s="80">
        <v>45692</v>
      </c>
      <c r="B3158">
        <v>3010212</v>
      </c>
      <c r="C3158">
        <v>1142.02</v>
      </c>
      <c r="E3158" s="80">
        <v>45683</v>
      </c>
      <c r="F3158">
        <v>2011310</v>
      </c>
      <c r="G3158">
        <v>5106.32</v>
      </c>
    </row>
    <row r="3159" spans="1:7" x14ac:dyDescent="0.3">
      <c r="A3159" s="80">
        <v>45691</v>
      </c>
      <c r="B3159">
        <v>3010212</v>
      </c>
      <c r="C3159">
        <v>827.86</v>
      </c>
      <c r="E3159" s="80">
        <v>45683</v>
      </c>
      <c r="F3159">
        <v>2011310</v>
      </c>
      <c r="G3159">
        <v>5106.32</v>
      </c>
    </row>
    <row r="3160" spans="1:7" x14ac:dyDescent="0.3">
      <c r="A3160" s="80">
        <v>45691</v>
      </c>
      <c r="B3160">
        <v>3010212</v>
      </c>
      <c r="C3160">
        <v>1142.02</v>
      </c>
      <c r="E3160" s="80">
        <v>45682</v>
      </c>
      <c r="F3160">
        <v>2011310</v>
      </c>
      <c r="G3160">
        <v>5345.32</v>
      </c>
    </row>
    <row r="3161" spans="1:7" x14ac:dyDescent="0.3">
      <c r="A3161" s="80">
        <v>45691</v>
      </c>
      <c r="B3161">
        <v>3010212</v>
      </c>
      <c r="C3161">
        <v>827.86</v>
      </c>
      <c r="E3161" s="80">
        <v>45682</v>
      </c>
      <c r="F3161">
        <v>2011310</v>
      </c>
      <c r="G3161">
        <v>5744.32</v>
      </c>
    </row>
    <row r="3162" spans="1:7" x14ac:dyDescent="0.3">
      <c r="A3162" s="80">
        <v>45691</v>
      </c>
      <c r="B3162">
        <v>3010212</v>
      </c>
      <c r="C3162">
        <v>1142.02</v>
      </c>
      <c r="E3162" s="80">
        <v>45682</v>
      </c>
      <c r="F3162">
        <v>2011310</v>
      </c>
      <c r="G3162">
        <v>5267.31</v>
      </c>
    </row>
    <row r="3163" spans="1:7" x14ac:dyDescent="0.3">
      <c r="A3163" s="80">
        <v>45691</v>
      </c>
      <c r="B3163">
        <v>3010212</v>
      </c>
      <c r="C3163">
        <v>827.86</v>
      </c>
      <c r="E3163" s="80">
        <v>45682</v>
      </c>
      <c r="F3163">
        <v>2011310</v>
      </c>
      <c r="G3163">
        <v>5473.32</v>
      </c>
    </row>
    <row r="3164" spans="1:7" x14ac:dyDescent="0.3">
      <c r="A3164" s="80">
        <v>45691</v>
      </c>
      <c r="B3164">
        <v>3010212</v>
      </c>
      <c r="C3164">
        <v>1142.02</v>
      </c>
      <c r="E3164" s="80">
        <v>45682</v>
      </c>
      <c r="F3164">
        <v>2011310</v>
      </c>
      <c r="G3164">
        <v>5106.32</v>
      </c>
    </row>
    <row r="3165" spans="1:7" x14ac:dyDescent="0.3">
      <c r="A3165" s="80">
        <v>45690</v>
      </c>
      <c r="B3165">
        <v>3010212</v>
      </c>
      <c r="C3165">
        <v>1142.02</v>
      </c>
      <c r="E3165" s="80">
        <v>45682</v>
      </c>
      <c r="F3165">
        <v>2011310</v>
      </c>
      <c r="G3165">
        <v>5267.31</v>
      </c>
    </row>
    <row r="3166" spans="1:7" x14ac:dyDescent="0.3">
      <c r="A3166" s="80">
        <v>45690</v>
      </c>
      <c r="B3166">
        <v>3010212</v>
      </c>
      <c r="C3166">
        <v>1256.26</v>
      </c>
      <c r="E3166" s="80">
        <v>45682</v>
      </c>
      <c r="F3166">
        <v>2011310</v>
      </c>
      <c r="G3166">
        <v>5489.32</v>
      </c>
    </row>
    <row r="3167" spans="1:7" x14ac:dyDescent="0.3">
      <c r="A3167" s="80">
        <v>45690</v>
      </c>
      <c r="B3167">
        <v>3010212</v>
      </c>
      <c r="C3167">
        <v>827.86</v>
      </c>
      <c r="E3167" s="80">
        <v>45682</v>
      </c>
      <c r="F3167">
        <v>2011310</v>
      </c>
      <c r="G3167">
        <v>5537.32</v>
      </c>
    </row>
    <row r="3168" spans="1:7" x14ac:dyDescent="0.3">
      <c r="A3168" s="80">
        <v>45690</v>
      </c>
      <c r="B3168">
        <v>3010212</v>
      </c>
      <c r="C3168">
        <v>1142.02</v>
      </c>
      <c r="E3168" s="80">
        <v>45682</v>
      </c>
      <c r="F3168">
        <v>2011310</v>
      </c>
      <c r="G3168">
        <v>5489.32</v>
      </c>
    </row>
    <row r="3169" spans="1:7" x14ac:dyDescent="0.3">
      <c r="A3169" s="80">
        <v>45690</v>
      </c>
      <c r="B3169">
        <v>3010212</v>
      </c>
      <c r="C3169">
        <v>1142.02</v>
      </c>
      <c r="E3169" s="80">
        <v>45682</v>
      </c>
      <c r="F3169">
        <v>2011310</v>
      </c>
      <c r="G3169">
        <v>4788.32</v>
      </c>
    </row>
    <row r="3170" spans="1:7" x14ac:dyDescent="0.3">
      <c r="A3170" s="80">
        <v>45690</v>
      </c>
      <c r="B3170">
        <v>3010212</v>
      </c>
      <c r="C3170">
        <v>1142.02</v>
      </c>
      <c r="E3170" s="80">
        <v>45682</v>
      </c>
      <c r="F3170">
        <v>2011310</v>
      </c>
      <c r="G3170">
        <v>5267.31</v>
      </c>
    </row>
    <row r="3171" spans="1:7" x14ac:dyDescent="0.3">
      <c r="A3171" s="80">
        <v>45690</v>
      </c>
      <c r="B3171">
        <v>3010212</v>
      </c>
      <c r="C3171">
        <v>1142.02</v>
      </c>
      <c r="E3171" s="80">
        <v>45682</v>
      </c>
      <c r="F3171">
        <v>2011310</v>
      </c>
      <c r="G3171">
        <v>4788.32</v>
      </c>
    </row>
    <row r="3172" spans="1:7" x14ac:dyDescent="0.3">
      <c r="A3172" s="80">
        <v>45690</v>
      </c>
      <c r="B3172">
        <v>3010212</v>
      </c>
      <c r="C3172">
        <v>1142.02</v>
      </c>
      <c r="E3172" s="80">
        <v>45682</v>
      </c>
      <c r="F3172">
        <v>2011310</v>
      </c>
      <c r="G3172">
        <v>5106.32</v>
      </c>
    </row>
    <row r="3173" spans="1:7" x14ac:dyDescent="0.3">
      <c r="A3173" s="80">
        <v>45690</v>
      </c>
      <c r="B3173">
        <v>3010212</v>
      </c>
      <c r="C3173">
        <v>1142.02</v>
      </c>
      <c r="E3173" s="80">
        <v>45682</v>
      </c>
      <c r="F3173">
        <v>2011310</v>
      </c>
      <c r="G3173">
        <v>5473.32</v>
      </c>
    </row>
    <row r="3174" spans="1:7" x14ac:dyDescent="0.3">
      <c r="A3174" s="80">
        <v>45690</v>
      </c>
      <c r="B3174">
        <v>3010212</v>
      </c>
      <c r="C3174">
        <v>1256.26</v>
      </c>
      <c r="E3174" s="80">
        <v>45682</v>
      </c>
      <c r="F3174">
        <v>2011310</v>
      </c>
      <c r="G3174">
        <v>5106.32</v>
      </c>
    </row>
    <row r="3175" spans="1:7" x14ac:dyDescent="0.3">
      <c r="A3175" s="80">
        <v>45690</v>
      </c>
      <c r="B3175">
        <v>3010212</v>
      </c>
      <c r="C3175">
        <v>1142.02</v>
      </c>
      <c r="E3175" s="80">
        <v>45681</v>
      </c>
      <c r="F3175">
        <v>2011310</v>
      </c>
      <c r="G3175">
        <v>5106.32</v>
      </c>
    </row>
    <row r="3176" spans="1:7" x14ac:dyDescent="0.3">
      <c r="A3176" s="80">
        <v>45690</v>
      </c>
      <c r="B3176">
        <v>3010212</v>
      </c>
      <c r="C3176">
        <v>1142.02</v>
      </c>
      <c r="E3176" s="80">
        <v>45681</v>
      </c>
      <c r="F3176">
        <v>2011310</v>
      </c>
      <c r="G3176">
        <v>4788.32</v>
      </c>
    </row>
    <row r="3177" spans="1:7" x14ac:dyDescent="0.3">
      <c r="A3177" s="80">
        <v>45690</v>
      </c>
      <c r="B3177">
        <v>3010212</v>
      </c>
      <c r="C3177">
        <v>1142.02</v>
      </c>
      <c r="E3177" s="80">
        <v>45681</v>
      </c>
      <c r="F3177">
        <v>2011310</v>
      </c>
      <c r="G3177">
        <v>5393.32</v>
      </c>
    </row>
    <row r="3178" spans="1:7" x14ac:dyDescent="0.3">
      <c r="A3178" s="80">
        <v>45690</v>
      </c>
      <c r="B3178">
        <v>3010212</v>
      </c>
      <c r="C3178">
        <v>1142.02</v>
      </c>
      <c r="E3178" s="80">
        <v>45681</v>
      </c>
      <c r="F3178">
        <v>2011310</v>
      </c>
      <c r="G3178">
        <v>5457.32</v>
      </c>
    </row>
    <row r="3179" spans="1:7" x14ac:dyDescent="0.3">
      <c r="A3179" s="80">
        <v>45690</v>
      </c>
      <c r="B3179">
        <v>3010212</v>
      </c>
      <c r="C3179">
        <v>1142.02</v>
      </c>
      <c r="E3179" s="80">
        <v>45681</v>
      </c>
      <c r="F3179">
        <v>2011310</v>
      </c>
      <c r="G3179">
        <v>4788.32</v>
      </c>
    </row>
    <row r="3180" spans="1:7" x14ac:dyDescent="0.3">
      <c r="A3180" s="80">
        <v>45690</v>
      </c>
      <c r="B3180">
        <v>3010212</v>
      </c>
      <c r="C3180">
        <v>827.86</v>
      </c>
      <c r="E3180" s="80">
        <v>45681</v>
      </c>
      <c r="F3180">
        <v>2011310</v>
      </c>
      <c r="G3180">
        <v>5744.32</v>
      </c>
    </row>
    <row r="3181" spans="1:7" x14ac:dyDescent="0.3">
      <c r="A3181" s="80">
        <v>45690</v>
      </c>
      <c r="B3181">
        <v>3010212</v>
      </c>
      <c r="C3181">
        <v>1142.02</v>
      </c>
      <c r="E3181" s="80">
        <v>45681</v>
      </c>
      <c r="F3181">
        <v>2011310</v>
      </c>
      <c r="G3181">
        <v>5106.32</v>
      </c>
    </row>
    <row r="3182" spans="1:7" x14ac:dyDescent="0.3">
      <c r="A3182" s="80">
        <v>45690</v>
      </c>
      <c r="B3182">
        <v>3010212</v>
      </c>
      <c r="C3182">
        <v>380.42</v>
      </c>
      <c r="E3182" s="80">
        <v>45681</v>
      </c>
      <c r="F3182">
        <v>2011310</v>
      </c>
      <c r="G3182">
        <v>4788.32</v>
      </c>
    </row>
    <row r="3183" spans="1:7" x14ac:dyDescent="0.3">
      <c r="A3183" s="80">
        <v>45690</v>
      </c>
      <c r="B3183">
        <v>3010212</v>
      </c>
      <c r="C3183">
        <v>2284.04</v>
      </c>
      <c r="E3183" s="80">
        <v>45680</v>
      </c>
      <c r="F3183">
        <v>2011310</v>
      </c>
      <c r="G3183">
        <v>5361.32</v>
      </c>
    </row>
    <row r="3184" spans="1:7" x14ac:dyDescent="0.3">
      <c r="A3184" s="80">
        <v>45690</v>
      </c>
      <c r="B3184">
        <v>3010212</v>
      </c>
      <c r="C3184">
        <v>1142.02</v>
      </c>
      <c r="E3184" s="80">
        <v>45680</v>
      </c>
      <c r="F3184">
        <v>2011310</v>
      </c>
      <c r="G3184">
        <v>4788.32</v>
      </c>
    </row>
    <row r="3185" spans="1:7" x14ac:dyDescent="0.3">
      <c r="A3185" s="80">
        <v>45690</v>
      </c>
      <c r="B3185">
        <v>3010212</v>
      </c>
      <c r="C3185">
        <v>1142.02</v>
      </c>
      <c r="E3185" s="80">
        <v>45680</v>
      </c>
      <c r="F3185">
        <v>2011310</v>
      </c>
      <c r="G3185">
        <v>5106.32</v>
      </c>
    </row>
    <row r="3186" spans="1:7" x14ac:dyDescent="0.3">
      <c r="A3186" s="80">
        <v>45690</v>
      </c>
      <c r="B3186">
        <v>3010212</v>
      </c>
      <c r="C3186">
        <v>1256.26</v>
      </c>
      <c r="E3186" s="80">
        <v>45680</v>
      </c>
      <c r="F3186">
        <v>2011310</v>
      </c>
      <c r="G3186">
        <v>5505.32</v>
      </c>
    </row>
    <row r="3187" spans="1:7" x14ac:dyDescent="0.3">
      <c r="A3187" s="80">
        <v>45689</v>
      </c>
      <c r="B3187">
        <v>3010212</v>
      </c>
      <c r="C3187">
        <v>1256.26</v>
      </c>
      <c r="E3187" s="80">
        <v>45680</v>
      </c>
      <c r="F3187">
        <v>2011310</v>
      </c>
      <c r="G3187">
        <v>5457.32</v>
      </c>
    </row>
    <row r="3188" spans="1:7" x14ac:dyDescent="0.3">
      <c r="A3188" s="80">
        <v>45689</v>
      </c>
      <c r="B3188">
        <v>3010212</v>
      </c>
      <c r="C3188">
        <v>1142.02</v>
      </c>
      <c r="E3188" s="80">
        <v>45680</v>
      </c>
      <c r="F3188">
        <v>2011310</v>
      </c>
      <c r="G3188">
        <v>5106.32</v>
      </c>
    </row>
    <row r="3189" spans="1:7" x14ac:dyDescent="0.3">
      <c r="A3189" s="80">
        <v>45689</v>
      </c>
      <c r="B3189">
        <v>3010212</v>
      </c>
      <c r="C3189">
        <v>1256.26</v>
      </c>
      <c r="E3189" s="80">
        <v>45680</v>
      </c>
      <c r="F3189">
        <v>2011310</v>
      </c>
      <c r="G3189">
        <v>4788.32</v>
      </c>
    </row>
    <row r="3190" spans="1:7" x14ac:dyDescent="0.3">
      <c r="A3190" s="80">
        <v>45689</v>
      </c>
      <c r="B3190">
        <v>3010212</v>
      </c>
      <c r="C3190">
        <v>827.86</v>
      </c>
      <c r="E3190" s="80">
        <v>45679</v>
      </c>
      <c r="F3190">
        <v>2011310</v>
      </c>
      <c r="G3190">
        <v>5760.32</v>
      </c>
    </row>
    <row r="3191" spans="1:7" x14ac:dyDescent="0.3">
      <c r="A3191" s="80">
        <v>45689</v>
      </c>
      <c r="B3191">
        <v>3010212</v>
      </c>
      <c r="C3191">
        <v>1142.02</v>
      </c>
      <c r="E3191" s="80">
        <v>45679</v>
      </c>
      <c r="F3191">
        <v>2011310</v>
      </c>
      <c r="G3191">
        <v>5106.32</v>
      </c>
    </row>
    <row r="3192" spans="1:7" x14ac:dyDescent="0.3">
      <c r="A3192" s="80">
        <v>45689</v>
      </c>
      <c r="B3192">
        <v>3010212</v>
      </c>
      <c r="C3192">
        <v>1142.02</v>
      </c>
      <c r="E3192" s="80">
        <v>45679</v>
      </c>
      <c r="F3192">
        <v>2011310</v>
      </c>
      <c r="G3192">
        <v>5106.32</v>
      </c>
    </row>
    <row r="3193" spans="1:7" x14ac:dyDescent="0.3">
      <c r="A3193" s="80">
        <v>45688</v>
      </c>
      <c r="B3193">
        <v>3010212</v>
      </c>
      <c r="C3193">
        <v>2284.04</v>
      </c>
      <c r="E3193" s="80">
        <v>45679</v>
      </c>
      <c r="F3193">
        <v>2011310</v>
      </c>
      <c r="G3193">
        <v>4788.32</v>
      </c>
    </row>
    <row r="3194" spans="1:7" x14ac:dyDescent="0.3">
      <c r="A3194" s="80">
        <v>45688</v>
      </c>
      <c r="B3194">
        <v>3010212</v>
      </c>
      <c r="C3194">
        <v>1142.02</v>
      </c>
      <c r="E3194" s="80">
        <v>45679</v>
      </c>
      <c r="F3194">
        <v>2011310</v>
      </c>
      <c r="G3194">
        <v>4788.32</v>
      </c>
    </row>
    <row r="3195" spans="1:7" x14ac:dyDescent="0.3">
      <c r="A3195" s="80">
        <v>45688</v>
      </c>
      <c r="B3195">
        <v>3010212</v>
      </c>
      <c r="C3195">
        <v>1142.02</v>
      </c>
      <c r="E3195" s="80">
        <v>45679</v>
      </c>
      <c r="F3195">
        <v>2011310</v>
      </c>
      <c r="G3195">
        <v>5106.32</v>
      </c>
    </row>
    <row r="3196" spans="1:7" x14ac:dyDescent="0.3">
      <c r="A3196" s="80">
        <v>45688</v>
      </c>
      <c r="B3196">
        <v>3010212</v>
      </c>
      <c r="C3196">
        <v>827.86</v>
      </c>
      <c r="E3196" s="80">
        <v>45679</v>
      </c>
      <c r="F3196">
        <v>2011310</v>
      </c>
      <c r="G3196">
        <v>8618.9699999999993</v>
      </c>
    </row>
    <row r="3197" spans="1:7" x14ac:dyDescent="0.3">
      <c r="A3197" s="80">
        <v>45688</v>
      </c>
      <c r="B3197">
        <v>3010212</v>
      </c>
      <c r="C3197">
        <v>1142.02</v>
      </c>
      <c r="E3197" s="80">
        <v>45679</v>
      </c>
      <c r="F3197">
        <v>2011310</v>
      </c>
      <c r="G3197">
        <v>4627.49</v>
      </c>
    </row>
    <row r="3198" spans="1:7" x14ac:dyDescent="0.3">
      <c r="A3198" s="80">
        <v>45688</v>
      </c>
      <c r="B3198">
        <v>3010212</v>
      </c>
      <c r="C3198">
        <v>1142.02</v>
      </c>
      <c r="E3198" s="80">
        <v>45679</v>
      </c>
      <c r="F3198">
        <v>2011310</v>
      </c>
      <c r="G3198">
        <v>5106.32</v>
      </c>
    </row>
    <row r="3199" spans="1:7" x14ac:dyDescent="0.3">
      <c r="A3199" s="80">
        <v>45687</v>
      </c>
      <c r="B3199">
        <v>3010212</v>
      </c>
      <c r="C3199">
        <v>1142.02</v>
      </c>
      <c r="E3199" s="80">
        <v>45678</v>
      </c>
      <c r="F3199">
        <v>2011310</v>
      </c>
      <c r="G3199">
        <v>5106.32</v>
      </c>
    </row>
    <row r="3200" spans="1:7" x14ac:dyDescent="0.3">
      <c r="A3200" s="80">
        <v>45687</v>
      </c>
      <c r="B3200">
        <v>3010212</v>
      </c>
      <c r="C3200">
        <v>827.86</v>
      </c>
      <c r="E3200" s="80">
        <v>45678</v>
      </c>
      <c r="F3200">
        <v>2011310</v>
      </c>
      <c r="G3200">
        <v>5425.32</v>
      </c>
    </row>
    <row r="3201" spans="1:7" x14ac:dyDescent="0.3">
      <c r="A3201" s="80">
        <v>45687</v>
      </c>
      <c r="B3201">
        <v>3010212</v>
      </c>
      <c r="C3201">
        <v>1142.02</v>
      </c>
      <c r="E3201" s="80">
        <v>45678</v>
      </c>
      <c r="F3201">
        <v>2011310</v>
      </c>
      <c r="G3201">
        <v>4788.32</v>
      </c>
    </row>
    <row r="3202" spans="1:7" x14ac:dyDescent="0.3">
      <c r="A3202" s="80">
        <v>45687</v>
      </c>
      <c r="B3202">
        <v>3010212</v>
      </c>
      <c r="C3202">
        <v>1142.02</v>
      </c>
      <c r="E3202" s="80">
        <v>45678</v>
      </c>
      <c r="F3202">
        <v>2011310</v>
      </c>
      <c r="G3202">
        <v>5537.32</v>
      </c>
    </row>
    <row r="3203" spans="1:7" x14ac:dyDescent="0.3">
      <c r="A3203" s="80">
        <v>45687</v>
      </c>
      <c r="B3203">
        <v>3010212</v>
      </c>
      <c r="C3203">
        <v>827.86</v>
      </c>
      <c r="E3203" s="80">
        <v>45678</v>
      </c>
      <c r="F3203">
        <v>2011310</v>
      </c>
      <c r="G3203">
        <v>5106.32</v>
      </c>
    </row>
    <row r="3204" spans="1:7" x14ac:dyDescent="0.3">
      <c r="A3204" s="80">
        <v>45687</v>
      </c>
      <c r="B3204">
        <v>3010212</v>
      </c>
      <c r="C3204">
        <v>827.86</v>
      </c>
      <c r="E3204" s="80">
        <v>45678</v>
      </c>
      <c r="F3204">
        <v>2011310</v>
      </c>
      <c r="G3204">
        <v>5106.32</v>
      </c>
    </row>
    <row r="3205" spans="1:7" x14ac:dyDescent="0.3">
      <c r="A3205" s="80">
        <v>45687</v>
      </c>
      <c r="B3205">
        <v>3010212</v>
      </c>
      <c r="C3205">
        <v>1256.26</v>
      </c>
      <c r="E3205" s="80">
        <v>45678</v>
      </c>
      <c r="F3205">
        <v>2011310</v>
      </c>
      <c r="G3205">
        <v>5106.32</v>
      </c>
    </row>
    <row r="3206" spans="1:7" x14ac:dyDescent="0.3">
      <c r="A3206" s="80">
        <v>45687</v>
      </c>
      <c r="B3206">
        <v>3010212</v>
      </c>
      <c r="C3206">
        <v>827.86</v>
      </c>
      <c r="E3206" s="80">
        <v>45678</v>
      </c>
      <c r="F3206">
        <v>2011310</v>
      </c>
      <c r="G3206">
        <v>5106.32</v>
      </c>
    </row>
    <row r="3207" spans="1:7" x14ac:dyDescent="0.3">
      <c r="A3207" s="80">
        <v>45687</v>
      </c>
      <c r="B3207">
        <v>3010212</v>
      </c>
      <c r="C3207">
        <v>1142.02</v>
      </c>
      <c r="E3207" s="80">
        <v>45678</v>
      </c>
      <c r="F3207">
        <v>2011310</v>
      </c>
      <c r="G3207">
        <v>5106.32</v>
      </c>
    </row>
    <row r="3208" spans="1:7" x14ac:dyDescent="0.3">
      <c r="A3208" s="80">
        <v>45687</v>
      </c>
      <c r="B3208">
        <v>3010212</v>
      </c>
      <c r="C3208">
        <v>1142.02</v>
      </c>
      <c r="E3208" s="80">
        <v>45678</v>
      </c>
      <c r="F3208">
        <v>2011310</v>
      </c>
      <c r="G3208">
        <v>5457.32</v>
      </c>
    </row>
    <row r="3209" spans="1:7" x14ac:dyDescent="0.3">
      <c r="A3209" s="80">
        <v>45687</v>
      </c>
      <c r="B3209">
        <v>3010212</v>
      </c>
      <c r="C3209">
        <v>827.86</v>
      </c>
      <c r="E3209" s="80">
        <v>45678</v>
      </c>
      <c r="F3209">
        <v>2011310</v>
      </c>
      <c r="G3209">
        <v>4627.49</v>
      </c>
    </row>
    <row r="3210" spans="1:7" x14ac:dyDescent="0.3">
      <c r="A3210" s="80">
        <v>45687</v>
      </c>
      <c r="B3210">
        <v>3010212</v>
      </c>
      <c r="C3210">
        <v>827.86</v>
      </c>
      <c r="E3210" s="80">
        <v>45678</v>
      </c>
      <c r="F3210">
        <v>2011310</v>
      </c>
      <c r="G3210">
        <v>5106.32</v>
      </c>
    </row>
    <row r="3211" spans="1:7" x14ac:dyDescent="0.3">
      <c r="A3211" s="80">
        <v>45687</v>
      </c>
      <c r="B3211">
        <v>3010212</v>
      </c>
      <c r="C3211">
        <v>1142.02</v>
      </c>
      <c r="E3211" s="80">
        <v>45678</v>
      </c>
      <c r="F3211">
        <v>2011310</v>
      </c>
      <c r="G3211">
        <v>5106.32</v>
      </c>
    </row>
    <row r="3212" spans="1:7" x14ac:dyDescent="0.3">
      <c r="A3212" s="80">
        <v>45687</v>
      </c>
      <c r="B3212">
        <v>3010212</v>
      </c>
      <c r="C3212">
        <v>1142.02</v>
      </c>
      <c r="E3212" s="80">
        <v>45678</v>
      </c>
      <c r="F3212">
        <v>2011310</v>
      </c>
      <c r="G3212">
        <v>5393.32</v>
      </c>
    </row>
    <row r="3213" spans="1:7" x14ac:dyDescent="0.3">
      <c r="A3213" s="80">
        <v>45687</v>
      </c>
      <c r="B3213">
        <v>3010212</v>
      </c>
      <c r="C3213">
        <v>1256.26</v>
      </c>
      <c r="E3213" s="80">
        <v>45677</v>
      </c>
      <c r="F3213">
        <v>2011310</v>
      </c>
      <c r="G3213">
        <v>5106.32</v>
      </c>
    </row>
    <row r="3214" spans="1:7" x14ac:dyDescent="0.3">
      <c r="A3214" s="80">
        <v>45687</v>
      </c>
      <c r="B3214">
        <v>3010212</v>
      </c>
      <c r="C3214">
        <v>1142.02</v>
      </c>
      <c r="E3214" s="80">
        <v>45677</v>
      </c>
      <c r="F3214">
        <v>2011310</v>
      </c>
      <c r="G3214">
        <v>5553.32</v>
      </c>
    </row>
    <row r="3215" spans="1:7" x14ac:dyDescent="0.3">
      <c r="A3215" s="80">
        <v>45687</v>
      </c>
      <c r="B3215">
        <v>3010212</v>
      </c>
      <c r="C3215">
        <v>1142.02</v>
      </c>
      <c r="E3215" s="80">
        <v>45677</v>
      </c>
      <c r="F3215">
        <v>2011310</v>
      </c>
      <c r="G3215">
        <v>5106.32</v>
      </c>
    </row>
    <row r="3216" spans="1:7" x14ac:dyDescent="0.3">
      <c r="A3216" s="80">
        <v>45686</v>
      </c>
      <c r="B3216">
        <v>3010212</v>
      </c>
      <c r="C3216">
        <v>2055.64</v>
      </c>
      <c r="E3216" s="80">
        <v>45677</v>
      </c>
      <c r="F3216">
        <v>2011310</v>
      </c>
      <c r="G3216">
        <v>5267.31</v>
      </c>
    </row>
    <row r="3217" spans="1:7" x14ac:dyDescent="0.3">
      <c r="A3217" s="80">
        <v>45686</v>
      </c>
      <c r="B3217">
        <v>3010212</v>
      </c>
      <c r="C3217">
        <v>1142.02</v>
      </c>
      <c r="E3217" s="80">
        <v>45677</v>
      </c>
      <c r="F3217">
        <v>2011310</v>
      </c>
      <c r="G3217">
        <v>5106.32</v>
      </c>
    </row>
    <row r="3218" spans="1:7" x14ac:dyDescent="0.3">
      <c r="A3218" s="80">
        <v>45686</v>
      </c>
      <c r="B3218">
        <v>3010212</v>
      </c>
      <c r="C3218">
        <v>1142.02</v>
      </c>
      <c r="E3218" s="80">
        <v>45677</v>
      </c>
      <c r="F3218">
        <v>2011310</v>
      </c>
      <c r="G3218">
        <v>5106.32</v>
      </c>
    </row>
    <row r="3219" spans="1:7" x14ac:dyDescent="0.3">
      <c r="A3219" s="80">
        <v>45686</v>
      </c>
      <c r="B3219">
        <v>3010212</v>
      </c>
      <c r="C3219">
        <v>1027.82</v>
      </c>
      <c r="E3219" s="80">
        <v>45676</v>
      </c>
      <c r="F3219">
        <v>2011310</v>
      </c>
      <c r="G3219">
        <v>5106.32</v>
      </c>
    </row>
    <row r="3220" spans="1:7" x14ac:dyDescent="0.3">
      <c r="A3220" s="80">
        <v>45686</v>
      </c>
      <c r="B3220">
        <v>3010212</v>
      </c>
      <c r="C3220">
        <v>1142.02</v>
      </c>
      <c r="E3220" s="80">
        <v>45676</v>
      </c>
      <c r="F3220">
        <v>2011310</v>
      </c>
      <c r="G3220">
        <v>5888.32</v>
      </c>
    </row>
    <row r="3221" spans="1:7" x14ac:dyDescent="0.3">
      <c r="A3221" s="80">
        <v>45686</v>
      </c>
      <c r="B3221">
        <v>3010212</v>
      </c>
      <c r="C3221">
        <v>1142.02</v>
      </c>
      <c r="E3221" s="80">
        <v>45676</v>
      </c>
      <c r="F3221">
        <v>2011310</v>
      </c>
      <c r="G3221">
        <v>5267.31</v>
      </c>
    </row>
    <row r="3222" spans="1:7" x14ac:dyDescent="0.3">
      <c r="A3222" s="80">
        <v>45686</v>
      </c>
      <c r="B3222">
        <v>3010212</v>
      </c>
      <c r="C3222">
        <v>1142.02</v>
      </c>
      <c r="E3222" s="80">
        <v>45676</v>
      </c>
      <c r="F3222">
        <v>2011310</v>
      </c>
      <c r="G3222">
        <v>5106.32</v>
      </c>
    </row>
    <row r="3223" spans="1:7" x14ac:dyDescent="0.3">
      <c r="A3223" s="80">
        <v>45686</v>
      </c>
      <c r="B3223">
        <v>3010212</v>
      </c>
      <c r="C3223">
        <v>1142.02</v>
      </c>
      <c r="E3223" s="80">
        <v>45676</v>
      </c>
      <c r="F3223">
        <v>2011310</v>
      </c>
      <c r="G3223">
        <v>5106.32</v>
      </c>
    </row>
    <row r="3224" spans="1:7" x14ac:dyDescent="0.3">
      <c r="A3224" s="80">
        <v>45686</v>
      </c>
      <c r="B3224">
        <v>3010212</v>
      </c>
      <c r="C3224">
        <v>1142.02</v>
      </c>
      <c r="E3224" s="80">
        <v>45676</v>
      </c>
      <c r="F3224">
        <v>2011310</v>
      </c>
      <c r="G3224">
        <v>5489.32</v>
      </c>
    </row>
    <row r="3225" spans="1:7" x14ac:dyDescent="0.3">
      <c r="A3225" s="80">
        <v>45686</v>
      </c>
      <c r="B3225">
        <v>3010212</v>
      </c>
      <c r="C3225">
        <v>1142.02</v>
      </c>
      <c r="E3225" s="80">
        <v>45676</v>
      </c>
      <c r="F3225">
        <v>2011310</v>
      </c>
      <c r="G3225">
        <v>5457.32</v>
      </c>
    </row>
    <row r="3226" spans="1:7" x14ac:dyDescent="0.3">
      <c r="A3226" s="80">
        <v>45686</v>
      </c>
      <c r="B3226">
        <v>3010212</v>
      </c>
      <c r="C3226">
        <v>1142.02</v>
      </c>
      <c r="E3226" s="80">
        <v>45676</v>
      </c>
      <c r="F3226">
        <v>2011310</v>
      </c>
      <c r="G3226">
        <v>5106.32</v>
      </c>
    </row>
    <row r="3227" spans="1:7" x14ac:dyDescent="0.3">
      <c r="A3227" s="80">
        <v>45686</v>
      </c>
      <c r="B3227">
        <v>3010212</v>
      </c>
      <c r="C3227">
        <v>1027.82</v>
      </c>
      <c r="E3227" s="80">
        <v>45676</v>
      </c>
      <c r="F3227">
        <v>2011310</v>
      </c>
      <c r="G3227">
        <v>4788.32</v>
      </c>
    </row>
    <row r="3228" spans="1:7" x14ac:dyDescent="0.3">
      <c r="A3228" s="80">
        <v>45685</v>
      </c>
      <c r="B3228">
        <v>3010212</v>
      </c>
      <c r="C3228">
        <v>1256.26</v>
      </c>
      <c r="E3228" s="80">
        <v>45676</v>
      </c>
      <c r="F3228">
        <v>2011310</v>
      </c>
      <c r="G3228">
        <v>5106.32</v>
      </c>
    </row>
    <row r="3229" spans="1:7" x14ac:dyDescent="0.3">
      <c r="A3229" s="80">
        <v>45685</v>
      </c>
      <c r="B3229">
        <v>3010212</v>
      </c>
      <c r="C3229">
        <v>1142.02</v>
      </c>
      <c r="E3229" s="80">
        <v>45676</v>
      </c>
      <c r="F3229">
        <v>2011310</v>
      </c>
      <c r="G3229">
        <v>4788.32</v>
      </c>
    </row>
    <row r="3230" spans="1:7" x14ac:dyDescent="0.3">
      <c r="A3230" s="80">
        <v>45685</v>
      </c>
      <c r="B3230">
        <v>3010212</v>
      </c>
      <c r="C3230">
        <v>1142.02</v>
      </c>
      <c r="E3230" s="80">
        <v>45676</v>
      </c>
      <c r="F3230">
        <v>2011310</v>
      </c>
      <c r="G3230">
        <v>1595.04</v>
      </c>
    </row>
    <row r="3231" spans="1:7" x14ac:dyDescent="0.3">
      <c r="A3231" s="80">
        <v>45685</v>
      </c>
      <c r="B3231">
        <v>3010212</v>
      </c>
      <c r="C3231">
        <v>1142.02</v>
      </c>
      <c r="E3231" s="80">
        <v>45676</v>
      </c>
      <c r="F3231">
        <v>2011310</v>
      </c>
      <c r="G3231">
        <v>4788.32</v>
      </c>
    </row>
    <row r="3232" spans="1:7" x14ac:dyDescent="0.3">
      <c r="A3232" s="80">
        <v>45685</v>
      </c>
      <c r="B3232">
        <v>3010212</v>
      </c>
      <c r="C3232">
        <v>1142.02</v>
      </c>
      <c r="E3232" s="80">
        <v>45676</v>
      </c>
      <c r="F3232">
        <v>2011310</v>
      </c>
      <c r="G3232">
        <v>5106.32</v>
      </c>
    </row>
    <row r="3233" spans="1:7" x14ac:dyDescent="0.3">
      <c r="A3233" s="80">
        <v>45685</v>
      </c>
      <c r="B3233">
        <v>3010212</v>
      </c>
      <c r="C3233">
        <v>1142.02</v>
      </c>
      <c r="E3233" s="80">
        <v>45676</v>
      </c>
      <c r="F3233">
        <v>2011310</v>
      </c>
      <c r="G3233">
        <v>5537.32</v>
      </c>
    </row>
    <row r="3234" spans="1:7" x14ac:dyDescent="0.3">
      <c r="A3234" s="80">
        <v>45685</v>
      </c>
      <c r="B3234">
        <v>3010212</v>
      </c>
      <c r="C3234">
        <v>1142.02</v>
      </c>
      <c r="E3234" s="80">
        <v>45676</v>
      </c>
      <c r="F3234">
        <v>2011310</v>
      </c>
      <c r="G3234">
        <v>5106.32</v>
      </c>
    </row>
    <row r="3235" spans="1:7" x14ac:dyDescent="0.3">
      <c r="A3235" s="80">
        <v>45685</v>
      </c>
      <c r="B3235">
        <v>3010212</v>
      </c>
      <c r="C3235">
        <v>1142.02</v>
      </c>
      <c r="E3235" s="80">
        <v>45676</v>
      </c>
      <c r="F3235">
        <v>2011310</v>
      </c>
      <c r="G3235">
        <v>5425.32</v>
      </c>
    </row>
    <row r="3236" spans="1:7" x14ac:dyDescent="0.3">
      <c r="A3236" s="80">
        <v>45684</v>
      </c>
      <c r="B3236">
        <v>3010212</v>
      </c>
      <c r="C3236">
        <v>1142.02</v>
      </c>
      <c r="E3236" s="80">
        <v>45676</v>
      </c>
      <c r="F3236">
        <v>2011310</v>
      </c>
      <c r="G3236">
        <v>1913.04</v>
      </c>
    </row>
    <row r="3237" spans="1:7" x14ac:dyDescent="0.3">
      <c r="A3237" s="80">
        <v>45684</v>
      </c>
      <c r="B3237">
        <v>3010212</v>
      </c>
      <c r="C3237">
        <v>1142.02</v>
      </c>
      <c r="E3237" s="80">
        <v>45675</v>
      </c>
      <c r="F3237">
        <v>2011310</v>
      </c>
      <c r="G3237">
        <v>5106.32</v>
      </c>
    </row>
    <row r="3238" spans="1:7" x14ac:dyDescent="0.3">
      <c r="A3238" s="80">
        <v>45684</v>
      </c>
      <c r="B3238">
        <v>3010212</v>
      </c>
      <c r="C3238">
        <v>1256.26</v>
      </c>
      <c r="E3238" s="80">
        <v>45675</v>
      </c>
      <c r="F3238">
        <v>2011310</v>
      </c>
      <c r="G3238">
        <v>4788.32</v>
      </c>
    </row>
    <row r="3239" spans="1:7" x14ac:dyDescent="0.3">
      <c r="A3239" s="80">
        <v>45684</v>
      </c>
      <c r="B3239">
        <v>3010212</v>
      </c>
      <c r="C3239">
        <v>1142.02</v>
      </c>
      <c r="E3239" s="80">
        <v>45675</v>
      </c>
      <c r="F3239">
        <v>2011310</v>
      </c>
      <c r="G3239">
        <v>5361.32</v>
      </c>
    </row>
    <row r="3240" spans="1:7" x14ac:dyDescent="0.3">
      <c r="A3240" s="80">
        <v>45684</v>
      </c>
      <c r="B3240">
        <v>3010212</v>
      </c>
      <c r="C3240">
        <v>1142.02</v>
      </c>
      <c r="E3240" s="80">
        <v>45675</v>
      </c>
      <c r="F3240">
        <v>2011310</v>
      </c>
      <c r="G3240">
        <v>5267.31</v>
      </c>
    </row>
    <row r="3241" spans="1:7" x14ac:dyDescent="0.3">
      <c r="A3241" s="80">
        <v>45684</v>
      </c>
      <c r="B3241">
        <v>3010212</v>
      </c>
      <c r="C3241">
        <v>1142.02</v>
      </c>
      <c r="E3241" s="80">
        <v>45675</v>
      </c>
      <c r="F3241">
        <v>2011310</v>
      </c>
      <c r="G3241">
        <v>4978.49</v>
      </c>
    </row>
    <row r="3242" spans="1:7" x14ac:dyDescent="0.3">
      <c r="A3242" s="80">
        <v>45684</v>
      </c>
      <c r="B3242">
        <v>3010212</v>
      </c>
      <c r="C3242">
        <v>2284.04</v>
      </c>
      <c r="E3242" s="80">
        <v>45675</v>
      </c>
      <c r="F3242">
        <v>2011310</v>
      </c>
      <c r="G3242">
        <v>4788.32</v>
      </c>
    </row>
    <row r="3243" spans="1:7" x14ac:dyDescent="0.3">
      <c r="A3243" s="80">
        <v>45684</v>
      </c>
      <c r="B3243">
        <v>3010212</v>
      </c>
      <c r="C3243">
        <v>1142.02</v>
      </c>
      <c r="E3243" s="80">
        <v>45675</v>
      </c>
      <c r="F3243">
        <v>2011310</v>
      </c>
      <c r="G3243">
        <v>5106.32</v>
      </c>
    </row>
    <row r="3244" spans="1:7" x14ac:dyDescent="0.3">
      <c r="A3244" s="80">
        <v>45683</v>
      </c>
      <c r="B3244">
        <v>3010212</v>
      </c>
      <c r="C3244">
        <v>1142.02</v>
      </c>
      <c r="E3244" s="80">
        <v>45675</v>
      </c>
      <c r="F3244">
        <v>2011310</v>
      </c>
      <c r="G3244">
        <v>5106.32</v>
      </c>
    </row>
    <row r="3245" spans="1:7" x14ac:dyDescent="0.3">
      <c r="A3245" s="80">
        <v>45683</v>
      </c>
      <c r="B3245">
        <v>3010212</v>
      </c>
      <c r="C3245">
        <v>1142.02</v>
      </c>
      <c r="E3245" s="80">
        <v>45675</v>
      </c>
      <c r="F3245">
        <v>2011310</v>
      </c>
      <c r="G3245">
        <v>4627.49</v>
      </c>
    </row>
    <row r="3246" spans="1:7" x14ac:dyDescent="0.3">
      <c r="A3246" s="80">
        <v>45683</v>
      </c>
      <c r="B3246">
        <v>3010212</v>
      </c>
      <c r="C3246">
        <v>1142.02</v>
      </c>
      <c r="E3246" s="80">
        <v>45675</v>
      </c>
      <c r="F3246">
        <v>2011310</v>
      </c>
      <c r="G3246">
        <v>5106.32</v>
      </c>
    </row>
    <row r="3247" spans="1:7" x14ac:dyDescent="0.3">
      <c r="A3247" s="80">
        <v>45683</v>
      </c>
      <c r="B3247">
        <v>3010212</v>
      </c>
      <c r="C3247">
        <v>1256.26</v>
      </c>
      <c r="E3247" s="80">
        <v>45675</v>
      </c>
      <c r="F3247">
        <v>2011310</v>
      </c>
      <c r="G3247">
        <v>5808.32</v>
      </c>
    </row>
    <row r="3248" spans="1:7" x14ac:dyDescent="0.3">
      <c r="A3248" s="80">
        <v>45683</v>
      </c>
      <c r="B3248">
        <v>3010212</v>
      </c>
      <c r="C3248">
        <v>1142.02</v>
      </c>
      <c r="E3248" s="80">
        <v>45674</v>
      </c>
      <c r="F3248">
        <v>2011310</v>
      </c>
      <c r="G3248">
        <v>5393.49</v>
      </c>
    </row>
    <row r="3249" spans="1:7" x14ac:dyDescent="0.3">
      <c r="A3249" s="80">
        <v>45683</v>
      </c>
      <c r="B3249">
        <v>3010212</v>
      </c>
      <c r="C3249">
        <v>1142.02</v>
      </c>
      <c r="E3249" s="80">
        <v>45674</v>
      </c>
      <c r="F3249">
        <v>2011310</v>
      </c>
      <c r="G3249">
        <v>5267.31</v>
      </c>
    </row>
    <row r="3250" spans="1:7" x14ac:dyDescent="0.3">
      <c r="A3250" s="80">
        <v>45683</v>
      </c>
      <c r="B3250">
        <v>3010212</v>
      </c>
      <c r="C3250">
        <v>1142.02</v>
      </c>
      <c r="E3250" s="80">
        <v>45674</v>
      </c>
      <c r="F3250">
        <v>2011310</v>
      </c>
      <c r="G3250">
        <v>4788.32</v>
      </c>
    </row>
    <row r="3251" spans="1:7" x14ac:dyDescent="0.3">
      <c r="A3251" s="80">
        <v>45683</v>
      </c>
      <c r="B3251">
        <v>3010212</v>
      </c>
      <c r="C3251">
        <v>1142.02</v>
      </c>
      <c r="E3251" s="80">
        <v>45674</v>
      </c>
      <c r="F3251">
        <v>2011310</v>
      </c>
      <c r="G3251">
        <v>5106.32</v>
      </c>
    </row>
    <row r="3252" spans="1:7" x14ac:dyDescent="0.3">
      <c r="A3252" s="80">
        <v>45682</v>
      </c>
      <c r="B3252">
        <v>3010212</v>
      </c>
      <c r="C3252">
        <v>1142.02</v>
      </c>
      <c r="E3252" s="80">
        <v>45674</v>
      </c>
      <c r="F3252">
        <v>2011310</v>
      </c>
      <c r="G3252">
        <v>4882.49</v>
      </c>
    </row>
    <row r="3253" spans="1:7" x14ac:dyDescent="0.3">
      <c r="A3253" s="80">
        <v>45682</v>
      </c>
      <c r="B3253">
        <v>3010212</v>
      </c>
      <c r="C3253">
        <v>1142.02</v>
      </c>
      <c r="E3253" s="80">
        <v>45674</v>
      </c>
      <c r="F3253">
        <v>2011310</v>
      </c>
      <c r="G3253">
        <v>4788.32</v>
      </c>
    </row>
    <row r="3254" spans="1:7" x14ac:dyDescent="0.3">
      <c r="A3254" s="80">
        <v>45682</v>
      </c>
      <c r="B3254">
        <v>3010212</v>
      </c>
      <c r="C3254">
        <v>1256.26</v>
      </c>
      <c r="E3254" s="80">
        <v>45674</v>
      </c>
      <c r="F3254">
        <v>2011310</v>
      </c>
      <c r="G3254">
        <v>4627.49</v>
      </c>
    </row>
    <row r="3255" spans="1:7" x14ac:dyDescent="0.3">
      <c r="A3255" s="80">
        <v>45682</v>
      </c>
      <c r="B3255">
        <v>3010212</v>
      </c>
      <c r="C3255">
        <v>1142.02</v>
      </c>
      <c r="E3255" s="80">
        <v>45674</v>
      </c>
      <c r="F3255">
        <v>2011310</v>
      </c>
      <c r="G3255">
        <v>5585.32</v>
      </c>
    </row>
    <row r="3256" spans="1:7" x14ac:dyDescent="0.3">
      <c r="A3256" s="80">
        <v>45682</v>
      </c>
      <c r="B3256">
        <v>3010212</v>
      </c>
      <c r="C3256">
        <v>1142.02</v>
      </c>
      <c r="E3256" s="80">
        <v>45674</v>
      </c>
      <c r="F3256">
        <v>2011310</v>
      </c>
      <c r="G3256">
        <v>4788.32</v>
      </c>
    </row>
    <row r="3257" spans="1:7" x14ac:dyDescent="0.3">
      <c r="A3257" s="80">
        <v>45682</v>
      </c>
      <c r="B3257">
        <v>3010212</v>
      </c>
      <c r="C3257">
        <v>1256.26</v>
      </c>
      <c r="E3257" s="80">
        <v>45674</v>
      </c>
      <c r="F3257">
        <v>2011310</v>
      </c>
      <c r="G3257">
        <v>1595.04</v>
      </c>
    </row>
    <row r="3258" spans="1:7" x14ac:dyDescent="0.3">
      <c r="A3258" s="80">
        <v>45682</v>
      </c>
      <c r="B3258">
        <v>3010212</v>
      </c>
      <c r="C3258">
        <v>1142.02</v>
      </c>
      <c r="E3258" s="80">
        <v>45674</v>
      </c>
      <c r="F3258">
        <v>2011310</v>
      </c>
      <c r="G3258">
        <v>5106.32</v>
      </c>
    </row>
    <row r="3259" spans="1:7" x14ac:dyDescent="0.3">
      <c r="A3259" s="80">
        <v>45682</v>
      </c>
      <c r="B3259">
        <v>3010212</v>
      </c>
      <c r="C3259">
        <v>1142.02</v>
      </c>
      <c r="E3259" s="80">
        <v>45673</v>
      </c>
      <c r="F3259">
        <v>2011310</v>
      </c>
      <c r="G3259">
        <v>5106.32</v>
      </c>
    </row>
    <row r="3260" spans="1:7" x14ac:dyDescent="0.3">
      <c r="A3260" s="80">
        <v>45682</v>
      </c>
      <c r="B3260">
        <v>3010212</v>
      </c>
      <c r="C3260">
        <v>1142.02</v>
      </c>
      <c r="E3260" s="80">
        <v>45673</v>
      </c>
      <c r="F3260">
        <v>2011310</v>
      </c>
      <c r="G3260">
        <v>5106.32</v>
      </c>
    </row>
    <row r="3261" spans="1:7" x14ac:dyDescent="0.3">
      <c r="A3261" s="80">
        <v>45682</v>
      </c>
      <c r="B3261">
        <v>3010212</v>
      </c>
      <c r="C3261">
        <v>1142.02</v>
      </c>
      <c r="E3261" s="80">
        <v>45673</v>
      </c>
      <c r="F3261">
        <v>2011310</v>
      </c>
      <c r="G3261">
        <v>5106.32</v>
      </c>
    </row>
    <row r="3262" spans="1:7" x14ac:dyDescent="0.3">
      <c r="A3262" s="80">
        <v>45682</v>
      </c>
      <c r="B3262">
        <v>3010212</v>
      </c>
      <c r="C3262">
        <v>1256.26</v>
      </c>
      <c r="E3262" s="80">
        <v>45673</v>
      </c>
      <c r="F3262">
        <v>2011310</v>
      </c>
      <c r="G3262">
        <v>5106.32</v>
      </c>
    </row>
    <row r="3263" spans="1:7" x14ac:dyDescent="0.3">
      <c r="A3263" s="80">
        <v>45682</v>
      </c>
      <c r="B3263">
        <v>3010212</v>
      </c>
      <c r="C3263">
        <v>1142.02</v>
      </c>
      <c r="E3263" s="80">
        <v>45673</v>
      </c>
      <c r="F3263">
        <v>2011310</v>
      </c>
      <c r="G3263">
        <v>5106.32</v>
      </c>
    </row>
    <row r="3264" spans="1:7" x14ac:dyDescent="0.3">
      <c r="A3264" s="80">
        <v>45682</v>
      </c>
      <c r="B3264">
        <v>3010212</v>
      </c>
      <c r="C3264">
        <v>1142.02</v>
      </c>
      <c r="E3264" s="80">
        <v>45673</v>
      </c>
      <c r="F3264">
        <v>2011310</v>
      </c>
      <c r="G3264">
        <v>5267.31</v>
      </c>
    </row>
    <row r="3265" spans="1:7" x14ac:dyDescent="0.3">
      <c r="A3265" s="80">
        <v>45682</v>
      </c>
      <c r="B3265">
        <v>3010212</v>
      </c>
      <c r="C3265">
        <v>1142.02</v>
      </c>
      <c r="E3265" s="80">
        <v>45672</v>
      </c>
      <c r="F3265">
        <v>2011310</v>
      </c>
      <c r="G3265">
        <v>4627.49</v>
      </c>
    </row>
    <row r="3266" spans="1:7" x14ac:dyDescent="0.3">
      <c r="A3266" s="80">
        <v>45682</v>
      </c>
      <c r="B3266">
        <v>3010212</v>
      </c>
      <c r="C3266">
        <v>1142.02</v>
      </c>
      <c r="E3266" s="80">
        <v>45672</v>
      </c>
      <c r="F3266">
        <v>2011310</v>
      </c>
      <c r="G3266">
        <v>5537.32</v>
      </c>
    </row>
    <row r="3267" spans="1:7" x14ac:dyDescent="0.3">
      <c r="A3267" s="80">
        <v>45681</v>
      </c>
      <c r="B3267">
        <v>3010212</v>
      </c>
      <c r="C3267">
        <v>1142.02</v>
      </c>
      <c r="E3267" s="80">
        <v>45672</v>
      </c>
      <c r="F3267">
        <v>2011310</v>
      </c>
      <c r="G3267">
        <v>5473.32</v>
      </c>
    </row>
    <row r="3268" spans="1:7" x14ac:dyDescent="0.3">
      <c r="A3268" s="80">
        <v>45681</v>
      </c>
      <c r="B3268">
        <v>3010212</v>
      </c>
      <c r="C3268">
        <v>1142.02</v>
      </c>
      <c r="E3268" s="80">
        <v>45672</v>
      </c>
      <c r="F3268">
        <v>2011310</v>
      </c>
      <c r="G3268">
        <v>5106.32</v>
      </c>
    </row>
    <row r="3269" spans="1:7" x14ac:dyDescent="0.3">
      <c r="A3269" s="80">
        <v>45681</v>
      </c>
      <c r="B3269">
        <v>3010212</v>
      </c>
      <c r="C3269">
        <v>1142.02</v>
      </c>
      <c r="E3269" s="80">
        <v>45672</v>
      </c>
      <c r="F3269">
        <v>2011310</v>
      </c>
      <c r="G3269">
        <v>5106.32</v>
      </c>
    </row>
    <row r="3270" spans="1:7" x14ac:dyDescent="0.3">
      <c r="A3270" s="80">
        <v>45681</v>
      </c>
      <c r="B3270">
        <v>3010212</v>
      </c>
      <c r="C3270">
        <v>1142.02</v>
      </c>
      <c r="E3270" s="80">
        <v>45672</v>
      </c>
      <c r="F3270">
        <v>2011310</v>
      </c>
      <c r="G3270">
        <v>5106.32</v>
      </c>
    </row>
    <row r="3271" spans="1:7" x14ac:dyDescent="0.3">
      <c r="A3271" s="80">
        <v>45681</v>
      </c>
      <c r="B3271">
        <v>3010212</v>
      </c>
      <c r="C3271">
        <v>1142.02</v>
      </c>
      <c r="E3271" s="80">
        <v>45672</v>
      </c>
      <c r="F3271">
        <v>2011310</v>
      </c>
      <c r="G3271">
        <v>5106.32</v>
      </c>
    </row>
    <row r="3272" spans="1:7" x14ac:dyDescent="0.3">
      <c r="A3272" s="80">
        <v>45681</v>
      </c>
      <c r="B3272">
        <v>3010212</v>
      </c>
      <c r="C3272">
        <v>1142.02</v>
      </c>
      <c r="E3272" s="80">
        <v>45672</v>
      </c>
      <c r="F3272">
        <v>2011310</v>
      </c>
      <c r="G3272">
        <v>4788.32</v>
      </c>
    </row>
    <row r="3273" spans="1:7" x14ac:dyDescent="0.3">
      <c r="A3273" s="80">
        <v>45681</v>
      </c>
      <c r="B3273">
        <v>3010212</v>
      </c>
      <c r="C3273">
        <v>1142.02</v>
      </c>
      <c r="E3273" s="80">
        <v>45672</v>
      </c>
      <c r="F3273">
        <v>2011310</v>
      </c>
      <c r="G3273">
        <v>4788.32</v>
      </c>
    </row>
    <row r="3274" spans="1:7" x14ac:dyDescent="0.3">
      <c r="A3274" s="80">
        <v>45681</v>
      </c>
      <c r="B3274">
        <v>3010212</v>
      </c>
      <c r="C3274">
        <v>1142.02</v>
      </c>
      <c r="E3274" s="80">
        <v>45672</v>
      </c>
      <c r="F3274">
        <v>2011310</v>
      </c>
      <c r="G3274">
        <v>5425.32</v>
      </c>
    </row>
    <row r="3275" spans="1:7" x14ac:dyDescent="0.3">
      <c r="A3275" s="80">
        <v>45680</v>
      </c>
      <c r="B3275">
        <v>3010212</v>
      </c>
      <c r="C3275">
        <v>1142.02</v>
      </c>
      <c r="E3275" s="80">
        <v>45672</v>
      </c>
      <c r="F3275">
        <v>2011310</v>
      </c>
      <c r="G3275">
        <v>5106.32</v>
      </c>
    </row>
    <row r="3276" spans="1:7" x14ac:dyDescent="0.3">
      <c r="A3276" s="80">
        <v>45680</v>
      </c>
      <c r="B3276">
        <v>3010212</v>
      </c>
      <c r="C3276">
        <v>1142.02</v>
      </c>
      <c r="E3276" s="80">
        <v>45672</v>
      </c>
      <c r="F3276">
        <v>2011310</v>
      </c>
      <c r="G3276">
        <v>5106.32</v>
      </c>
    </row>
    <row r="3277" spans="1:7" x14ac:dyDescent="0.3">
      <c r="A3277" s="80">
        <v>45680</v>
      </c>
      <c r="B3277">
        <v>3010212</v>
      </c>
      <c r="C3277">
        <v>1142.02</v>
      </c>
      <c r="E3277" s="80">
        <v>45672</v>
      </c>
      <c r="F3277">
        <v>2011310</v>
      </c>
      <c r="G3277">
        <v>5106.32</v>
      </c>
    </row>
    <row r="3278" spans="1:7" x14ac:dyDescent="0.3">
      <c r="A3278" s="80">
        <v>45680</v>
      </c>
      <c r="B3278">
        <v>3010212</v>
      </c>
      <c r="C3278">
        <v>1142.02</v>
      </c>
      <c r="E3278" s="80">
        <v>45671</v>
      </c>
      <c r="F3278">
        <v>2011310</v>
      </c>
      <c r="G3278">
        <v>5537.32</v>
      </c>
    </row>
    <row r="3279" spans="1:7" x14ac:dyDescent="0.3">
      <c r="A3279" s="80">
        <v>45680</v>
      </c>
      <c r="B3279">
        <v>3010212</v>
      </c>
      <c r="C3279">
        <v>1142.02</v>
      </c>
      <c r="E3279" s="80">
        <v>45671</v>
      </c>
      <c r="F3279">
        <v>2011310</v>
      </c>
      <c r="G3279">
        <v>5553.32</v>
      </c>
    </row>
    <row r="3280" spans="1:7" x14ac:dyDescent="0.3">
      <c r="A3280" s="80">
        <v>45680</v>
      </c>
      <c r="B3280">
        <v>3010212</v>
      </c>
      <c r="C3280">
        <v>1142.02</v>
      </c>
      <c r="E3280" s="80">
        <v>45671</v>
      </c>
      <c r="F3280">
        <v>2011310</v>
      </c>
      <c r="G3280">
        <v>5106.32</v>
      </c>
    </row>
    <row r="3281" spans="1:7" x14ac:dyDescent="0.3">
      <c r="A3281" s="80">
        <v>45680</v>
      </c>
      <c r="B3281">
        <v>3010212</v>
      </c>
      <c r="C3281">
        <v>1142.02</v>
      </c>
      <c r="E3281" s="80">
        <v>45671</v>
      </c>
      <c r="F3281">
        <v>2011310</v>
      </c>
      <c r="G3281">
        <v>5106.32</v>
      </c>
    </row>
    <row r="3282" spans="1:7" x14ac:dyDescent="0.3">
      <c r="A3282" s="80">
        <v>45679</v>
      </c>
      <c r="B3282">
        <v>3010212</v>
      </c>
      <c r="C3282">
        <v>1142.02</v>
      </c>
      <c r="E3282" s="80">
        <v>45671</v>
      </c>
      <c r="F3282">
        <v>2011310</v>
      </c>
      <c r="G3282">
        <v>1595.04</v>
      </c>
    </row>
    <row r="3283" spans="1:7" x14ac:dyDescent="0.3">
      <c r="A3283" s="80">
        <v>45679</v>
      </c>
      <c r="B3283">
        <v>3010212</v>
      </c>
      <c r="C3283">
        <v>1142.02</v>
      </c>
      <c r="E3283" s="80">
        <v>45671</v>
      </c>
      <c r="F3283">
        <v>2011310</v>
      </c>
      <c r="G3283">
        <v>4788.32</v>
      </c>
    </row>
    <row r="3284" spans="1:7" x14ac:dyDescent="0.3">
      <c r="A3284" s="80">
        <v>45679</v>
      </c>
      <c r="B3284">
        <v>3010212</v>
      </c>
      <c r="C3284">
        <v>1142.02</v>
      </c>
      <c r="E3284" s="80">
        <v>45671</v>
      </c>
      <c r="F3284">
        <v>2011310</v>
      </c>
      <c r="G3284">
        <v>5106.32</v>
      </c>
    </row>
    <row r="3285" spans="1:7" x14ac:dyDescent="0.3">
      <c r="A3285" s="80">
        <v>45679</v>
      </c>
      <c r="B3285">
        <v>3010212</v>
      </c>
      <c r="C3285">
        <v>1142.02</v>
      </c>
      <c r="E3285" s="80">
        <v>45671</v>
      </c>
      <c r="F3285">
        <v>2011310</v>
      </c>
      <c r="G3285">
        <v>5267.31</v>
      </c>
    </row>
    <row r="3286" spans="1:7" x14ac:dyDescent="0.3">
      <c r="A3286" s="80">
        <v>45679</v>
      </c>
      <c r="B3286">
        <v>3010212</v>
      </c>
      <c r="C3286">
        <v>1142.02</v>
      </c>
      <c r="E3286" s="80">
        <v>45671</v>
      </c>
      <c r="F3286">
        <v>2011310</v>
      </c>
      <c r="G3286">
        <v>5267.31</v>
      </c>
    </row>
    <row r="3287" spans="1:7" x14ac:dyDescent="0.3">
      <c r="A3287" s="80">
        <v>45679</v>
      </c>
      <c r="B3287">
        <v>3010212</v>
      </c>
      <c r="C3287">
        <v>1142.02</v>
      </c>
      <c r="E3287" s="80">
        <v>45670</v>
      </c>
      <c r="F3287">
        <v>2011310</v>
      </c>
      <c r="G3287">
        <v>5457.32</v>
      </c>
    </row>
    <row r="3288" spans="1:7" x14ac:dyDescent="0.3">
      <c r="A3288" s="80">
        <v>45679</v>
      </c>
      <c r="B3288">
        <v>3010212</v>
      </c>
      <c r="C3288">
        <v>2055.64</v>
      </c>
      <c r="E3288" s="80">
        <v>45670</v>
      </c>
      <c r="F3288">
        <v>2011310</v>
      </c>
      <c r="G3288">
        <v>5425.32</v>
      </c>
    </row>
    <row r="3289" spans="1:7" x14ac:dyDescent="0.3">
      <c r="A3289" s="80">
        <v>45679</v>
      </c>
      <c r="B3289">
        <v>3010212</v>
      </c>
      <c r="C3289">
        <v>1027.82</v>
      </c>
      <c r="E3289" s="80">
        <v>45670</v>
      </c>
      <c r="F3289">
        <v>2011310</v>
      </c>
      <c r="G3289">
        <v>5106.32</v>
      </c>
    </row>
    <row r="3290" spans="1:7" x14ac:dyDescent="0.3">
      <c r="A3290" s="80">
        <v>45679</v>
      </c>
      <c r="B3290">
        <v>3010212</v>
      </c>
      <c r="C3290">
        <v>1142.02</v>
      </c>
      <c r="E3290" s="80">
        <v>45670</v>
      </c>
      <c r="F3290">
        <v>2011310</v>
      </c>
      <c r="G3290">
        <v>5106.32</v>
      </c>
    </row>
    <row r="3291" spans="1:7" x14ac:dyDescent="0.3">
      <c r="A3291" s="80">
        <v>45678</v>
      </c>
      <c r="B3291">
        <v>3010212</v>
      </c>
      <c r="C3291">
        <v>1142.02</v>
      </c>
      <c r="E3291" s="80">
        <v>45670</v>
      </c>
      <c r="F3291">
        <v>2011310</v>
      </c>
      <c r="G3291">
        <v>5106.32</v>
      </c>
    </row>
    <row r="3292" spans="1:7" x14ac:dyDescent="0.3">
      <c r="A3292" s="80">
        <v>45678</v>
      </c>
      <c r="B3292">
        <v>3010212</v>
      </c>
      <c r="C3292">
        <v>1142.02</v>
      </c>
      <c r="E3292" s="80">
        <v>45670</v>
      </c>
      <c r="F3292">
        <v>2011310</v>
      </c>
      <c r="G3292">
        <v>4914.49</v>
      </c>
    </row>
    <row r="3293" spans="1:7" x14ac:dyDescent="0.3">
      <c r="A3293" s="80">
        <v>45678</v>
      </c>
      <c r="B3293">
        <v>3010212</v>
      </c>
      <c r="C3293">
        <v>1142.02</v>
      </c>
      <c r="E3293" s="80">
        <v>45669</v>
      </c>
      <c r="F3293">
        <v>2011310</v>
      </c>
      <c r="G3293">
        <v>5267.31</v>
      </c>
    </row>
    <row r="3294" spans="1:7" x14ac:dyDescent="0.3">
      <c r="A3294" s="80">
        <v>45678</v>
      </c>
      <c r="B3294">
        <v>3010212</v>
      </c>
      <c r="C3294">
        <v>1142.02</v>
      </c>
      <c r="E3294" s="80">
        <v>45669</v>
      </c>
      <c r="F3294">
        <v>2011310</v>
      </c>
      <c r="G3294">
        <v>5585.31</v>
      </c>
    </row>
    <row r="3295" spans="1:7" x14ac:dyDescent="0.3">
      <c r="A3295" s="80">
        <v>45678</v>
      </c>
      <c r="B3295">
        <v>3010212</v>
      </c>
      <c r="C3295">
        <v>1142.02</v>
      </c>
      <c r="E3295" s="80">
        <v>45669</v>
      </c>
      <c r="F3295">
        <v>2011310</v>
      </c>
      <c r="G3295">
        <v>5585.31</v>
      </c>
    </row>
    <row r="3296" spans="1:7" x14ac:dyDescent="0.3">
      <c r="A3296" s="80">
        <v>45678</v>
      </c>
      <c r="B3296">
        <v>3010212</v>
      </c>
      <c r="C3296">
        <v>1142.02</v>
      </c>
      <c r="E3296" s="80">
        <v>45669</v>
      </c>
      <c r="F3296">
        <v>2011310</v>
      </c>
      <c r="G3296">
        <v>5840.31</v>
      </c>
    </row>
    <row r="3297" spans="1:7" x14ac:dyDescent="0.3">
      <c r="A3297" s="80">
        <v>45678</v>
      </c>
      <c r="B3297">
        <v>3010212</v>
      </c>
      <c r="C3297">
        <v>1142.02</v>
      </c>
      <c r="E3297" s="80">
        <v>45669</v>
      </c>
      <c r="F3297">
        <v>2011310</v>
      </c>
      <c r="G3297">
        <v>5585.31</v>
      </c>
    </row>
    <row r="3298" spans="1:7" x14ac:dyDescent="0.3">
      <c r="A3298" s="80">
        <v>45678</v>
      </c>
      <c r="B3298">
        <v>3010212</v>
      </c>
      <c r="C3298">
        <v>1142.02</v>
      </c>
      <c r="E3298" s="80">
        <v>45669</v>
      </c>
      <c r="F3298">
        <v>2011310</v>
      </c>
      <c r="G3298">
        <v>5936.31</v>
      </c>
    </row>
    <row r="3299" spans="1:7" x14ac:dyDescent="0.3">
      <c r="A3299" s="80">
        <v>45678</v>
      </c>
      <c r="B3299">
        <v>3010212</v>
      </c>
      <c r="C3299">
        <v>1142.02</v>
      </c>
      <c r="E3299" s="80">
        <v>45669</v>
      </c>
      <c r="F3299">
        <v>2011310</v>
      </c>
      <c r="G3299">
        <v>5585.31</v>
      </c>
    </row>
    <row r="3300" spans="1:7" x14ac:dyDescent="0.3">
      <c r="A3300" s="80">
        <v>45678</v>
      </c>
      <c r="B3300">
        <v>3010212</v>
      </c>
      <c r="C3300">
        <v>1142.02</v>
      </c>
      <c r="E3300" s="80">
        <v>45669</v>
      </c>
      <c r="F3300">
        <v>2011310</v>
      </c>
      <c r="G3300">
        <v>5585.31</v>
      </c>
    </row>
    <row r="3301" spans="1:7" x14ac:dyDescent="0.3">
      <c r="A3301" s="80">
        <v>45678</v>
      </c>
      <c r="B3301">
        <v>3010212</v>
      </c>
      <c r="C3301">
        <v>1027.82</v>
      </c>
      <c r="E3301" s="80">
        <v>45668</v>
      </c>
      <c r="F3301">
        <v>2011310</v>
      </c>
      <c r="G3301">
        <v>5106.32</v>
      </c>
    </row>
    <row r="3302" spans="1:7" x14ac:dyDescent="0.3">
      <c r="A3302" s="80">
        <v>45678</v>
      </c>
      <c r="B3302">
        <v>3010212</v>
      </c>
      <c r="C3302">
        <v>1142.02</v>
      </c>
      <c r="E3302" s="80">
        <v>45668</v>
      </c>
      <c r="F3302">
        <v>2011310</v>
      </c>
      <c r="G3302">
        <v>5553.32</v>
      </c>
    </row>
    <row r="3303" spans="1:7" x14ac:dyDescent="0.3">
      <c r="A3303" s="80">
        <v>45678</v>
      </c>
      <c r="B3303">
        <v>3010212</v>
      </c>
      <c r="C3303">
        <v>1142.02</v>
      </c>
      <c r="E3303" s="80">
        <v>45668</v>
      </c>
      <c r="F3303">
        <v>2011310</v>
      </c>
      <c r="G3303">
        <v>5489.32</v>
      </c>
    </row>
    <row r="3304" spans="1:7" x14ac:dyDescent="0.3">
      <c r="A3304" s="80">
        <v>45678</v>
      </c>
      <c r="B3304">
        <v>3010212</v>
      </c>
      <c r="C3304">
        <v>1142.02</v>
      </c>
      <c r="E3304" s="80">
        <v>45668</v>
      </c>
      <c r="F3304">
        <v>2011310</v>
      </c>
      <c r="G3304">
        <v>5361.32</v>
      </c>
    </row>
    <row r="3305" spans="1:7" x14ac:dyDescent="0.3">
      <c r="A3305" s="80">
        <v>45677</v>
      </c>
      <c r="B3305">
        <v>3010212</v>
      </c>
      <c r="C3305">
        <v>1142.02</v>
      </c>
      <c r="E3305" s="80">
        <v>45668</v>
      </c>
      <c r="F3305">
        <v>2011310</v>
      </c>
      <c r="G3305">
        <v>5510.32</v>
      </c>
    </row>
    <row r="3306" spans="1:7" x14ac:dyDescent="0.3">
      <c r="A3306" s="80">
        <v>45677</v>
      </c>
      <c r="B3306">
        <v>3010212</v>
      </c>
      <c r="C3306">
        <v>1142.02</v>
      </c>
      <c r="E3306" s="80">
        <v>45668</v>
      </c>
      <c r="F3306">
        <v>2011310</v>
      </c>
      <c r="G3306">
        <v>5106.32</v>
      </c>
    </row>
    <row r="3307" spans="1:7" x14ac:dyDescent="0.3">
      <c r="A3307" s="80">
        <v>45677</v>
      </c>
      <c r="B3307">
        <v>3010212</v>
      </c>
      <c r="C3307">
        <v>1142.02</v>
      </c>
      <c r="E3307" s="80">
        <v>45668</v>
      </c>
      <c r="F3307">
        <v>2011310</v>
      </c>
      <c r="G3307">
        <v>5106.32</v>
      </c>
    </row>
    <row r="3308" spans="1:7" x14ac:dyDescent="0.3">
      <c r="A3308" s="80">
        <v>45677</v>
      </c>
      <c r="B3308">
        <v>3010212</v>
      </c>
      <c r="C3308">
        <v>1256.26</v>
      </c>
      <c r="E3308" s="80">
        <v>45668</v>
      </c>
      <c r="F3308">
        <v>2011310</v>
      </c>
      <c r="G3308">
        <v>4788.32</v>
      </c>
    </row>
    <row r="3309" spans="1:7" x14ac:dyDescent="0.3">
      <c r="A3309" s="80">
        <v>45677</v>
      </c>
      <c r="B3309">
        <v>3010212</v>
      </c>
      <c r="C3309">
        <v>1142.02</v>
      </c>
      <c r="E3309" s="80">
        <v>45668</v>
      </c>
      <c r="F3309">
        <v>2011310</v>
      </c>
      <c r="G3309">
        <v>4788.32</v>
      </c>
    </row>
    <row r="3310" spans="1:7" x14ac:dyDescent="0.3">
      <c r="A3310" s="80">
        <v>45677</v>
      </c>
      <c r="B3310">
        <v>3010212</v>
      </c>
      <c r="C3310">
        <v>1142.02</v>
      </c>
      <c r="E3310" s="80">
        <v>45668</v>
      </c>
      <c r="F3310">
        <v>2011310</v>
      </c>
      <c r="G3310">
        <v>5106.32</v>
      </c>
    </row>
    <row r="3311" spans="1:7" x14ac:dyDescent="0.3">
      <c r="A3311" s="80">
        <v>45676</v>
      </c>
      <c r="B3311">
        <v>3010212</v>
      </c>
      <c r="C3311">
        <v>1142.02</v>
      </c>
      <c r="E3311" s="80">
        <v>45668</v>
      </c>
      <c r="F3311">
        <v>2011310</v>
      </c>
      <c r="G3311">
        <v>5106.32</v>
      </c>
    </row>
    <row r="3312" spans="1:7" x14ac:dyDescent="0.3">
      <c r="A3312" s="80">
        <v>45676</v>
      </c>
      <c r="B3312">
        <v>3010212</v>
      </c>
      <c r="C3312">
        <v>1142.02</v>
      </c>
      <c r="E3312" s="80">
        <v>45668</v>
      </c>
      <c r="F3312">
        <v>2011310</v>
      </c>
      <c r="G3312">
        <v>5106.32</v>
      </c>
    </row>
    <row r="3313" spans="1:7" x14ac:dyDescent="0.3">
      <c r="A3313" s="80">
        <v>45676</v>
      </c>
      <c r="B3313">
        <v>3010212</v>
      </c>
      <c r="C3313">
        <v>1256.26</v>
      </c>
      <c r="E3313" s="80">
        <v>45668</v>
      </c>
      <c r="F3313">
        <v>2011310</v>
      </c>
      <c r="G3313">
        <v>5106.32</v>
      </c>
    </row>
    <row r="3314" spans="1:7" x14ac:dyDescent="0.3">
      <c r="A3314" s="80">
        <v>45676</v>
      </c>
      <c r="B3314">
        <v>3010212</v>
      </c>
      <c r="C3314">
        <v>1142.02</v>
      </c>
      <c r="E3314" s="80">
        <v>45668</v>
      </c>
      <c r="F3314">
        <v>2011310</v>
      </c>
      <c r="G3314">
        <v>4788.32</v>
      </c>
    </row>
    <row r="3315" spans="1:7" x14ac:dyDescent="0.3">
      <c r="A3315" s="80">
        <v>45676</v>
      </c>
      <c r="B3315">
        <v>3010212</v>
      </c>
      <c r="C3315">
        <v>1142.02</v>
      </c>
      <c r="E3315" s="80">
        <v>45668</v>
      </c>
      <c r="F3315">
        <v>2011310</v>
      </c>
      <c r="G3315">
        <v>5361.32</v>
      </c>
    </row>
    <row r="3316" spans="1:7" x14ac:dyDescent="0.3">
      <c r="A3316" s="80">
        <v>45676</v>
      </c>
      <c r="B3316">
        <v>3010212</v>
      </c>
      <c r="C3316">
        <v>1142.02</v>
      </c>
      <c r="E3316" s="80">
        <v>45667</v>
      </c>
      <c r="F3316">
        <v>2011310</v>
      </c>
      <c r="G3316">
        <v>5425.32</v>
      </c>
    </row>
    <row r="3317" spans="1:7" x14ac:dyDescent="0.3">
      <c r="A3317" s="80">
        <v>45676</v>
      </c>
      <c r="B3317">
        <v>3010212</v>
      </c>
      <c r="C3317">
        <v>1142.02</v>
      </c>
      <c r="E3317" s="80">
        <v>45667</v>
      </c>
      <c r="F3317">
        <v>2011310</v>
      </c>
      <c r="G3317">
        <v>5106.32</v>
      </c>
    </row>
    <row r="3318" spans="1:7" x14ac:dyDescent="0.3">
      <c r="A3318" s="80">
        <v>45676</v>
      </c>
      <c r="B3318">
        <v>3010212</v>
      </c>
      <c r="C3318">
        <v>1142.02</v>
      </c>
      <c r="E3318" s="80">
        <v>45667</v>
      </c>
      <c r="F3318">
        <v>2011310</v>
      </c>
      <c r="G3318">
        <v>5106.32</v>
      </c>
    </row>
    <row r="3319" spans="1:7" x14ac:dyDescent="0.3">
      <c r="A3319" s="80">
        <v>45676</v>
      </c>
      <c r="B3319">
        <v>3010212</v>
      </c>
      <c r="C3319">
        <v>1142.02</v>
      </c>
      <c r="E3319" s="80">
        <v>45667</v>
      </c>
      <c r="F3319">
        <v>2011310</v>
      </c>
      <c r="G3319">
        <v>4788.32</v>
      </c>
    </row>
    <row r="3320" spans="1:7" x14ac:dyDescent="0.3">
      <c r="A3320" s="80">
        <v>45676</v>
      </c>
      <c r="B3320">
        <v>3010212</v>
      </c>
      <c r="C3320">
        <v>1142.02</v>
      </c>
      <c r="E3320" s="80">
        <v>45667</v>
      </c>
      <c r="F3320">
        <v>2011310</v>
      </c>
      <c r="G3320">
        <v>4788.32</v>
      </c>
    </row>
    <row r="3321" spans="1:7" x14ac:dyDescent="0.3">
      <c r="A3321" s="80">
        <v>45676</v>
      </c>
      <c r="B3321">
        <v>3010212</v>
      </c>
      <c r="C3321">
        <v>1142.02</v>
      </c>
      <c r="E3321" s="80">
        <v>45667</v>
      </c>
      <c r="F3321">
        <v>2011310</v>
      </c>
      <c r="G3321">
        <v>5106.32</v>
      </c>
    </row>
    <row r="3322" spans="1:7" x14ac:dyDescent="0.3">
      <c r="A3322" s="80">
        <v>45676</v>
      </c>
      <c r="B3322">
        <v>3010212</v>
      </c>
      <c r="C3322">
        <v>380.42</v>
      </c>
      <c r="E3322" s="80">
        <v>45667</v>
      </c>
      <c r="F3322">
        <v>2011310</v>
      </c>
      <c r="G3322">
        <v>5505.32</v>
      </c>
    </row>
    <row r="3323" spans="1:7" x14ac:dyDescent="0.3">
      <c r="A3323" s="80">
        <v>45676</v>
      </c>
      <c r="B3323">
        <v>3010212</v>
      </c>
      <c r="C3323">
        <v>1142.02</v>
      </c>
      <c r="E3323" s="80">
        <v>45667</v>
      </c>
      <c r="F3323">
        <v>2011310</v>
      </c>
      <c r="G3323">
        <v>4788.32</v>
      </c>
    </row>
    <row r="3324" spans="1:7" x14ac:dyDescent="0.3">
      <c r="A3324" s="80">
        <v>45676</v>
      </c>
      <c r="B3324">
        <v>3010212</v>
      </c>
      <c r="C3324">
        <v>1142.02</v>
      </c>
      <c r="E3324" s="80">
        <v>45667</v>
      </c>
      <c r="F3324">
        <v>2011310</v>
      </c>
      <c r="G3324">
        <v>4788.32</v>
      </c>
    </row>
    <row r="3325" spans="1:7" x14ac:dyDescent="0.3">
      <c r="A3325" s="80">
        <v>45676</v>
      </c>
      <c r="B3325">
        <v>3010212</v>
      </c>
      <c r="C3325">
        <v>1142.02</v>
      </c>
      <c r="E3325" s="80">
        <v>45667</v>
      </c>
      <c r="F3325">
        <v>2011310</v>
      </c>
      <c r="G3325">
        <v>5106.32</v>
      </c>
    </row>
    <row r="3326" spans="1:7" x14ac:dyDescent="0.3">
      <c r="A3326" s="80">
        <v>45676</v>
      </c>
      <c r="B3326">
        <v>3010212</v>
      </c>
      <c r="C3326">
        <v>1142.02</v>
      </c>
      <c r="E3326" s="80">
        <v>45667</v>
      </c>
      <c r="F3326">
        <v>2011310</v>
      </c>
      <c r="G3326">
        <v>4788.32</v>
      </c>
    </row>
    <row r="3327" spans="1:7" x14ac:dyDescent="0.3">
      <c r="A3327" s="80">
        <v>45676</v>
      </c>
      <c r="B3327">
        <v>3010212</v>
      </c>
      <c r="C3327">
        <v>1142.02</v>
      </c>
      <c r="E3327" s="80">
        <v>45667</v>
      </c>
      <c r="F3327">
        <v>2011310</v>
      </c>
      <c r="G3327">
        <v>4788.32</v>
      </c>
    </row>
    <row r="3328" spans="1:7" x14ac:dyDescent="0.3">
      <c r="A3328" s="80">
        <v>45676</v>
      </c>
      <c r="B3328">
        <v>3010212</v>
      </c>
      <c r="C3328">
        <v>380.42</v>
      </c>
      <c r="E3328" s="80">
        <v>45667</v>
      </c>
      <c r="F3328">
        <v>2011310</v>
      </c>
      <c r="G3328">
        <v>5106.32</v>
      </c>
    </row>
    <row r="3329" spans="1:7" x14ac:dyDescent="0.3">
      <c r="A3329" s="80">
        <v>45675</v>
      </c>
      <c r="B3329">
        <v>3010212</v>
      </c>
      <c r="C3329">
        <v>1142.02</v>
      </c>
      <c r="E3329" s="80">
        <v>45667</v>
      </c>
      <c r="F3329">
        <v>2011310</v>
      </c>
      <c r="G3329">
        <v>5106.32</v>
      </c>
    </row>
    <row r="3330" spans="1:7" x14ac:dyDescent="0.3">
      <c r="A3330" s="80">
        <v>45675</v>
      </c>
      <c r="B3330">
        <v>3010212</v>
      </c>
      <c r="C3330">
        <v>1142.02</v>
      </c>
      <c r="E3330" s="80">
        <v>45667</v>
      </c>
      <c r="F3330">
        <v>2011310</v>
      </c>
      <c r="G3330">
        <v>4788.32</v>
      </c>
    </row>
    <row r="3331" spans="1:7" x14ac:dyDescent="0.3">
      <c r="A3331" s="80">
        <v>45675</v>
      </c>
      <c r="B3331">
        <v>3010212</v>
      </c>
      <c r="C3331">
        <v>1142.02</v>
      </c>
      <c r="E3331" s="80">
        <v>45666</v>
      </c>
      <c r="F3331">
        <v>2011310</v>
      </c>
      <c r="G3331">
        <v>4788.32</v>
      </c>
    </row>
    <row r="3332" spans="1:7" x14ac:dyDescent="0.3">
      <c r="A3332" s="80">
        <v>45675</v>
      </c>
      <c r="B3332">
        <v>3010212</v>
      </c>
      <c r="C3332">
        <v>1256.26</v>
      </c>
      <c r="E3332" s="80">
        <v>45666</v>
      </c>
      <c r="F3332">
        <v>2011310</v>
      </c>
      <c r="G3332">
        <v>5106.32</v>
      </c>
    </row>
    <row r="3333" spans="1:7" x14ac:dyDescent="0.3">
      <c r="A3333" s="80">
        <v>45675</v>
      </c>
      <c r="B3333">
        <v>3010212</v>
      </c>
      <c r="C3333">
        <v>1027.82</v>
      </c>
      <c r="E3333" s="80">
        <v>45666</v>
      </c>
      <c r="F3333">
        <v>2011310</v>
      </c>
      <c r="G3333">
        <v>5106.32</v>
      </c>
    </row>
    <row r="3334" spans="1:7" x14ac:dyDescent="0.3">
      <c r="A3334" s="80">
        <v>45675</v>
      </c>
      <c r="B3334">
        <v>3010212</v>
      </c>
      <c r="C3334">
        <v>1142.02</v>
      </c>
      <c r="E3334" s="80">
        <v>45666</v>
      </c>
      <c r="F3334">
        <v>2011310</v>
      </c>
      <c r="G3334">
        <v>5106.32</v>
      </c>
    </row>
    <row r="3335" spans="1:7" x14ac:dyDescent="0.3">
      <c r="A3335" s="80">
        <v>45675</v>
      </c>
      <c r="B3335">
        <v>3010212</v>
      </c>
      <c r="C3335">
        <v>1142.02</v>
      </c>
      <c r="E3335" s="80">
        <v>45666</v>
      </c>
      <c r="F3335">
        <v>2011310</v>
      </c>
      <c r="G3335">
        <v>5106.32</v>
      </c>
    </row>
    <row r="3336" spans="1:7" x14ac:dyDescent="0.3">
      <c r="A3336" s="80">
        <v>45675</v>
      </c>
      <c r="B3336">
        <v>3010212</v>
      </c>
      <c r="C3336">
        <v>1142.02</v>
      </c>
      <c r="E3336" s="80">
        <v>45666</v>
      </c>
      <c r="F3336">
        <v>2011310</v>
      </c>
      <c r="G3336">
        <v>5665.32</v>
      </c>
    </row>
    <row r="3337" spans="1:7" x14ac:dyDescent="0.3">
      <c r="A3337" s="80">
        <v>45675</v>
      </c>
      <c r="B3337">
        <v>3010212</v>
      </c>
      <c r="C3337">
        <v>1027.82</v>
      </c>
      <c r="E3337" s="80">
        <v>45666</v>
      </c>
      <c r="F3337">
        <v>2011310</v>
      </c>
      <c r="G3337">
        <v>5489.32</v>
      </c>
    </row>
    <row r="3338" spans="1:7" x14ac:dyDescent="0.3">
      <c r="A3338" s="80">
        <v>45675</v>
      </c>
      <c r="B3338">
        <v>3010212</v>
      </c>
      <c r="C3338">
        <v>1142.02</v>
      </c>
      <c r="E3338" s="80">
        <v>45666</v>
      </c>
      <c r="F3338">
        <v>2011310</v>
      </c>
      <c r="G3338">
        <v>5106.32</v>
      </c>
    </row>
    <row r="3339" spans="1:7" x14ac:dyDescent="0.3">
      <c r="A3339" s="80">
        <v>45675</v>
      </c>
      <c r="B3339">
        <v>3010212</v>
      </c>
      <c r="C3339">
        <v>1142.02</v>
      </c>
      <c r="E3339" s="80">
        <v>45666</v>
      </c>
      <c r="F3339">
        <v>2011310</v>
      </c>
      <c r="G3339">
        <v>4788.32</v>
      </c>
    </row>
    <row r="3340" spans="1:7" x14ac:dyDescent="0.3">
      <c r="A3340" s="80">
        <v>45674</v>
      </c>
      <c r="B3340">
        <v>3010212</v>
      </c>
      <c r="C3340">
        <v>1027.82</v>
      </c>
      <c r="E3340" s="80">
        <v>45666</v>
      </c>
      <c r="F3340">
        <v>2011310</v>
      </c>
      <c r="G3340">
        <v>5553.32</v>
      </c>
    </row>
    <row r="3341" spans="1:7" x14ac:dyDescent="0.3">
      <c r="A3341" s="80">
        <v>45674</v>
      </c>
      <c r="B3341">
        <v>3010212</v>
      </c>
      <c r="C3341">
        <v>1256.26</v>
      </c>
      <c r="E3341" s="80">
        <v>45666</v>
      </c>
      <c r="F3341">
        <v>2011310</v>
      </c>
      <c r="G3341">
        <v>5106.32</v>
      </c>
    </row>
    <row r="3342" spans="1:7" x14ac:dyDescent="0.3">
      <c r="A3342" s="80">
        <v>45674</v>
      </c>
      <c r="B3342">
        <v>3010212</v>
      </c>
      <c r="C3342">
        <v>1142.02</v>
      </c>
      <c r="E3342" s="80">
        <v>45666</v>
      </c>
      <c r="F3342">
        <v>2011310</v>
      </c>
      <c r="G3342">
        <v>5393.32</v>
      </c>
    </row>
    <row r="3343" spans="1:7" x14ac:dyDescent="0.3">
      <c r="A3343" s="80">
        <v>45674</v>
      </c>
      <c r="B3343">
        <v>3010212</v>
      </c>
      <c r="C3343">
        <v>1142.02</v>
      </c>
      <c r="E3343" s="80">
        <v>45666</v>
      </c>
      <c r="F3343">
        <v>2011310</v>
      </c>
      <c r="G3343">
        <v>5106.32</v>
      </c>
    </row>
    <row r="3344" spans="1:7" x14ac:dyDescent="0.3">
      <c r="A3344" s="80">
        <v>45674</v>
      </c>
      <c r="B3344">
        <v>3010212</v>
      </c>
      <c r="C3344">
        <v>1027.82</v>
      </c>
      <c r="E3344" s="80">
        <v>45666</v>
      </c>
      <c r="F3344">
        <v>2011310</v>
      </c>
      <c r="G3344">
        <v>4788.32</v>
      </c>
    </row>
    <row r="3345" spans="1:7" x14ac:dyDescent="0.3">
      <c r="A3345" s="80">
        <v>45674</v>
      </c>
      <c r="B3345">
        <v>3010212</v>
      </c>
      <c r="C3345">
        <v>1142.02</v>
      </c>
      <c r="E3345" s="80">
        <v>45666</v>
      </c>
      <c r="F3345">
        <v>2011310</v>
      </c>
      <c r="G3345">
        <v>4788.32</v>
      </c>
    </row>
    <row r="3346" spans="1:7" x14ac:dyDescent="0.3">
      <c r="A3346" s="80">
        <v>45674</v>
      </c>
      <c r="B3346">
        <v>3010212</v>
      </c>
      <c r="C3346">
        <v>1027.82</v>
      </c>
      <c r="E3346" s="80">
        <v>45666</v>
      </c>
      <c r="F3346">
        <v>2011310</v>
      </c>
      <c r="G3346">
        <v>4788.32</v>
      </c>
    </row>
    <row r="3347" spans="1:7" x14ac:dyDescent="0.3">
      <c r="A3347" s="80">
        <v>45674</v>
      </c>
      <c r="B3347">
        <v>3010212</v>
      </c>
      <c r="C3347">
        <v>1142.02</v>
      </c>
      <c r="E3347" s="80">
        <v>45666</v>
      </c>
      <c r="F3347">
        <v>2011310</v>
      </c>
      <c r="G3347">
        <v>4788.32</v>
      </c>
    </row>
    <row r="3348" spans="1:7" x14ac:dyDescent="0.3">
      <c r="A3348" s="80">
        <v>45674</v>
      </c>
      <c r="B3348">
        <v>3010212</v>
      </c>
      <c r="C3348">
        <v>1142.02</v>
      </c>
      <c r="E3348" s="80">
        <v>45666</v>
      </c>
      <c r="F3348">
        <v>2011310</v>
      </c>
      <c r="G3348">
        <v>5106.32</v>
      </c>
    </row>
    <row r="3349" spans="1:7" x14ac:dyDescent="0.3">
      <c r="A3349" s="80">
        <v>45674</v>
      </c>
      <c r="B3349">
        <v>3010212</v>
      </c>
      <c r="C3349">
        <v>380.42</v>
      </c>
      <c r="E3349" s="80">
        <v>45665</v>
      </c>
      <c r="F3349">
        <v>2011310</v>
      </c>
      <c r="G3349">
        <v>5106.32</v>
      </c>
    </row>
    <row r="3350" spans="1:7" x14ac:dyDescent="0.3">
      <c r="A3350" s="80">
        <v>45674</v>
      </c>
      <c r="B3350">
        <v>3010212</v>
      </c>
      <c r="C3350">
        <v>1142.02</v>
      </c>
      <c r="E3350" s="80">
        <v>45665</v>
      </c>
      <c r="F3350">
        <v>2011310</v>
      </c>
      <c r="G3350">
        <v>5106.32</v>
      </c>
    </row>
    <row r="3351" spans="1:7" x14ac:dyDescent="0.3">
      <c r="A3351" s="80">
        <v>45673</v>
      </c>
      <c r="B3351">
        <v>3010212</v>
      </c>
      <c r="C3351">
        <v>1142.02</v>
      </c>
      <c r="E3351" s="80">
        <v>45665</v>
      </c>
      <c r="F3351">
        <v>2011310</v>
      </c>
      <c r="G3351">
        <v>5106.32</v>
      </c>
    </row>
    <row r="3352" spans="1:7" x14ac:dyDescent="0.3">
      <c r="A3352" s="80">
        <v>45673</v>
      </c>
      <c r="B3352">
        <v>3010212</v>
      </c>
      <c r="C3352">
        <v>1142.02</v>
      </c>
      <c r="E3352" s="80">
        <v>45665</v>
      </c>
      <c r="F3352">
        <v>2011310</v>
      </c>
      <c r="G3352">
        <v>4788.32</v>
      </c>
    </row>
    <row r="3353" spans="1:7" x14ac:dyDescent="0.3">
      <c r="A3353" s="80">
        <v>45673</v>
      </c>
      <c r="B3353">
        <v>3010212</v>
      </c>
      <c r="C3353">
        <v>1142.02</v>
      </c>
      <c r="E3353" s="80">
        <v>45665</v>
      </c>
      <c r="F3353">
        <v>2011310</v>
      </c>
      <c r="G3353">
        <v>4788.32</v>
      </c>
    </row>
    <row r="3354" spans="1:7" x14ac:dyDescent="0.3">
      <c r="A3354" s="80">
        <v>45673</v>
      </c>
      <c r="B3354">
        <v>3010212</v>
      </c>
      <c r="C3354">
        <v>1142.02</v>
      </c>
      <c r="E3354" s="80">
        <v>45665</v>
      </c>
      <c r="F3354">
        <v>2011310</v>
      </c>
      <c r="G3354">
        <v>5393.32</v>
      </c>
    </row>
    <row r="3355" spans="1:7" x14ac:dyDescent="0.3">
      <c r="A3355" s="80">
        <v>45673</v>
      </c>
      <c r="B3355">
        <v>3010212</v>
      </c>
      <c r="C3355">
        <v>1142.02</v>
      </c>
      <c r="E3355" s="80">
        <v>45665</v>
      </c>
      <c r="F3355">
        <v>2011310</v>
      </c>
      <c r="G3355">
        <v>4788.32</v>
      </c>
    </row>
    <row r="3356" spans="1:7" x14ac:dyDescent="0.3">
      <c r="A3356" s="80">
        <v>45673</v>
      </c>
      <c r="B3356">
        <v>3010212</v>
      </c>
      <c r="C3356">
        <v>1256.26</v>
      </c>
      <c r="E3356" s="80">
        <v>45665</v>
      </c>
      <c r="F3356">
        <v>2011310</v>
      </c>
      <c r="G3356">
        <v>5457.32</v>
      </c>
    </row>
    <row r="3357" spans="1:7" x14ac:dyDescent="0.3">
      <c r="A3357" s="80">
        <v>45672</v>
      </c>
      <c r="B3357">
        <v>3010212</v>
      </c>
      <c r="C3357">
        <v>1027.82</v>
      </c>
      <c r="E3357" s="80">
        <v>45665</v>
      </c>
      <c r="F3357">
        <v>2011310</v>
      </c>
      <c r="G3357">
        <v>5106.32</v>
      </c>
    </row>
    <row r="3358" spans="1:7" x14ac:dyDescent="0.3">
      <c r="A3358" s="80">
        <v>45672</v>
      </c>
      <c r="B3358">
        <v>3010212</v>
      </c>
      <c r="C3358">
        <v>1142.02</v>
      </c>
      <c r="E3358" s="80">
        <v>45665</v>
      </c>
      <c r="F3358">
        <v>2011310</v>
      </c>
      <c r="G3358">
        <v>5457.32</v>
      </c>
    </row>
    <row r="3359" spans="1:7" x14ac:dyDescent="0.3">
      <c r="A3359" s="80">
        <v>45672</v>
      </c>
      <c r="B3359">
        <v>3010212</v>
      </c>
      <c r="C3359">
        <v>1142.02</v>
      </c>
      <c r="E3359" s="80">
        <v>45665</v>
      </c>
      <c r="F3359">
        <v>2011310</v>
      </c>
      <c r="G3359">
        <v>4788.32</v>
      </c>
    </row>
    <row r="3360" spans="1:7" x14ac:dyDescent="0.3">
      <c r="A3360" s="80">
        <v>45672</v>
      </c>
      <c r="B3360">
        <v>3010212</v>
      </c>
      <c r="C3360">
        <v>1142.02</v>
      </c>
      <c r="E3360" s="80">
        <v>45665</v>
      </c>
      <c r="F3360">
        <v>2011310</v>
      </c>
      <c r="G3360">
        <v>5106.32</v>
      </c>
    </row>
    <row r="3361" spans="1:7" x14ac:dyDescent="0.3">
      <c r="A3361" s="80">
        <v>45672</v>
      </c>
      <c r="B3361">
        <v>3010212</v>
      </c>
      <c r="C3361">
        <v>1142.02</v>
      </c>
      <c r="E3361" s="80">
        <v>45665</v>
      </c>
      <c r="F3361">
        <v>2011310</v>
      </c>
      <c r="G3361">
        <v>5425.32</v>
      </c>
    </row>
    <row r="3362" spans="1:7" x14ac:dyDescent="0.3">
      <c r="A3362" s="80">
        <v>45672</v>
      </c>
      <c r="B3362">
        <v>3010212</v>
      </c>
      <c r="C3362">
        <v>1142.02</v>
      </c>
      <c r="E3362" s="80">
        <v>45665</v>
      </c>
      <c r="F3362">
        <v>2011310</v>
      </c>
      <c r="G3362">
        <v>5106.32</v>
      </c>
    </row>
    <row r="3363" spans="1:7" x14ac:dyDescent="0.3">
      <c r="A3363" s="80">
        <v>45672</v>
      </c>
      <c r="B3363">
        <v>3010212</v>
      </c>
      <c r="C3363">
        <v>1142.02</v>
      </c>
      <c r="E3363" s="80">
        <v>45665</v>
      </c>
      <c r="F3363">
        <v>2011310</v>
      </c>
      <c r="G3363">
        <v>5106.32</v>
      </c>
    </row>
    <row r="3364" spans="1:7" x14ac:dyDescent="0.3">
      <c r="A3364" s="80">
        <v>45672</v>
      </c>
      <c r="B3364">
        <v>3010212</v>
      </c>
      <c r="C3364">
        <v>1142.02</v>
      </c>
      <c r="E3364" s="80">
        <v>45665</v>
      </c>
      <c r="F3364">
        <v>2011310</v>
      </c>
      <c r="G3364">
        <v>4788.32</v>
      </c>
    </row>
    <row r="3365" spans="1:7" x14ac:dyDescent="0.3">
      <c r="A3365" s="80">
        <v>45672</v>
      </c>
      <c r="B3365">
        <v>3010212</v>
      </c>
      <c r="C3365">
        <v>1142.02</v>
      </c>
      <c r="E3365" s="80">
        <v>45665</v>
      </c>
      <c r="F3365">
        <v>2011310</v>
      </c>
      <c r="G3365">
        <v>5106.32</v>
      </c>
    </row>
    <row r="3366" spans="1:7" x14ac:dyDescent="0.3">
      <c r="A3366" s="80">
        <v>45672</v>
      </c>
      <c r="B3366">
        <v>3010212</v>
      </c>
      <c r="C3366">
        <v>1142.02</v>
      </c>
      <c r="E3366" s="80">
        <v>45665</v>
      </c>
      <c r="F3366">
        <v>2011310</v>
      </c>
      <c r="G3366">
        <v>5106.32</v>
      </c>
    </row>
    <row r="3367" spans="1:7" x14ac:dyDescent="0.3">
      <c r="A3367" s="80">
        <v>45672</v>
      </c>
      <c r="B3367">
        <v>3010212</v>
      </c>
      <c r="C3367">
        <v>1142.02</v>
      </c>
      <c r="E3367" s="80">
        <v>45665</v>
      </c>
      <c r="F3367">
        <v>2011310</v>
      </c>
      <c r="G3367">
        <v>5872.32</v>
      </c>
    </row>
    <row r="3368" spans="1:7" x14ac:dyDescent="0.3">
      <c r="A3368" s="80">
        <v>45672</v>
      </c>
      <c r="B3368">
        <v>3010212</v>
      </c>
      <c r="C3368">
        <v>1142.02</v>
      </c>
      <c r="E3368" s="80">
        <v>45665</v>
      </c>
      <c r="F3368">
        <v>2011310</v>
      </c>
      <c r="G3368">
        <v>5457.32</v>
      </c>
    </row>
    <row r="3369" spans="1:7" x14ac:dyDescent="0.3">
      <c r="A3369" s="80">
        <v>45672</v>
      </c>
      <c r="B3369">
        <v>3010212</v>
      </c>
      <c r="C3369">
        <v>1142.02</v>
      </c>
      <c r="E3369" s="80">
        <v>45665</v>
      </c>
      <c r="F3369">
        <v>2011310</v>
      </c>
      <c r="G3369">
        <v>5106.32</v>
      </c>
    </row>
    <row r="3370" spans="1:7" x14ac:dyDescent="0.3">
      <c r="A3370" s="80">
        <v>45671</v>
      </c>
      <c r="B3370">
        <v>3010212</v>
      </c>
      <c r="C3370">
        <v>1142.02</v>
      </c>
      <c r="E3370" s="80">
        <v>45665</v>
      </c>
      <c r="F3370">
        <v>2011310</v>
      </c>
      <c r="G3370">
        <v>5106.32</v>
      </c>
    </row>
    <row r="3371" spans="1:7" x14ac:dyDescent="0.3">
      <c r="A3371" s="80">
        <v>45671</v>
      </c>
      <c r="B3371">
        <v>3010212</v>
      </c>
      <c r="C3371">
        <v>1142.02</v>
      </c>
      <c r="E3371" s="80">
        <v>45665</v>
      </c>
      <c r="F3371">
        <v>2011310</v>
      </c>
      <c r="G3371">
        <v>5106.32</v>
      </c>
    </row>
    <row r="3372" spans="1:7" x14ac:dyDescent="0.3">
      <c r="A3372" s="80">
        <v>45671</v>
      </c>
      <c r="B3372">
        <v>3010212</v>
      </c>
      <c r="C3372">
        <v>1142.02</v>
      </c>
      <c r="E3372" s="80">
        <v>45665</v>
      </c>
      <c r="F3372">
        <v>2011310</v>
      </c>
      <c r="G3372">
        <v>5106.32</v>
      </c>
    </row>
    <row r="3373" spans="1:7" x14ac:dyDescent="0.3">
      <c r="A3373" s="80">
        <v>45671</v>
      </c>
      <c r="B3373">
        <v>3010212</v>
      </c>
      <c r="C3373">
        <v>1142.02</v>
      </c>
      <c r="E3373" s="80">
        <v>45664</v>
      </c>
      <c r="F3373">
        <v>2011310</v>
      </c>
      <c r="G3373">
        <v>5510.32</v>
      </c>
    </row>
    <row r="3374" spans="1:7" x14ac:dyDescent="0.3">
      <c r="A3374" s="80">
        <v>45671</v>
      </c>
      <c r="B3374">
        <v>3010212</v>
      </c>
      <c r="C3374">
        <v>380.42</v>
      </c>
      <c r="E3374" s="80">
        <v>45664</v>
      </c>
      <c r="F3374">
        <v>2011310</v>
      </c>
      <c r="G3374">
        <v>5425.32</v>
      </c>
    </row>
    <row r="3375" spans="1:7" x14ac:dyDescent="0.3">
      <c r="A3375" s="80">
        <v>45671</v>
      </c>
      <c r="B3375">
        <v>3010212</v>
      </c>
      <c r="C3375">
        <v>1142.02</v>
      </c>
      <c r="E3375" s="80">
        <v>45664</v>
      </c>
      <c r="F3375">
        <v>2011310</v>
      </c>
      <c r="G3375">
        <v>5425.32</v>
      </c>
    </row>
    <row r="3376" spans="1:7" x14ac:dyDescent="0.3">
      <c r="A3376" s="80">
        <v>45671</v>
      </c>
      <c r="B3376">
        <v>3010212</v>
      </c>
      <c r="C3376">
        <v>1142.02</v>
      </c>
      <c r="E3376" s="80">
        <v>45664</v>
      </c>
      <c r="F3376">
        <v>2011310</v>
      </c>
      <c r="G3376">
        <v>5393.32</v>
      </c>
    </row>
    <row r="3377" spans="1:7" x14ac:dyDescent="0.3">
      <c r="A3377" s="80">
        <v>45671</v>
      </c>
      <c r="B3377">
        <v>3010212</v>
      </c>
      <c r="C3377">
        <v>1256.26</v>
      </c>
      <c r="E3377" s="80">
        <v>45664</v>
      </c>
      <c r="F3377">
        <v>2011310</v>
      </c>
      <c r="G3377">
        <v>5665.32</v>
      </c>
    </row>
    <row r="3378" spans="1:7" x14ac:dyDescent="0.3">
      <c r="A3378" s="80">
        <v>45671</v>
      </c>
      <c r="B3378">
        <v>3010212</v>
      </c>
      <c r="C3378">
        <v>1256.26</v>
      </c>
      <c r="E3378" s="80">
        <v>45664</v>
      </c>
      <c r="F3378">
        <v>2011310</v>
      </c>
      <c r="G3378">
        <v>5457.32</v>
      </c>
    </row>
    <row r="3379" spans="1:7" x14ac:dyDescent="0.3">
      <c r="A3379" s="80">
        <v>45670</v>
      </c>
      <c r="B3379">
        <v>3010212</v>
      </c>
      <c r="C3379">
        <v>1142.02</v>
      </c>
      <c r="E3379" s="80">
        <v>45664</v>
      </c>
      <c r="F3379">
        <v>2011310</v>
      </c>
      <c r="G3379">
        <v>4788.32</v>
      </c>
    </row>
    <row r="3380" spans="1:7" x14ac:dyDescent="0.3">
      <c r="A3380" s="80">
        <v>45670</v>
      </c>
      <c r="B3380">
        <v>3010212</v>
      </c>
      <c r="C3380">
        <v>1142.02</v>
      </c>
      <c r="E3380" s="80">
        <v>45664</v>
      </c>
      <c r="F3380">
        <v>2011310</v>
      </c>
      <c r="G3380">
        <v>9576.64</v>
      </c>
    </row>
    <row r="3381" spans="1:7" x14ac:dyDescent="0.3">
      <c r="A3381" s="80">
        <v>45670</v>
      </c>
      <c r="B3381">
        <v>3010212</v>
      </c>
      <c r="C3381">
        <v>1142.02</v>
      </c>
      <c r="E3381" s="80">
        <v>45664</v>
      </c>
      <c r="F3381">
        <v>2011310</v>
      </c>
      <c r="G3381">
        <v>9576.64</v>
      </c>
    </row>
    <row r="3382" spans="1:7" x14ac:dyDescent="0.3">
      <c r="A3382" s="80">
        <v>45670</v>
      </c>
      <c r="B3382">
        <v>3010212</v>
      </c>
      <c r="C3382">
        <v>1142.02</v>
      </c>
      <c r="E3382" s="80">
        <v>45664</v>
      </c>
      <c r="F3382">
        <v>2011310</v>
      </c>
      <c r="G3382">
        <v>5106.32</v>
      </c>
    </row>
    <row r="3383" spans="1:7" x14ac:dyDescent="0.3">
      <c r="A3383" s="80">
        <v>45670</v>
      </c>
      <c r="B3383">
        <v>3010212</v>
      </c>
      <c r="C3383">
        <v>1142.02</v>
      </c>
      <c r="E3383" s="80">
        <v>45664</v>
      </c>
      <c r="F3383">
        <v>2011310</v>
      </c>
      <c r="G3383">
        <v>5106.32</v>
      </c>
    </row>
    <row r="3384" spans="1:7" x14ac:dyDescent="0.3">
      <c r="A3384" s="80">
        <v>45670</v>
      </c>
      <c r="B3384">
        <v>3010212</v>
      </c>
      <c r="C3384">
        <v>1027.82</v>
      </c>
      <c r="E3384" s="80">
        <v>45664</v>
      </c>
      <c r="F3384">
        <v>2011310</v>
      </c>
      <c r="G3384">
        <v>5728.32</v>
      </c>
    </row>
    <row r="3385" spans="1:7" x14ac:dyDescent="0.3">
      <c r="A3385" s="80">
        <v>45669</v>
      </c>
      <c r="B3385">
        <v>3010212</v>
      </c>
      <c r="C3385">
        <v>1256.26</v>
      </c>
      <c r="E3385" s="80">
        <v>45664</v>
      </c>
      <c r="F3385">
        <v>2011310</v>
      </c>
      <c r="G3385">
        <v>5106.32</v>
      </c>
    </row>
    <row r="3386" spans="1:7" x14ac:dyDescent="0.3">
      <c r="A3386" s="80">
        <v>45669</v>
      </c>
      <c r="B3386">
        <v>3010212</v>
      </c>
      <c r="C3386">
        <v>1256.26</v>
      </c>
      <c r="E3386" s="80">
        <v>45664</v>
      </c>
      <c r="F3386">
        <v>2011310</v>
      </c>
      <c r="G3386">
        <v>5106.32</v>
      </c>
    </row>
    <row r="3387" spans="1:7" x14ac:dyDescent="0.3">
      <c r="A3387" s="80">
        <v>45669</v>
      </c>
      <c r="B3387">
        <v>3010212</v>
      </c>
      <c r="C3387">
        <v>1256.26</v>
      </c>
      <c r="E3387" s="80">
        <v>45664</v>
      </c>
      <c r="F3387">
        <v>2011310</v>
      </c>
      <c r="G3387">
        <v>5106.32</v>
      </c>
    </row>
    <row r="3388" spans="1:7" x14ac:dyDescent="0.3">
      <c r="A3388" s="80">
        <v>45669</v>
      </c>
      <c r="B3388">
        <v>3010212</v>
      </c>
      <c r="C3388">
        <v>1256.26</v>
      </c>
      <c r="E3388" s="80">
        <v>45664</v>
      </c>
      <c r="F3388">
        <v>2011310</v>
      </c>
      <c r="G3388">
        <v>4788.32</v>
      </c>
    </row>
    <row r="3389" spans="1:7" x14ac:dyDescent="0.3">
      <c r="A3389" s="80">
        <v>45669</v>
      </c>
      <c r="B3389">
        <v>3010212</v>
      </c>
      <c r="C3389">
        <v>1256.26</v>
      </c>
      <c r="E3389" s="80">
        <v>45664</v>
      </c>
      <c r="F3389">
        <v>2011310</v>
      </c>
      <c r="G3389">
        <v>5106.32</v>
      </c>
    </row>
    <row r="3390" spans="1:7" x14ac:dyDescent="0.3">
      <c r="A3390" s="80">
        <v>45669</v>
      </c>
      <c r="B3390">
        <v>3010212</v>
      </c>
      <c r="C3390">
        <v>1256.26</v>
      </c>
      <c r="E3390" s="80">
        <v>45663</v>
      </c>
      <c r="F3390">
        <v>2011310</v>
      </c>
      <c r="G3390">
        <v>4788.32</v>
      </c>
    </row>
    <row r="3391" spans="1:7" x14ac:dyDescent="0.3">
      <c r="A3391" s="80">
        <v>45669</v>
      </c>
      <c r="B3391">
        <v>3010212</v>
      </c>
      <c r="C3391">
        <v>1256.26</v>
      </c>
      <c r="E3391" s="80">
        <v>45663</v>
      </c>
      <c r="F3391">
        <v>2011310</v>
      </c>
      <c r="G3391">
        <v>5106.32</v>
      </c>
    </row>
    <row r="3392" spans="1:7" x14ac:dyDescent="0.3">
      <c r="A3392" s="80">
        <v>45669</v>
      </c>
      <c r="B3392">
        <v>3010212</v>
      </c>
      <c r="C3392">
        <v>1256.26</v>
      </c>
      <c r="E3392" s="80">
        <v>45663</v>
      </c>
      <c r="F3392">
        <v>2011310</v>
      </c>
      <c r="G3392">
        <v>5393.32</v>
      </c>
    </row>
    <row r="3393" spans="1:7" x14ac:dyDescent="0.3">
      <c r="A3393" s="80">
        <v>45668</v>
      </c>
      <c r="B3393">
        <v>3010212</v>
      </c>
      <c r="C3393">
        <v>1142.02</v>
      </c>
      <c r="E3393" s="80">
        <v>45663</v>
      </c>
      <c r="F3393">
        <v>2011310</v>
      </c>
      <c r="G3393">
        <v>5106.32</v>
      </c>
    </row>
    <row r="3394" spans="1:7" x14ac:dyDescent="0.3">
      <c r="A3394" s="80">
        <v>45668</v>
      </c>
      <c r="B3394">
        <v>3010212</v>
      </c>
      <c r="C3394">
        <v>1142.02</v>
      </c>
      <c r="E3394" s="80">
        <v>45663</v>
      </c>
      <c r="F3394">
        <v>2011310</v>
      </c>
      <c r="G3394">
        <v>4627.49</v>
      </c>
    </row>
    <row r="3395" spans="1:7" x14ac:dyDescent="0.3">
      <c r="A3395" s="80">
        <v>45668</v>
      </c>
      <c r="B3395">
        <v>3010212</v>
      </c>
      <c r="C3395">
        <v>1142.02</v>
      </c>
      <c r="E3395" s="80">
        <v>45663</v>
      </c>
      <c r="F3395">
        <v>2011310</v>
      </c>
      <c r="G3395">
        <v>4788.32</v>
      </c>
    </row>
    <row r="3396" spans="1:7" x14ac:dyDescent="0.3">
      <c r="A3396" s="80">
        <v>45668</v>
      </c>
      <c r="B3396">
        <v>3010212</v>
      </c>
      <c r="C3396">
        <v>1142.02</v>
      </c>
      <c r="E3396" s="80">
        <v>45663</v>
      </c>
      <c r="F3396">
        <v>2011310</v>
      </c>
      <c r="G3396">
        <v>5489.32</v>
      </c>
    </row>
    <row r="3397" spans="1:7" x14ac:dyDescent="0.3">
      <c r="A3397" s="80">
        <v>45668</v>
      </c>
      <c r="B3397">
        <v>3010212</v>
      </c>
      <c r="C3397">
        <v>1142.02</v>
      </c>
      <c r="E3397" s="80">
        <v>45663</v>
      </c>
      <c r="F3397">
        <v>2011310</v>
      </c>
      <c r="G3397">
        <v>4788.32</v>
      </c>
    </row>
    <row r="3398" spans="1:7" x14ac:dyDescent="0.3">
      <c r="A3398" s="80">
        <v>45668</v>
      </c>
      <c r="B3398">
        <v>3010212</v>
      </c>
      <c r="C3398">
        <v>1142.02</v>
      </c>
      <c r="E3398" s="80">
        <v>45663</v>
      </c>
      <c r="F3398">
        <v>2011310</v>
      </c>
      <c r="G3398">
        <v>5106.32</v>
      </c>
    </row>
    <row r="3399" spans="1:7" x14ac:dyDescent="0.3">
      <c r="A3399" s="80">
        <v>45668</v>
      </c>
      <c r="B3399">
        <v>3010212</v>
      </c>
      <c r="C3399">
        <v>1142.02</v>
      </c>
      <c r="E3399" s="80">
        <v>45663</v>
      </c>
      <c r="F3399">
        <v>2011310</v>
      </c>
      <c r="G3399">
        <v>5425.32</v>
      </c>
    </row>
    <row r="3400" spans="1:7" x14ac:dyDescent="0.3">
      <c r="A3400" s="80">
        <v>45668</v>
      </c>
      <c r="B3400">
        <v>3010212</v>
      </c>
      <c r="C3400">
        <v>1142.02</v>
      </c>
      <c r="E3400" s="80">
        <v>45663</v>
      </c>
      <c r="F3400">
        <v>2011310</v>
      </c>
      <c r="G3400">
        <v>5537.32</v>
      </c>
    </row>
    <row r="3401" spans="1:7" x14ac:dyDescent="0.3">
      <c r="A3401" s="80">
        <v>45668</v>
      </c>
      <c r="B3401">
        <v>3010212</v>
      </c>
      <c r="C3401">
        <v>1142.02</v>
      </c>
      <c r="E3401" s="80">
        <v>45663</v>
      </c>
      <c r="F3401">
        <v>2011310</v>
      </c>
      <c r="G3401">
        <v>4788.32</v>
      </c>
    </row>
    <row r="3402" spans="1:7" x14ac:dyDescent="0.3">
      <c r="A3402" s="80">
        <v>45668</v>
      </c>
      <c r="B3402">
        <v>3010212</v>
      </c>
      <c r="C3402">
        <v>1142.02</v>
      </c>
      <c r="E3402" s="80">
        <v>45663</v>
      </c>
      <c r="F3402">
        <v>2011310</v>
      </c>
      <c r="G3402">
        <v>5457.32</v>
      </c>
    </row>
    <row r="3403" spans="1:7" x14ac:dyDescent="0.3">
      <c r="A3403" s="80">
        <v>45668</v>
      </c>
      <c r="B3403">
        <v>3010212</v>
      </c>
      <c r="C3403">
        <v>1142.02</v>
      </c>
      <c r="E3403" s="80">
        <v>45663</v>
      </c>
      <c r="F3403">
        <v>2011310</v>
      </c>
      <c r="G3403">
        <v>159.66</v>
      </c>
    </row>
    <row r="3404" spans="1:7" x14ac:dyDescent="0.3">
      <c r="A3404" s="80">
        <v>45668</v>
      </c>
      <c r="B3404">
        <v>3010212</v>
      </c>
      <c r="C3404">
        <v>1142.02</v>
      </c>
      <c r="E3404" s="80">
        <v>45663</v>
      </c>
      <c r="F3404">
        <v>2011310</v>
      </c>
      <c r="G3404">
        <v>4627.49</v>
      </c>
    </row>
    <row r="3405" spans="1:7" x14ac:dyDescent="0.3">
      <c r="A3405" s="80">
        <v>45668</v>
      </c>
      <c r="B3405">
        <v>3010212</v>
      </c>
      <c r="C3405">
        <v>1142.02</v>
      </c>
      <c r="E3405" s="80">
        <v>45663</v>
      </c>
      <c r="F3405">
        <v>2011310</v>
      </c>
      <c r="G3405">
        <v>5106.32</v>
      </c>
    </row>
    <row r="3406" spans="1:7" x14ac:dyDescent="0.3">
      <c r="A3406" s="80">
        <v>45668</v>
      </c>
      <c r="B3406">
        <v>3010212</v>
      </c>
      <c r="C3406">
        <v>1142.02</v>
      </c>
      <c r="E3406" s="80">
        <v>45663</v>
      </c>
      <c r="F3406">
        <v>2011310</v>
      </c>
      <c r="G3406">
        <v>5345.32</v>
      </c>
    </row>
    <row r="3407" spans="1:7" x14ac:dyDescent="0.3">
      <c r="A3407" s="80">
        <v>45668</v>
      </c>
      <c r="B3407">
        <v>3010212</v>
      </c>
      <c r="C3407">
        <v>1142.02</v>
      </c>
      <c r="E3407" s="80">
        <v>45663</v>
      </c>
      <c r="F3407">
        <v>2011310</v>
      </c>
      <c r="G3407">
        <v>5665.32</v>
      </c>
    </row>
    <row r="3408" spans="1:7" x14ac:dyDescent="0.3">
      <c r="A3408" s="80">
        <v>45667</v>
      </c>
      <c r="B3408">
        <v>3010212</v>
      </c>
      <c r="C3408">
        <v>1142.02</v>
      </c>
      <c r="E3408" s="80">
        <v>45663</v>
      </c>
      <c r="F3408">
        <v>2011310</v>
      </c>
      <c r="G3408">
        <v>5728.32</v>
      </c>
    </row>
    <row r="3409" spans="1:7" x14ac:dyDescent="0.3">
      <c r="A3409" s="80">
        <v>45667</v>
      </c>
      <c r="B3409">
        <v>3010212</v>
      </c>
      <c r="C3409">
        <v>1142.02</v>
      </c>
      <c r="E3409" s="80">
        <v>45663</v>
      </c>
      <c r="F3409">
        <v>2011310</v>
      </c>
      <c r="G3409">
        <v>4788.32</v>
      </c>
    </row>
    <row r="3410" spans="1:7" x14ac:dyDescent="0.3">
      <c r="A3410" s="80">
        <v>45667</v>
      </c>
      <c r="B3410">
        <v>3010212</v>
      </c>
      <c r="C3410">
        <v>1142.02</v>
      </c>
      <c r="E3410" s="80">
        <v>45663</v>
      </c>
      <c r="F3410">
        <v>2011310</v>
      </c>
      <c r="G3410">
        <v>1595.04</v>
      </c>
    </row>
    <row r="3411" spans="1:7" x14ac:dyDescent="0.3">
      <c r="A3411" s="80">
        <v>45667</v>
      </c>
      <c r="B3411">
        <v>3010212</v>
      </c>
      <c r="C3411">
        <v>1142.02</v>
      </c>
      <c r="E3411" s="80">
        <v>45663</v>
      </c>
      <c r="F3411">
        <v>2011310</v>
      </c>
      <c r="G3411">
        <v>5824.32</v>
      </c>
    </row>
    <row r="3412" spans="1:7" x14ac:dyDescent="0.3">
      <c r="A3412" s="80">
        <v>45667</v>
      </c>
      <c r="B3412">
        <v>3010212</v>
      </c>
      <c r="C3412">
        <v>1142.02</v>
      </c>
      <c r="E3412" s="80">
        <v>45663</v>
      </c>
      <c r="F3412">
        <v>2011310</v>
      </c>
      <c r="G3412">
        <v>5106.32</v>
      </c>
    </row>
    <row r="3413" spans="1:7" x14ac:dyDescent="0.3">
      <c r="A3413" s="80">
        <v>45667</v>
      </c>
      <c r="B3413">
        <v>3010212</v>
      </c>
      <c r="C3413">
        <v>1142.02</v>
      </c>
      <c r="E3413" s="80">
        <v>45663</v>
      </c>
      <c r="F3413">
        <v>2011310</v>
      </c>
      <c r="G3413">
        <v>4788.32</v>
      </c>
    </row>
    <row r="3414" spans="1:7" x14ac:dyDescent="0.3">
      <c r="A3414" s="80">
        <v>45667</v>
      </c>
      <c r="B3414">
        <v>3010212</v>
      </c>
      <c r="C3414">
        <v>1142.02</v>
      </c>
      <c r="E3414" s="80">
        <v>45663</v>
      </c>
      <c r="F3414">
        <v>2011310</v>
      </c>
      <c r="G3414">
        <v>4788.32</v>
      </c>
    </row>
    <row r="3415" spans="1:7" x14ac:dyDescent="0.3">
      <c r="A3415" s="80">
        <v>45667</v>
      </c>
      <c r="B3415">
        <v>3010212</v>
      </c>
      <c r="C3415">
        <v>1142.02</v>
      </c>
      <c r="E3415" s="80">
        <v>45662</v>
      </c>
      <c r="F3415">
        <v>2011310</v>
      </c>
      <c r="G3415">
        <v>5106.32</v>
      </c>
    </row>
    <row r="3416" spans="1:7" x14ac:dyDescent="0.3">
      <c r="A3416" s="80">
        <v>45667</v>
      </c>
      <c r="B3416">
        <v>3010212</v>
      </c>
      <c r="C3416">
        <v>1142.02</v>
      </c>
      <c r="E3416" s="80">
        <v>45662</v>
      </c>
      <c r="F3416">
        <v>2011310</v>
      </c>
      <c r="G3416">
        <v>5808.32</v>
      </c>
    </row>
    <row r="3417" spans="1:7" x14ac:dyDescent="0.3">
      <c r="A3417" s="80">
        <v>45667</v>
      </c>
      <c r="B3417">
        <v>3010212</v>
      </c>
      <c r="C3417">
        <v>1142.02</v>
      </c>
      <c r="E3417" s="80">
        <v>45662</v>
      </c>
      <c r="F3417">
        <v>2011310</v>
      </c>
      <c r="G3417">
        <v>5106.32</v>
      </c>
    </row>
    <row r="3418" spans="1:7" x14ac:dyDescent="0.3">
      <c r="A3418" s="80">
        <v>45667</v>
      </c>
      <c r="B3418">
        <v>3010212</v>
      </c>
      <c r="C3418">
        <v>1142.02</v>
      </c>
      <c r="E3418" s="80">
        <v>45662</v>
      </c>
      <c r="F3418">
        <v>2011310</v>
      </c>
      <c r="G3418">
        <v>5106.32</v>
      </c>
    </row>
    <row r="3419" spans="1:7" x14ac:dyDescent="0.3">
      <c r="A3419" s="80">
        <v>45667</v>
      </c>
      <c r="B3419">
        <v>3010212</v>
      </c>
      <c r="C3419">
        <v>1142.02</v>
      </c>
      <c r="E3419" s="80">
        <v>45662</v>
      </c>
      <c r="F3419">
        <v>2011310</v>
      </c>
      <c r="G3419">
        <v>5106.32</v>
      </c>
    </row>
    <row r="3420" spans="1:7" x14ac:dyDescent="0.3">
      <c r="A3420" s="80">
        <v>45667</v>
      </c>
      <c r="B3420">
        <v>3010212</v>
      </c>
      <c r="C3420">
        <v>1142.02</v>
      </c>
      <c r="E3420" s="80">
        <v>45662</v>
      </c>
      <c r="F3420">
        <v>2011310</v>
      </c>
      <c r="G3420">
        <v>5457.32</v>
      </c>
    </row>
    <row r="3421" spans="1:7" x14ac:dyDescent="0.3">
      <c r="A3421" s="80">
        <v>45667</v>
      </c>
      <c r="B3421">
        <v>3010212</v>
      </c>
      <c r="C3421">
        <v>1142.02</v>
      </c>
      <c r="E3421" s="80">
        <v>45662</v>
      </c>
      <c r="F3421">
        <v>2011310</v>
      </c>
      <c r="G3421">
        <v>4978.49</v>
      </c>
    </row>
    <row r="3422" spans="1:7" x14ac:dyDescent="0.3">
      <c r="A3422" s="80">
        <v>45667</v>
      </c>
      <c r="B3422">
        <v>3010212</v>
      </c>
      <c r="C3422">
        <v>1142.02</v>
      </c>
      <c r="E3422" s="80">
        <v>45662</v>
      </c>
      <c r="F3422">
        <v>2011310</v>
      </c>
      <c r="G3422">
        <v>5106.32</v>
      </c>
    </row>
    <row r="3423" spans="1:7" x14ac:dyDescent="0.3">
      <c r="A3423" s="80">
        <v>45666</v>
      </c>
      <c r="B3423">
        <v>3010212</v>
      </c>
      <c r="C3423">
        <v>1142.02</v>
      </c>
      <c r="E3423" s="80">
        <v>45662</v>
      </c>
      <c r="F3423">
        <v>2011310</v>
      </c>
      <c r="G3423">
        <v>4788.32</v>
      </c>
    </row>
    <row r="3424" spans="1:7" x14ac:dyDescent="0.3">
      <c r="A3424" s="80">
        <v>45666</v>
      </c>
      <c r="B3424">
        <v>3010212</v>
      </c>
      <c r="C3424">
        <v>1142.02</v>
      </c>
      <c r="E3424" s="80">
        <v>45662</v>
      </c>
      <c r="F3424">
        <v>2011310</v>
      </c>
      <c r="G3424">
        <v>4788.32</v>
      </c>
    </row>
    <row r="3425" spans="1:7" x14ac:dyDescent="0.3">
      <c r="A3425" s="80">
        <v>45666</v>
      </c>
      <c r="B3425">
        <v>3010212</v>
      </c>
      <c r="C3425">
        <v>1142.02</v>
      </c>
      <c r="E3425" s="80">
        <v>45662</v>
      </c>
      <c r="F3425">
        <v>2011310</v>
      </c>
      <c r="G3425">
        <v>5457.32</v>
      </c>
    </row>
    <row r="3426" spans="1:7" x14ac:dyDescent="0.3">
      <c r="A3426" s="80">
        <v>45666</v>
      </c>
      <c r="B3426">
        <v>3010212</v>
      </c>
      <c r="C3426">
        <v>1142.02</v>
      </c>
      <c r="E3426" s="80">
        <v>45662</v>
      </c>
      <c r="F3426">
        <v>2011310</v>
      </c>
      <c r="G3426">
        <v>5106.32</v>
      </c>
    </row>
    <row r="3427" spans="1:7" x14ac:dyDescent="0.3">
      <c r="A3427" s="80">
        <v>45666</v>
      </c>
      <c r="B3427">
        <v>3010212</v>
      </c>
      <c r="C3427">
        <v>1142.02</v>
      </c>
      <c r="E3427" s="80">
        <v>45662</v>
      </c>
      <c r="F3427">
        <v>2011310</v>
      </c>
      <c r="G3427">
        <v>5361.32</v>
      </c>
    </row>
    <row r="3428" spans="1:7" x14ac:dyDescent="0.3">
      <c r="A3428" s="80">
        <v>45666</v>
      </c>
      <c r="B3428">
        <v>3010212</v>
      </c>
      <c r="C3428">
        <v>1142.02</v>
      </c>
      <c r="E3428" s="80">
        <v>45662</v>
      </c>
      <c r="F3428">
        <v>2011310</v>
      </c>
      <c r="G3428">
        <v>1913.04</v>
      </c>
    </row>
    <row r="3429" spans="1:7" x14ac:dyDescent="0.3">
      <c r="A3429" s="80">
        <v>45666</v>
      </c>
      <c r="B3429">
        <v>3010212</v>
      </c>
      <c r="C3429">
        <v>1142.02</v>
      </c>
      <c r="E3429" s="80">
        <v>45662</v>
      </c>
      <c r="F3429">
        <v>2011310</v>
      </c>
      <c r="G3429">
        <v>4788.32</v>
      </c>
    </row>
    <row r="3430" spans="1:7" x14ac:dyDescent="0.3">
      <c r="A3430" s="80">
        <v>45666</v>
      </c>
      <c r="B3430">
        <v>3010212</v>
      </c>
      <c r="C3430">
        <v>1142.02</v>
      </c>
      <c r="E3430" s="80">
        <v>45662</v>
      </c>
      <c r="F3430">
        <v>2011310</v>
      </c>
      <c r="G3430">
        <v>4788.32</v>
      </c>
    </row>
    <row r="3431" spans="1:7" x14ac:dyDescent="0.3">
      <c r="A3431" s="80">
        <v>45666</v>
      </c>
      <c r="B3431">
        <v>3010212</v>
      </c>
      <c r="C3431">
        <v>1142.02</v>
      </c>
      <c r="E3431" s="80">
        <v>45662</v>
      </c>
      <c r="F3431">
        <v>2011310</v>
      </c>
      <c r="G3431">
        <v>9576.64</v>
      </c>
    </row>
    <row r="3432" spans="1:7" x14ac:dyDescent="0.3">
      <c r="A3432" s="80">
        <v>45666</v>
      </c>
      <c r="B3432">
        <v>3010212</v>
      </c>
      <c r="C3432">
        <v>1142.02</v>
      </c>
      <c r="E3432" s="80">
        <v>45662</v>
      </c>
      <c r="F3432">
        <v>2011310</v>
      </c>
      <c r="G3432">
        <v>5106.32</v>
      </c>
    </row>
    <row r="3433" spans="1:7" x14ac:dyDescent="0.3">
      <c r="A3433" s="80">
        <v>45666</v>
      </c>
      <c r="B3433">
        <v>3010212</v>
      </c>
      <c r="C3433">
        <v>1142.02</v>
      </c>
      <c r="E3433" s="80">
        <v>45662</v>
      </c>
      <c r="F3433">
        <v>2011310</v>
      </c>
      <c r="G3433">
        <v>5106.32</v>
      </c>
    </row>
    <row r="3434" spans="1:7" x14ac:dyDescent="0.3">
      <c r="A3434" s="80">
        <v>45666</v>
      </c>
      <c r="B3434">
        <v>3010212</v>
      </c>
      <c r="C3434">
        <v>1142.02</v>
      </c>
      <c r="E3434" s="80">
        <v>45662</v>
      </c>
      <c r="F3434">
        <v>2011310</v>
      </c>
      <c r="G3434">
        <v>4788.32</v>
      </c>
    </row>
    <row r="3435" spans="1:7" x14ac:dyDescent="0.3">
      <c r="A3435" s="80">
        <v>45666</v>
      </c>
      <c r="B3435">
        <v>3010212</v>
      </c>
      <c r="C3435">
        <v>1142.02</v>
      </c>
      <c r="E3435" s="80">
        <v>45662</v>
      </c>
      <c r="F3435">
        <v>2011310</v>
      </c>
      <c r="G3435">
        <v>4788.32</v>
      </c>
    </row>
    <row r="3436" spans="1:7" x14ac:dyDescent="0.3">
      <c r="A3436" s="80">
        <v>45666</v>
      </c>
      <c r="B3436">
        <v>3010212</v>
      </c>
      <c r="C3436">
        <v>1142.02</v>
      </c>
      <c r="E3436" s="80">
        <v>45662</v>
      </c>
      <c r="F3436">
        <v>2011310</v>
      </c>
      <c r="G3436">
        <v>5744.32</v>
      </c>
    </row>
    <row r="3437" spans="1:7" x14ac:dyDescent="0.3">
      <c r="A3437" s="80">
        <v>45666</v>
      </c>
      <c r="B3437">
        <v>3010212</v>
      </c>
      <c r="C3437">
        <v>1142.02</v>
      </c>
      <c r="E3437" s="80">
        <v>45662</v>
      </c>
      <c r="F3437">
        <v>2011310</v>
      </c>
      <c r="G3437">
        <v>5393.32</v>
      </c>
    </row>
    <row r="3438" spans="1:7" x14ac:dyDescent="0.3">
      <c r="A3438" s="80">
        <v>45666</v>
      </c>
      <c r="B3438">
        <v>3010212</v>
      </c>
      <c r="C3438">
        <v>1142.02</v>
      </c>
      <c r="E3438" s="80">
        <v>45662</v>
      </c>
      <c r="F3438">
        <v>2011310</v>
      </c>
      <c r="G3438">
        <v>5425.32</v>
      </c>
    </row>
    <row r="3439" spans="1:7" x14ac:dyDescent="0.3">
      <c r="A3439" s="80">
        <v>45666</v>
      </c>
      <c r="B3439">
        <v>3010212</v>
      </c>
      <c r="C3439">
        <v>1142.02</v>
      </c>
      <c r="E3439" s="80">
        <v>45661</v>
      </c>
      <c r="F3439">
        <v>2011310</v>
      </c>
      <c r="G3439">
        <v>5202.32</v>
      </c>
    </row>
    <row r="3440" spans="1:7" x14ac:dyDescent="0.3">
      <c r="A3440" s="80">
        <v>45666</v>
      </c>
      <c r="B3440">
        <v>3010212</v>
      </c>
      <c r="C3440">
        <v>1142.02</v>
      </c>
      <c r="E3440" s="80">
        <v>45661</v>
      </c>
      <c r="F3440">
        <v>2011310</v>
      </c>
      <c r="G3440">
        <v>5106.32</v>
      </c>
    </row>
    <row r="3441" spans="1:7" x14ac:dyDescent="0.3">
      <c r="A3441" s="80">
        <v>45665</v>
      </c>
      <c r="B3441">
        <v>3010212</v>
      </c>
      <c r="C3441">
        <v>1142.02</v>
      </c>
      <c r="E3441" s="80">
        <v>45661</v>
      </c>
      <c r="F3441">
        <v>2011310</v>
      </c>
      <c r="G3441">
        <v>5106.32</v>
      </c>
    </row>
    <row r="3442" spans="1:7" x14ac:dyDescent="0.3">
      <c r="A3442" s="80">
        <v>45665</v>
      </c>
      <c r="B3442">
        <v>3010212</v>
      </c>
      <c r="C3442">
        <v>1142.02</v>
      </c>
      <c r="E3442" s="80">
        <v>45661</v>
      </c>
      <c r="F3442">
        <v>2011310</v>
      </c>
      <c r="G3442">
        <v>5106.32</v>
      </c>
    </row>
    <row r="3443" spans="1:7" x14ac:dyDescent="0.3">
      <c r="A3443" s="80">
        <v>45665</v>
      </c>
      <c r="B3443">
        <v>3010212</v>
      </c>
      <c r="C3443">
        <v>1142.02</v>
      </c>
      <c r="E3443" s="80">
        <v>45661</v>
      </c>
      <c r="F3443">
        <v>2011310</v>
      </c>
      <c r="G3443">
        <v>5489.32</v>
      </c>
    </row>
    <row r="3444" spans="1:7" x14ac:dyDescent="0.3">
      <c r="A3444" s="80">
        <v>45665</v>
      </c>
      <c r="B3444">
        <v>3010212</v>
      </c>
      <c r="C3444">
        <v>1142.02</v>
      </c>
      <c r="E3444" s="80">
        <v>45661</v>
      </c>
      <c r="F3444">
        <v>2011310</v>
      </c>
      <c r="G3444">
        <v>5744.32</v>
      </c>
    </row>
    <row r="3445" spans="1:7" x14ac:dyDescent="0.3">
      <c r="A3445" s="80">
        <v>45665</v>
      </c>
      <c r="B3445">
        <v>3010212</v>
      </c>
      <c r="C3445">
        <v>1142.02</v>
      </c>
      <c r="E3445" s="80">
        <v>45661</v>
      </c>
      <c r="F3445">
        <v>2011310</v>
      </c>
      <c r="G3445">
        <v>5106.32</v>
      </c>
    </row>
    <row r="3446" spans="1:7" x14ac:dyDescent="0.3">
      <c r="A3446" s="80">
        <v>45665</v>
      </c>
      <c r="B3446">
        <v>3010212</v>
      </c>
      <c r="C3446">
        <v>1142.02</v>
      </c>
      <c r="E3446" s="80">
        <v>45661</v>
      </c>
      <c r="F3446">
        <v>2011310</v>
      </c>
      <c r="G3446">
        <v>5106.32</v>
      </c>
    </row>
    <row r="3447" spans="1:7" x14ac:dyDescent="0.3">
      <c r="A3447" s="80">
        <v>45665</v>
      </c>
      <c r="B3447">
        <v>3010212</v>
      </c>
      <c r="C3447">
        <v>1142.02</v>
      </c>
      <c r="E3447" s="80">
        <v>45661</v>
      </c>
      <c r="F3447">
        <v>2011310</v>
      </c>
      <c r="G3447">
        <v>5585.32</v>
      </c>
    </row>
    <row r="3448" spans="1:7" x14ac:dyDescent="0.3">
      <c r="A3448" s="80">
        <v>45665</v>
      </c>
      <c r="B3448">
        <v>3010212</v>
      </c>
      <c r="C3448">
        <v>1142.02</v>
      </c>
      <c r="E3448" s="80">
        <v>45661</v>
      </c>
      <c r="F3448">
        <v>2011310</v>
      </c>
      <c r="G3448">
        <v>1595.04</v>
      </c>
    </row>
    <row r="3449" spans="1:7" x14ac:dyDescent="0.3">
      <c r="A3449" s="80">
        <v>45665</v>
      </c>
      <c r="B3449">
        <v>3010212</v>
      </c>
      <c r="C3449">
        <v>1142.02</v>
      </c>
      <c r="E3449" s="80">
        <v>45661</v>
      </c>
      <c r="F3449">
        <v>2011310</v>
      </c>
      <c r="G3449">
        <v>5361.32</v>
      </c>
    </row>
    <row r="3450" spans="1:7" x14ac:dyDescent="0.3">
      <c r="A3450" s="80">
        <v>45665</v>
      </c>
      <c r="B3450">
        <v>3010212</v>
      </c>
      <c r="C3450">
        <v>1142.02</v>
      </c>
      <c r="E3450" s="80">
        <v>45661</v>
      </c>
      <c r="F3450">
        <v>2011310</v>
      </c>
      <c r="G3450">
        <v>4788.32</v>
      </c>
    </row>
    <row r="3451" spans="1:7" x14ac:dyDescent="0.3">
      <c r="A3451" s="80">
        <v>45665</v>
      </c>
      <c r="B3451">
        <v>3010212</v>
      </c>
      <c r="C3451">
        <v>1142.02</v>
      </c>
      <c r="E3451" s="80">
        <v>45661</v>
      </c>
      <c r="F3451">
        <v>2011310</v>
      </c>
      <c r="G3451">
        <v>4788.32</v>
      </c>
    </row>
    <row r="3452" spans="1:7" x14ac:dyDescent="0.3">
      <c r="A3452" s="80">
        <v>45665</v>
      </c>
      <c r="B3452">
        <v>3010212</v>
      </c>
      <c r="C3452">
        <v>1142.02</v>
      </c>
      <c r="E3452" s="80">
        <v>45661</v>
      </c>
      <c r="F3452">
        <v>2011310</v>
      </c>
      <c r="G3452">
        <v>5744.32</v>
      </c>
    </row>
    <row r="3453" spans="1:7" x14ac:dyDescent="0.3">
      <c r="A3453" s="80">
        <v>45665</v>
      </c>
      <c r="B3453">
        <v>3010212</v>
      </c>
      <c r="C3453">
        <v>1142.02</v>
      </c>
      <c r="E3453" s="80">
        <v>45661</v>
      </c>
      <c r="F3453">
        <v>2011310</v>
      </c>
      <c r="G3453">
        <v>5393.32</v>
      </c>
    </row>
    <row r="3454" spans="1:7" x14ac:dyDescent="0.3">
      <c r="A3454" s="80">
        <v>45665</v>
      </c>
      <c r="B3454">
        <v>3010212</v>
      </c>
      <c r="C3454">
        <v>1142.02</v>
      </c>
      <c r="E3454" s="80">
        <v>45661</v>
      </c>
      <c r="F3454">
        <v>2011310</v>
      </c>
      <c r="G3454">
        <v>5106.32</v>
      </c>
    </row>
    <row r="3455" spans="1:7" x14ac:dyDescent="0.3">
      <c r="A3455" s="80">
        <v>45665</v>
      </c>
      <c r="B3455">
        <v>3010212</v>
      </c>
      <c r="C3455">
        <v>1142.02</v>
      </c>
      <c r="E3455" s="80">
        <v>45661</v>
      </c>
      <c r="F3455">
        <v>2011310</v>
      </c>
      <c r="G3455">
        <v>4788.32</v>
      </c>
    </row>
    <row r="3456" spans="1:7" x14ac:dyDescent="0.3">
      <c r="A3456" s="80">
        <v>45665</v>
      </c>
      <c r="B3456">
        <v>3010212</v>
      </c>
      <c r="C3456">
        <v>1142.02</v>
      </c>
      <c r="E3456" s="80">
        <v>45661</v>
      </c>
      <c r="F3456">
        <v>2011310</v>
      </c>
      <c r="G3456">
        <v>5106.32</v>
      </c>
    </row>
    <row r="3457" spans="1:7" x14ac:dyDescent="0.3">
      <c r="A3457" s="80">
        <v>45665</v>
      </c>
      <c r="B3457">
        <v>3010212</v>
      </c>
      <c r="C3457">
        <v>1142.02</v>
      </c>
      <c r="E3457" s="80">
        <v>45661</v>
      </c>
      <c r="F3457">
        <v>2011310</v>
      </c>
      <c r="G3457">
        <v>5106.32</v>
      </c>
    </row>
    <row r="3458" spans="1:7" x14ac:dyDescent="0.3">
      <c r="A3458" s="80">
        <v>45665</v>
      </c>
      <c r="B3458">
        <v>3010212</v>
      </c>
      <c r="C3458">
        <v>1142.02</v>
      </c>
      <c r="E3458" s="80">
        <v>45660</v>
      </c>
      <c r="F3458">
        <v>2011310</v>
      </c>
      <c r="G3458">
        <v>5457.32</v>
      </c>
    </row>
    <row r="3459" spans="1:7" x14ac:dyDescent="0.3">
      <c r="A3459" s="80">
        <v>45665</v>
      </c>
      <c r="B3459">
        <v>3010212</v>
      </c>
      <c r="C3459">
        <v>1142.02</v>
      </c>
      <c r="E3459" s="80">
        <v>45660</v>
      </c>
      <c r="F3459">
        <v>2011310</v>
      </c>
      <c r="G3459">
        <v>5361.32</v>
      </c>
    </row>
    <row r="3460" spans="1:7" x14ac:dyDescent="0.3">
      <c r="A3460" s="80">
        <v>45665</v>
      </c>
      <c r="B3460">
        <v>3010212</v>
      </c>
      <c r="C3460">
        <v>1142.02</v>
      </c>
      <c r="E3460" s="80">
        <v>45660</v>
      </c>
      <c r="F3460">
        <v>2011310</v>
      </c>
      <c r="G3460">
        <v>5425.32</v>
      </c>
    </row>
    <row r="3461" spans="1:7" x14ac:dyDescent="0.3">
      <c r="A3461" s="80">
        <v>45665</v>
      </c>
      <c r="B3461">
        <v>3010212</v>
      </c>
      <c r="C3461">
        <v>1142.02</v>
      </c>
      <c r="E3461" s="80">
        <v>45660</v>
      </c>
      <c r="F3461">
        <v>2011310</v>
      </c>
      <c r="G3461">
        <v>5106.32</v>
      </c>
    </row>
    <row r="3462" spans="1:7" x14ac:dyDescent="0.3">
      <c r="A3462" s="80">
        <v>45665</v>
      </c>
      <c r="B3462">
        <v>3010212</v>
      </c>
      <c r="C3462">
        <v>1142.02</v>
      </c>
      <c r="E3462" s="80">
        <v>45660</v>
      </c>
      <c r="F3462">
        <v>2011310</v>
      </c>
      <c r="G3462">
        <v>5361.32</v>
      </c>
    </row>
    <row r="3463" spans="1:7" x14ac:dyDescent="0.3">
      <c r="A3463" s="80">
        <v>45665</v>
      </c>
      <c r="B3463">
        <v>3010212</v>
      </c>
      <c r="C3463">
        <v>1142.02</v>
      </c>
      <c r="E3463" s="80">
        <v>45660</v>
      </c>
      <c r="F3463">
        <v>2011310</v>
      </c>
      <c r="G3463">
        <v>5106.32</v>
      </c>
    </row>
    <row r="3464" spans="1:7" x14ac:dyDescent="0.3">
      <c r="A3464" s="80">
        <v>45665</v>
      </c>
      <c r="B3464">
        <v>3010212</v>
      </c>
      <c r="C3464">
        <v>1142.02</v>
      </c>
      <c r="E3464" s="80">
        <v>45660</v>
      </c>
      <c r="F3464">
        <v>2011310</v>
      </c>
      <c r="G3464">
        <v>5106.32</v>
      </c>
    </row>
    <row r="3465" spans="1:7" x14ac:dyDescent="0.3">
      <c r="A3465" s="80">
        <v>45664</v>
      </c>
      <c r="B3465">
        <v>3010212</v>
      </c>
      <c r="C3465">
        <v>1142.02</v>
      </c>
      <c r="E3465" s="80">
        <v>45660</v>
      </c>
      <c r="F3465">
        <v>2011310</v>
      </c>
      <c r="G3465">
        <v>5361.32</v>
      </c>
    </row>
    <row r="3466" spans="1:7" x14ac:dyDescent="0.3">
      <c r="A3466" s="80">
        <v>45664</v>
      </c>
      <c r="B3466">
        <v>3010212</v>
      </c>
      <c r="C3466">
        <v>1142.02</v>
      </c>
      <c r="E3466" s="80">
        <v>45660</v>
      </c>
      <c r="F3466">
        <v>2011310</v>
      </c>
      <c r="G3466">
        <v>5106.32</v>
      </c>
    </row>
    <row r="3467" spans="1:7" x14ac:dyDescent="0.3">
      <c r="A3467" s="80">
        <v>45664</v>
      </c>
      <c r="B3467">
        <v>3010212</v>
      </c>
      <c r="C3467">
        <v>1142.02</v>
      </c>
      <c r="E3467" s="80">
        <v>45660</v>
      </c>
      <c r="F3467">
        <v>2011310</v>
      </c>
      <c r="G3467">
        <v>5425.32</v>
      </c>
    </row>
    <row r="3468" spans="1:7" x14ac:dyDescent="0.3">
      <c r="A3468" s="80">
        <v>45664</v>
      </c>
      <c r="B3468">
        <v>3010212</v>
      </c>
      <c r="C3468">
        <v>1142.02</v>
      </c>
      <c r="E3468" s="80">
        <v>45660</v>
      </c>
      <c r="F3468">
        <v>2011310</v>
      </c>
      <c r="G3468">
        <v>5106.32</v>
      </c>
    </row>
    <row r="3469" spans="1:7" x14ac:dyDescent="0.3">
      <c r="A3469" s="80">
        <v>45664</v>
      </c>
      <c r="B3469">
        <v>3010212</v>
      </c>
      <c r="C3469">
        <v>1142.02</v>
      </c>
      <c r="E3469" s="80">
        <v>45660</v>
      </c>
      <c r="F3469">
        <v>2011310</v>
      </c>
      <c r="G3469">
        <v>4788.32</v>
      </c>
    </row>
    <row r="3470" spans="1:7" x14ac:dyDescent="0.3">
      <c r="A3470" s="80">
        <v>45664</v>
      </c>
      <c r="B3470">
        <v>3010212</v>
      </c>
      <c r="C3470">
        <v>1142.02</v>
      </c>
      <c r="E3470" s="80">
        <v>45660</v>
      </c>
      <c r="F3470">
        <v>2011310</v>
      </c>
      <c r="G3470">
        <v>5457.32</v>
      </c>
    </row>
    <row r="3471" spans="1:7" x14ac:dyDescent="0.3">
      <c r="A3471" s="80">
        <v>45664</v>
      </c>
      <c r="B3471">
        <v>3010212</v>
      </c>
      <c r="C3471">
        <v>1142.02</v>
      </c>
      <c r="E3471" s="80">
        <v>45660</v>
      </c>
      <c r="F3471">
        <v>2011310</v>
      </c>
      <c r="G3471">
        <v>5744.32</v>
      </c>
    </row>
    <row r="3472" spans="1:7" x14ac:dyDescent="0.3">
      <c r="A3472" s="80">
        <v>45664</v>
      </c>
      <c r="B3472">
        <v>3010212</v>
      </c>
      <c r="C3472">
        <v>2284.04</v>
      </c>
      <c r="E3472" s="80">
        <v>45660</v>
      </c>
      <c r="F3472">
        <v>2011310</v>
      </c>
      <c r="G3472">
        <v>5106.32</v>
      </c>
    </row>
    <row r="3473" spans="1:7" x14ac:dyDescent="0.3">
      <c r="A3473" s="80">
        <v>45664</v>
      </c>
      <c r="B3473">
        <v>3010212</v>
      </c>
      <c r="C3473">
        <v>2284.04</v>
      </c>
      <c r="E3473" s="80">
        <v>45660</v>
      </c>
      <c r="F3473">
        <v>2011310</v>
      </c>
      <c r="G3473">
        <v>1595.04</v>
      </c>
    </row>
    <row r="3474" spans="1:7" x14ac:dyDescent="0.3">
      <c r="A3474" s="80">
        <v>45664</v>
      </c>
      <c r="B3474">
        <v>3010212</v>
      </c>
      <c r="C3474">
        <v>1142.02</v>
      </c>
      <c r="E3474" s="80">
        <v>45660</v>
      </c>
      <c r="F3474">
        <v>2011310</v>
      </c>
      <c r="G3474">
        <v>4788.32</v>
      </c>
    </row>
    <row r="3475" spans="1:7" x14ac:dyDescent="0.3">
      <c r="A3475" s="80">
        <v>45664</v>
      </c>
      <c r="B3475">
        <v>3010212</v>
      </c>
      <c r="C3475">
        <v>1142.02</v>
      </c>
      <c r="E3475" s="80">
        <v>45659</v>
      </c>
      <c r="F3475">
        <v>2011310</v>
      </c>
      <c r="G3475">
        <v>5106.32</v>
      </c>
    </row>
    <row r="3476" spans="1:7" x14ac:dyDescent="0.3">
      <c r="A3476" s="80">
        <v>45664</v>
      </c>
      <c r="B3476">
        <v>3010212</v>
      </c>
      <c r="C3476">
        <v>1142.02</v>
      </c>
      <c r="E3476" s="80">
        <v>45659</v>
      </c>
      <c r="F3476">
        <v>2011310</v>
      </c>
      <c r="G3476">
        <v>5361.32</v>
      </c>
    </row>
    <row r="3477" spans="1:7" x14ac:dyDescent="0.3">
      <c r="A3477" s="80">
        <v>45664</v>
      </c>
      <c r="B3477">
        <v>3010212</v>
      </c>
      <c r="C3477">
        <v>1142.02</v>
      </c>
      <c r="E3477" s="80">
        <v>45659</v>
      </c>
      <c r="F3477">
        <v>2011310</v>
      </c>
      <c r="G3477">
        <v>5553.32</v>
      </c>
    </row>
    <row r="3478" spans="1:7" x14ac:dyDescent="0.3">
      <c r="A3478" s="80">
        <v>45664</v>
      </c>
      <c r="B3478">
        <v>3010212</v>
      </c>
      <c r="C3478">
        <v>1142.02</v>
      </c>
      <c r="E3478" s="80">
        <v>45659</v>
      </c>
      <c r="F3478">
        <v>2011310</v>
      </c>
      <c r="G3478">
        <v>5393.32</v>
      </c>
    </row>
    <row r="3479" spans="1:7" x14ac:dyDescent="0.3">
      <c r="A3479" s="80">
        <v>45664</v>
      </c>
      <c r="B3479">
        <v>3010212</v>
      </c>
      <c r="C3479">
        <v>1142.02</v>
      </c>
      <c r="E3479" s="80">
        <v>45659</v>
      </c>
      <c r="F3479">
        <v>2011310</v>
      </c>
      <c r="G3479">
        <v>5106.32</v>
      </c>
    </row>
    <row r="3480" spans="1:7" x14ac:dyDescent="0.3">
      <c r="A3480" s="80">
        <v>45664</v>
      </c>
      <c r="B3480">
        <v>3010212</v>
      </c>
      <c r="C3480">
        <v>1142.02</v>
      </c>
      <c r="E3480" s="80">
        <v>45659</v>
      </c>
      <c r="F3480">
        <v>2011310</v>
      </c>
      <c r="G3480">
        <v>5361.32</v>
      </c>
    </row>
    <row r="3481" spans="1:7" x14ac:dyDescent="0.3">
      <c r="A3481" s="80">
        <v>45664</v>
      </c>
      <c r="B3481">
        <v>3010212</v>
      </c>
      <c r="C3481">
        <v>1142.02</v>
      </c>
      <c r="E3481" s="80">
        <v>45659</v>
      </c>
      <c r="F3481">
        <v>2011310</v>
      </c>
      <c r="G3481">
        <v>5585.32</v>
      </c>
    </row>
    <row r="3482" spans="1:7" x14ac:dyDescent="0.3">
      <c r="A3482" s="80">
        <v>45663</v>
      </c>
      <c r="B3482">
        <v>3010212</v>
      </c>
      <c r="C3482">
        <v>1142.02</v>
      </c>
      <c r="E3482" s="80">
        <v>45659</v>
      </c>
      <c r="F3482">
        <v>2011310</v>
      </c>
      <c r="G3482">
        <v>4788.32</v>
      </c>
    </row>
    <row r="3483" spans="1:7" x14ac:dyDescent="0.3">
      <c r="A3483" s="80">
        <v>45663</v>
      </c>
      <c r="B3483">
        <v>3010212</v>
      </c>
      <c r="C3483">
        <v>1142.02</v>
      </c>
      <c r="E3483" s="80">
        <v>45659</v>
      </c>
      <c r="F3483">
        <v>2011310</v>
      </c>
      <c r="G3483">
        <v>4788.32</v>
      </c>
    </row>
    <row r="3484" spans="1:7" x14ac:dyDescent="0.3">
      <c r="A3484" s="80">
        <v>45663</v>
      </c>
      <c r="B3484">
        <v>3010212</v>
      </c>
      <c r="C3484">
        <v>1142.02</v>
      </c>
      <c r="E3484" s="80">
        <v>45659</v>
      </c>
      <c r="F3484">
        <v>2011310</v>
      </c>
      <c r="G3484">
        <v>9576.64</v>
      </c>
    </row>
    <row r="3485" spans="1:7" x14ac:dyDescent="0.3">
      <c r="A3485" s="80">
        <v>45663</v>
      </c>
      <c r="B3485">
        <v>3010212</v>
      </c>
      <c r="C3485">
        <v>1142.02</v>
      </c>
      <c r="E3485" s="80">
        <v>45659</v>
      </c>
      <c r="F3485">
        <v>2011310</v>
      </c>
      <c r="G3485">
        <v>5393.32</v>
      </c>
    </row>
    <row r="3486" spans="1:7" x14ac:dyDescent="0.3">
      <c r="A3486" s="80">
        <v>45663</v>
      </c>
      <c r="B3486">
        <v>3010212</v>
      </c>
      <c r="C3486">
        <v>1027.82</v>
      </c>
      <c r="E3486" s="80">
        <v>45659</v>
      </c>
      <c r="F3486">
        <v>2011310</v>
      </c>
      <c r="G3486">
        <v>4788.32</v>
      </c>
    </row>
    <row r="3487" spans="1:7" x14ac:dyDescent="0.3">
      <c r="A3487" s="80">
        <v>45663</v>
      </c>
      <c r="B3487">
        <v>3010212</v>
      </c>
      <c r="C3487">
        <v>1142.02</v>
      </c>
      <c r="E3487" s="80">
        <v>45659</v>
      </c>
      <c r="F3487">
        <v>2011310</v>
      </c>
      <c r="G3487">
        <v>5106.32</v>
      </c>
    </row>
    <row r="3488" spans="1:7" x14ac:dyDescent="0.3">
      <c r="A3488" s="80">
        <v>45663</v>
      </c>
      <c r="B3488">
        <v>3010212</v>
      </c>
      <c r="C3488">
        <v>1142.02</v>
      </c>
      <c r="E3488" s="80">
        <v>45659</v>
      </c>
      <c r="F3488">
        <v>2011310</v>
      </c>
      <c r="G3488">
        <v>5393.32</v>
      </c>
    </row>
    <row r="3489" spans="1:7" x14ac:dyDescent="0.3">
      <c r="A3489" s="80">
        <v>45663</v>
      </c>
      <c r="B3489">
        <v>3010212</v>
      </c>
      <c r="C3489">
        <v>1142.02</v>
      </c>
      <c r="E3489" s="80">
        <v>45659</v>
      </c>
      <c r="F3489">
        <v>2011310</v>
      </c>
      <c r="G3489">
        <v>4788.32</v>
      </c>
    </row>
    <row r="3490" spans="1:7" x14ac:dyDescent="0.3">
      <c r="A3490" s="80">
        <v>45663</v>
      </c>
      <c r="B3490">
        <v>3010212</v>
      </c>
      <c r="C3490">
        <v>1142.02</v>
      </c>
      <c r="E3490" s="80">
        <v>45659</v>
      </c>
      <c r="F3490">
        <v>2011310</v>
      </c>
      <c r="G3490">
        <v>4788.32</v>
      </c>
    </row>
    <row r="3491" spans="1:7" x14ac:dyDescent="0.3">
      <c r="A3491" s="80">
        <v>45663</v>
      </c>
      <c r="B3491">
        <v>3010212</v>
      </c>
      <c r="C3491">
        <v>1142.02</v>
      </c>
      <c r="E3491" s="80">
        <v>45659</v>
      </c>
      <c r="F3491">
        <v>2011310</v>
      </c>
      <c r="G3491">
        <v>4788.32</v>
      </c>
    </row>
    <row r="3492" spans="1:7" x14ac:dyDescent="0.3">
      <c r="A3492" s="80">
        <v>45663</v>
      </c>
      <c r="B3492">
        <v>3010212</v>
      </c>
      <c r="C3492">
        <v>1142.02</v>
      </c>
      <c r="E3492" s="80">
        <v>45659</v>
      </c>
      <c r="F3492">
        <v>2011310</v>
      </c>
      <c r="G3492">
        <v>5106.32</v>
      </c>
    </row>
    <row r="3493" spans="1:7" x14ac:dyDescent="0.3">
      <c r="A3493" s="80">
        <v>45663</v>
      </c>
      <c r="B3493">
        <v>3010212</v>
      </c>
      <c r="C3493">
        <v>1142.02</v>
      </c>
      <c r="E3493" s="80">
        <v>45659</v>
      </c>
      <c r="F3493">
        <v>2011310</v>
      </c>
      <c r="G3493">
        <v>4788.32</v>
      </c>
    </row>
    <row r="3494" spans="1:7" x14ac:dyDescent="0.3">
      <c r="A3494" s="80">
        <v>45663</v>
      </c>
      <c r="B3494">
        <v>3010212</v>
      </c>
      <c r="C3494">
        <v>1142.02</v>
      </c>
      <c r="E3494" s="80">
        <v>45659</v>
      </c>
      <c r="F3494">
        <v>2011310</v>
      </c>
      <c r="G3494">
        <v>4788.32</v>
      </c>
    </row>
    <row r="3495" spans="1:7" x14ac:dyDescent="0.3">
      <c r="A3495" s="80">
        <v>45663</v>
      </c>
      <c r="B3495">
        <v>3010212</v>
      </c>
      <c r="C3495">
        <v>38.08</v>
      </c>
      <c r="E3495" s="80">
        <v>45659</v>
      </c>
      <c r="F3495">
        <v>2011310</v>
      </c>
      <c r="G3495">
        <v>5106.32</v>
      </c>
    </row>
    <row r="3496" spans="1:7" x14ac:dyDescent="0.3">
      <c r="A3496" s="80">
        <v>45663</v>
      </c>
      <c r="B3496">
        <v>3010212</v>
      </c>
      <c r="C3496">
        <v>1027.82</v>
      </c>
      <c r="E3496" s="80">
        <v>45659</v>
      </c>
      <c r="F3496">
        <v>2011310</v>
      </c>
      <c r="G3496">
        <v>4788.32</v>
      </c>
    </row>
    <row r="3497" spans="1:7" x14ac:dyDescent="0.3">
      <c r="A3497" s="80">
        <v>45663</v>
      </c>
      <c r="B3497">
        <v>3010212</v>
      </c>
      <c r="C3497">
        <v>1142.02</v>
      </c>
      <c r="E3497" s="80">
        <v>45659</v>
      </c>
      <c r="F3497">
        <v>2011310</v>
      </c>
      <c r="G3497">
        <v>4788.32</v>
      </c>
    </row>
    <row r="3498" spans="1:7" x14ac:dyDescent="0.3">
      <c r="A3498" s="80">
        <v>45663</v>
      </c>
      <c r="B3498">
        <v>3010212</v>
      </c>
      <c r="C3498">
        <v>1142.02</v>
      </c>
      <c r="E3498" s="80">
        <v>45658</v>
      </c>
      <c r="F3498">
        <v>2011310</v>
      </c>
      <c r="G3498">
        <v>4788.32</v>
      </c>
    </row>
    <row r="3499" spans="1:7" x14ac:dyDescent="0.3">
      <c r="A3499" s="80">
        <v>45663</v>
      </c>
      <c r="B3499">
        <v>3010212</v>
      </c>
      <c r="C3499">
        <v>1142.02</v>
      </c>
      <c r="E3499" s="80">
        <v>45658</v>
      </c>
      <c r="F3499">
        <v>2011310</v>
      </c>
      <c r="G3499">
        <v>4788.32</v>
      </c>
    </row>
    <row r="3500" spans="1:7" x14ac:dyDescent="0.3">
      <c r="A3500" s="80">
        <v>45663</v>
      </c>
      <c r="B3500">
        <v>3010212</v>
      </c>
      <c r="C3500">
        <v>1142.02</v>
      </c>
      <c r="E3500" s="80">
        <v>45658</v>
      </c>
      <c r="F3500">
        <v>2011310</v>
      </c>
      <c r="G3500">
        <v>5457.32</v>
      </c>
    </row>
    <row r="3501" spans="1:7" x14ac:dyDescent="0.3">
      <c r="A3501" s="80">
        <v>45663</v>
      </c>
      <c r="B3501">
        <v>3010212</v>
      </c>
      <c r="C3501">
        <v>1142.02</v>
      </c>
      <c r="E3501" s="80">
        <v>45658</v>
      </c>
      <c r="F3501">
        <v>2011310</v>
      </c>
      <c r="G3501">
        <v>5106.32</v>
      </c>
    </row>
    <row r="3502" spans="1:7" x14ac:dyDescent="0.3">
      <c r="A3502" s="80">
        <v>45663</v>
      </c>
      <c r="B3502">
        <v>3010212</v>
      </c>
      <c r="C3502">
        <v>380.42</v>
      </c>
      <c r="E3502" s="80">
        <v>45658</v>
      </c>
      <c r="F3502">
        <v>2011310</v>
      </c>
      <c r="G3502">
        <v>5106.32</v>
      </c>
    </row>
    <row r="3503" spans="1:7" x14ac:dyDescent="0.3">
      <c r="A3503" s="80">
        <v>45663</v>
      </c>
      <c r="B3503">
        <v>3010212</v>
      </c>
      <c r="C3503">
        <v>1142.02</v>
      </c>
      <c r="E3503" s="80">
        <v>45658</v>
      </c>
      <c r="F3503">
        <v>2011310</v>
      </c>
      <c r="G3503">
        <v>4788.32</v>
      </c>
    </row>
    <row r="3504" spans="1:7" x14ac:dyDescent="0.3">
      <c r="A3504" s="80">
        <v>45663</v>
      </c>
      <c r="B3504">
        <v>3010212</v>
      </c>
      <c r="C3504">
        <v>1142.02</v>
      </c>
      <c r="E3504" s="80">
        <v>45658</v>
      </c>
      <c r="F3504">
        <v>2011310</v>
      </c>
      <c r="G3504">
        <v>4788.32</v>
      </c>
    </row>
    <row r="3505" spans="1:7" x14ac:dyDescent="0.3">
      <c r="A3505" s="80">
        <v>45663</v>
      </c>
      <c r="B3505">
        <v>3010212</v>
      </c>
      <c r="C3505">
        <v>1142.02</v>
      </c>
      <c r="E3505" s="80">
        <v>45658</v>
      </c>
      <c r="F3505">
        <v>2011310</v>
      </c>
      <c r="G3505">
        <v>5106.32</v>
      </c>
    </row>
    <row r="3506" spans="1:7" x14ac:dyDescent="0.3">
      <c r="A3506" s="80">
        <v>45663</v>
      </c>
      <c r="B3506">
        <v>3010212</v>
      </c>
      <c r="C3506">
        <v>1142.02</v>
      </c>
      <c r="E3506" s="80">
        <v>45658</v>
      </c>
      <c r="F3506">
        <v>2011310</v>
      </c>
      <c r="G3506">
        <v>5106.32</v>
      </c>
    </row>
    <row r="3507" spans="1:7" x14ac:dyDescent="0.3">
      <c r="A3507" s="80">
        <v>45662</v>
      </c>
      <c r="B3507">
        <v>3010212</v>
      </c>
      <c r="C3507">
        <v>1142.02</v>
      </c>
      <c r="E3507" s="80">
        <v>45658</v>
      </c>
      <c r="F3507">
        <v>2011310</v>
      </c>
      <c r="G3507">
        <v>1913.04</v>
      </c>
    </row>
    <row r="3508" spans="1:7" x14ac:dyDescent="0.3">
      <c r="A3508" s="80">
        <v>45662</v>
      </c>
      <c r="B3508">
        <v>3010212</v>
      </c>
      <c r="C3508">
        <v>1142.02</v>
      </c>
      <c r="E3508" s="80">
        <v>45658</v>
      </c>
      <c r="F3508">
        <v>2011310</v>
      </c>
      <c r="G3508">
        <v>5457.32</v>
      </c>
    </row>
    <row r="3509" spans="1:7" x14ac:dyDescent="0.3">
      <c r="A3509" s="80">
        <v>45662</v>
      </c>
      <c r="B3509">
        <v>3010212</v>
      </c>
      <c r="C3509">
        <v>1142.02</v>
      </c>
      <c r="E3509" s="80">
        <v>45658</v>
      </c>
      <c r="F3509">
        <v>2011310</v>
      </c>
      <c r="G3509">
        <v>5106.32</v>
      </c>
    </row>
    <row r="3510" spans="1:7" x14ac:dyDescent="0.3">
      <c r="A3510" s="80">
        <v>45662</v>
      </c>
      <c r="B3510">
        <v>3010212</v>
      </c>
      <c r="C3510">
        <v>1142.02</v>
      </c>
      <c r="E3510" s="80">
        <v>45658</v>
      </c>
      <c r="F3510">
        <v>2011310</v>
      </c>
      <c r="G3510">
        <v>4627.49</v>
      </c>
    </row>
    <row r="3511" spans="1:7" x14ac:dyDescent="0.3">
      <c r="A3511" s="80">
        <v>45662</v>
      </c>
      <c r="B3511">
        <v>3010212</v>
      </c>
      <c r="C3511">
        <v>1142.02</v>
      </c>
      <c r="E3511" s="80">
        <v>45658</v>
      </c>
      <c r="F3511">
        <v>2011310</v>
      </c>
      <c r="G3511">
        <v>5106.32</v>
      </c>
    </row>
    <row r="3512" spans="1:7" x14ac:dyDescent="0.3">
      <c r="A3512" s="80">
        <v>45662</v>
      </c>
      <c r="B3512">
        <v>3010212</v>
      </c>
      <c r="C3512">
        <v>1142.02</v>
      </c>
      <c r="E3512" s="80">
        <v>45658</v>
      </c>
      <c r="F3512">
        <v>2011310</v>
      </c>
      <c r="G3512">
        <v>5058.49</v>
      </c>
    </row>
    <row r="3513" spans="1:7" x14ac:dyDescent="0.3">
      <c r="A3513" s="80">
        <v>45662</v>
      </c>
      <c r="B3513">
        <v>3010212</v>
      </c>
      <c r="C3513">
        <v>1027.82</v>
      </c>
      <c r="E3513" s="80">
        <v>45838</v>
      </c>
      <c r="F3513">
        <v>2011310</v>
      </c>
      <c r="G3513">
        <v>4788.32</v>
      </c>
    </row>
    <row r="3514" spans="1:7" x14ac:dyDescent="0.3">
      <c r="A3514" s="80">
        <v>45662</v>
      </c>
      <c r="B3514">
        <v>3010212</v>
      </c>
      <c r="C3514">
        <v>1142.02</v>
      </c>
      <c r="E3514" s="80">
        <v>45844</v>
      </c>
      <c r="F3514">
        <v>2011310</v>
      </c>
      <c r="G3514">
        <v>5505.32</v>
      </c>
    </row>
    <row r="3515" spans="1:7" x14ac:dyDescent="0.3">
      <c r="A3515" s="80">
        <v>45662</v>
      </c>
      <c r="B3515">
        <v>3010212</v>
      </c>
      <c r="C3515">
        <v>1142.02</v>
      </c>
      <c r="E3515" s="80">
        <v>45835</v>
      </c>
      <c r="F3515">
        <v>2011310</v>
      </c>
      <c r="G3515">
        <v>5425.32</v>
      </c>
    </row>
    <row r="3516" spans="1:7" x14ac:dyDescent="0.3">
      <c r="A3516" s="80">
        <v>45662</v>
      </c>
      <c r="B3516">
        <v>3010212</v>
      </c>
      <c r="C3516">
        <v>1142.02</v>
      </c>
      <c r="E3516" s="80">
        <v>45844</v>
      </c>
      <c r="F3516">
        <v>2011310</v>
      </c>
      <c r="G3516">
        <v>4788.32</v>
      </c>
    </row>
    <row r="3517" spans="1:7" x14ac:dyDescent="0.3">
      <c r="A3517" s="80">
        <v>45662</v>
      </c>
      <c r="B3517">
        <v>3010212</v>
      </c>
      <c r="C3517">
        <v>1142.02</v>
      </c>
      <c r="E3517" s="80">
        <v>45841</v>
      </c>
      <c r="F3517">
        <v>2011310</v>
      </c>
      <c r="G3517">
        <v>1.6</v>
      </c>
    </row>
    <row r="3518" spans="1:7" x14ac:dyDescent="0.3">
      <c r="A3518" s="80">
        <v>45662</v>
      </c>
      <c r="B3518">
        <v>3010212</v>
      </c>
      <c r="C3518">
        <v>1142.02</v>
      </c>
      <c r="E3518" s="80">
        <v>45833</v>
      </c>
      <c r="F3518">
        <v>2011310</v>
      </c>
      <c r="G3518">
        <v>4788.32</v>
      </c>
    </row>
    <row r="3519" spans="1:7" x14ac:dyDescent="0.3">
      <c r="A3519" s="80">
        <v>45662</v>
      </c>
      <c r="B3519">
        <v>3010212</v>
      </c>
      <c r="C3519">
        <v>1142.02</v>
      </c>
      <c r="E3519" s="80">
        <v>45833</v>
      </c>
      <c r="F3519">
        <v>2011310</v>
      </c>
      <c r="G3519">
        <v>4788.32</v>
      </c>
    </row>
    <row r="3520" spans="1:7" x14ac:dyDescent="0.3">
      <c r="A3520" s="80">
        <v>45662</v>
      </c>
      <c r="B3520">
        <v>3010212</v>
      </c>
      <c r="C3520">
        <v>380.42</v>
      </c>
      <c r="E3520" s="80">
        <v>45833</v>
      </c>
      <c r="F3520">
        <v>2011310</v>
      </c>
      <c r="G3520">
        <v>4788.32</v>
      </c>
    </row>
    <row r="3521" spans="1:7" x14ac:dyDescent="0.3">
      <c r="A3521" s="80">
        <v>45662</v>
      </c>
      <c r="B3521">
        <v>3010212</v>
      </c>
      <c r="C3521">
        <v>1142.02</v>
      </c>
      <c r="E3521" s="80">
        <v>45838</v>
      </c>
      <c r="F3521">
        <v>2011310</v>
      </c>
      <c r="G3521">
        <v>4788.32</v>
      </c>
    </row>
    <row r="3522" spans="1:7" x14ac:dyDescent="0.3">
      <c r="A3522" s="80">
        <v>45662</v>
      </c>
      <c r="B3522">
        <v>3010212</v>
      </c>
      <c r="C3522">
        <v>1142.02</v>
      </c>
      <c r="E3522" s="80">
        <v>45828</v>
      </c>
      <c r="F3522">
        <v>2011310</v>
      </c>
      <c r="G3522">
        <v>4788.32</v>
      </c>
    </row>
    <row r="3523" spans="1:7" x14ac:dyDescent="0.3">
      <c r="A3523" s="80">
        <v>45662</v>
      </c>
      <c r="B3523">
        <v>3010212</v>
      </c>
      <c r="C3523">
        <v>2284.04</v>
      </c>
      <c r="E3523" s="80">
        <v>45828</v>
      </c>
      <c r="F3523">
        <v>2011310</v>
      </c>
      <c r="G3523">
        <v>4788.32</v>
      </c>
    </row>
    <row r="3524" spans="1:7" x14ac:dyDescent="0.3">
      <c r="A3524" s="80">
        <v>45662</v>
      </c>
      <c r="B3524">
        <v>3010212</v>
      </c>
      <c r="C3524">
        <v>1142.02</v>
      </c>
      <c r="E3524" s="80">
        <v>45832</v>
      </c>
      <c r="F3524">
        <v>2011310</v>
      </c>
      <c r="G3524">
        <v>4788.32</v>
      </c>
    </row>
    <row r="3525" spans="1:7" x14ac:dyDescent="0.3">
      <c r="A3525" s="80">
        <v>45662</v>
      </c>
      <c r="B3525">
        <v>3010212</v>
      </c>
      <c r="C3525">
        <v>1142.02</v>
      </c>
      <c r="E3525" s="80">
        <v>45832</v>
      </c>
      <c r="F3525">
        <v>2011310</v>
      </c>
      <c r="G3525">
        <v>4788.32</v>
      </c>
    </row>
    <row r="3526" spans="1:7" x14ac:dyDescent="0.3">
      <c r="A3526" s="80">
        <v>45662</v>
      </c>
      <c r="B3526">
        <v>3010212</v>
      </c>
      <c r="C3526">
        <v>1142.02</v>
      </c>
      <c r="E3526" s="80">
        <v>45834</v>
      </c>
      <c r="F3526">
        <v>2011310</v>
      </c>
      <c r="G3526">
        <v>4788.32</v>
      </c>
    </row>
    <row r="3527" spans="1:7" x14ac:dyDescent="0.3">
      <c r="A3527" s="80">
        <v>45662</v>
      </c>
      <c r="B3527">
        <v>3010212</v>
      </c>
      <c r="C3527">
        <v>1142.02</v>
      </c>
      <c r="E3527" s="80">
        <v>45838</v>
      </c>
      <c r="F3527">
        <v>2011310</v>
      </c>
      <c r="G3527">
        <v>4788.32</v>
      </c>
    </row>
    <row r="3528" spans="1:7" x14ac:dyDescent="0.3">
      <c r="A3528" s="80">
        <v>45662</v>
      </c>
      <c r="B3528">
        <v>3010212</v>
      </c>
      <c r="C3528">
        <v>1142.02</v>
      </c>
      <c r="E3528" s="80">
        <v>45840</v>
      </c>
      <c r="F3528">
        <v>2011310</v>
      </c>
      <c r="G3528">
        <v>4788.32</v>
      </c>
    </row>
    <row r="3529" spans="1:7" x14ac:dyDescent="0.3">
      <c r="A3529" s="80">
        <v>45662</v>
      </c>
      <c r="B3529">
        <v>3010212</v>
      </c>
      <c r="C3529">
        <v>1142.02</v>
      </c>
      <c r="E3529" s="80">
        <v>45840</v>
      </c>
      <c r="F3529">
        <v>2011310</v>
      </c>
      <c r="G3529">
        <v>4788.32</v>
      </c>
    </row>
    <row r="3530" spans="1:7" x14ac:dyDescent="0.3">
      <c r="A3530" s="80">
        <v>45662</v>
      </c>
      <c r="B3530">
        <v>3010212</v>
      </c>
      <c r="C3530">
        <v>1142.02</v>
      </c>
      <c r="E3530" s="80">
        <v>45841</v>
      </c>
      <c r="F3530">
        <v>2011310</v>
      </c>
      <c r="G3530">
        <v>4788.32</v>
      </c>
    </row>
    <row r="3531" spans="1:7" x14ac:dyDescent="0.3">
      <c r="A3531" s="80">
        <v>45661</v>
      </c>
      <c r="B3531">
        <v>3010212</v>
      </c>
      <c r="C3531">
        <v>1142.02</v>
      </c>
      <c r="E3531" s="80">
        <v>45841</v>
      </c>
      <c r="F3531">
        <v>2011310</v>
      </c>
      <c r="G3531">
        <v>4788.32</v>
      </c>
    </row>
    <row r="3532" spans="1:7" x14ac:dyDescent="0.3">
      <c r="A3532" s="80">
        <v>45661</v>
      </c>
      <c r="B3532">
        <v>3010212</v>
      </c>
      <c r="C3532">
        <v>1142.02</v>
      </c>
      <c r="E3532" s="80">
        <v>45830</v>
      </c>
      <c r="F3532">
        <v>2011310</v>
      </c>
      <c r="G3532">
        <v>1595.04</v>
      </c>
    </row>
    <row r="3533" spans="1:7" x14ac:dyDescent="0.3">
      <c r="A3533" s="80">
        <v>45661</v>
      </c>
      <c r="B3533">
        <v>3010212</v>
      </c>
      <c r="C3533">
        <v>1142.02</v>
      </c>
      <c r="E3533" s="80">
        <v>45830</v>
      </c>
      <c r="F3533">
        <v>2011310</v>
      </c>
      <c r="G3533">
        <v>1595.04</v>
      </c>
    </row>
    <row r="3534" spans="1:7" x14ac:dyDescent="0.3">
      <c r="A3534" s="80">
        <v>45661</v>
      </c>
      <c r="B3534">
        <v>3010212</v>
      </c>
      <c r="C3534">
        <v>1142.02</v>
      </c>
      <c r="E3534" s="80">
        <v>45830</v>
      </c>
      <c r="F3534">
        <v>2011310</v>
      </c>
      <c r="G3534">
        <v>5267.31</v>
      </c>
    </row>
    <row r="3535" spans="1:7" x14ac:dyDescent="0.3">
      <c r="A3535" s="80">
        <v>45661</v>
      </c>
      <c r="B3535">
        <v>3010212</v>
      </c>
      <c r="C3535">
        <v>1142.02</v>
      </c>
      <c r="E3535" s="80">
        <v>45830</v>
      </c>
      <c r="F3535">
        <v>2011310</v>
      </c>
      <c r="G3535">
        <v>5267.31</v>
      </c>
    </row>
    <row r="3536" spans="1:7" x14ac:dyDescent="0.3">
      <c r="A3536" s="80">
        <v>45661</v>
      </c>
      <c r="B3536">
        <v>3010212</v>
      </c>
      <c r="C3536">
        <v>1142.02</v>
      </c>
      <c r="E3536" s="80">
        <v>45832</v>
      </c>
      <c r="F3536">
        <v>2011310</v>
      </c>
      <c r="G3536">
        <v>5267.31</v>
      </c>
    </row>
    <row r="3537" spans="1:7" x14ac:dyDescent="0.3">
      <c r="A3537" s="80">
        <v>45661</v>
      </c>
      <c r="B3537">
        <v>3010212</v>
      </c>
      <c r="C3537">
        <v>1142.02</v>
      </c>
      <c r="E3537" s="80">
        <v>45832</v>
      </c>
      <c r="F3537">
        <v>2011310</v>
      </c>
      <c r="G3537">
        <v>10534.62</v>
      </c>
    </row>
    <row r="3538" spans="1:7" x14ac:dyDescent="0.3">
      <c r="A3538" s="80">
        <v>45661</v>
      </c>
      <c r="B3538">
        <v>3010212</v>
      </c>
      <c r="C3538">
        <v>1142.02</v>
      </c>
      <c r="E3538" s="80">
        <v>45834</v>
      </c>
      <c r="F3538">
        <v>2011310</v>
      </c>
      <c r="G3538">
        <v>5074.32</v>
      </c>
    </row>
    <row r="3539" spans="1:7" x14ac:dyDescent="0.3">
      <c r="A3539" s="80">
        <v>45661</v>
      </c>
      <c r="B3539">
        <v>3010212</v>
      </c>
      <c r="C3539">
        <v>1142.02</v>
      </c>
      <c r="E3539" s="80">
        <v>45834</v>
      </c>
      <c r="F3539">
        <v>2011310</v>
      </c>
      <c r="G3539">
        <v>5505.32</v>
      </c>
    </row>
    <row r="3540" spans="1:7" x14ac:dyDescent="0.3">
      <c r="A3540" s="80">
        <v>45661</v>
      </c>
      <c r="B3540">
        <v>3010212</v>
      </c>
      <c r="C3540">
        <v>380.42</v>
      </c>
      <c r="E3540" s="80">
        <v>45835</v>
      </c>
      <c r="F3540">
        <v>2011310</v>
      </c>
      <c r="G3540">
        <v>5170.32</v>
      </c>
    </row>
    <row r="3541" spans="1:7" x14ac:dyDescent="0.3">
      <c r="A3541" s="80">
        <v>45661</v>
      </c>
      <c r="B3541">
        <v>3010212</v>
      </c>
      <c r="C3541">
        <v>1142.02</v>
      </c>
      <c r="E3541" s="80">
        <v>45835</v>
      </c>
      <c r="F3541">
        <v>2011310</v>
      </c>
      <c r="G3541">
        <v>1881.04</v>
      </c>
    </row>
    <row r="3542" spans="1:7" x14ac:dyDescent="0.3">
      <c r="A3542" s="80">
        <v>45661</v>
      </c>
      <c r="B3542">
        <v>3010212</v>
      </c>
      <c r="C3542">
        <v>1142.02</v>
      </c>
      <c r="E3542" s="80">
        <v>45836</v>
      </c>
      <c r="F3542">
        <v>2011310</v>
      </c>
      <c r="G3542">
        <v>5074.32</v>
      </c>
    </row>
    <row r="3543" spans="1:7" x14ac:dyDescent="0.3">
      <c r="A3543" s="80">
        <v>45661</v>
      </c>
      <c r="B3543">
        <v>3010212</v>
      </c>
      <c r="C3543">
        <v>1142.02</v>
      </c>
      <c r="E3543" s="80">
        <v>45837</v>
      </c>
      <c r="F3543">
        <v>2011310</v>
      </c>
      <c r="G3543">
        <v>5074.32</v>
      </c>
    </row>
    <row r="3544" spans="1:7" x14ac:dyDescent="0.3">
      <c r="A3544" s="80">
        <v>45661</v>
      </c>
      <c r="B3544">
        <v>3010212</v>
      </c>
      <c r="C3544">
        <v>1142.02</v>
      </c>
      <c r="E3544" s="80">
        <v>45837</v>
      </c>
      <c r="F3544">
        <v>2011310</v>
      </c>
      <c r="G3544">
        <v>5074.32</v>
      </c>
    </row>
    <row r="3545" spans="1:7" x14ac:dyDescent="0.3">
      <c r="A3545" s="80">
        <v>45661</v>
      </c>
      <c r="B3545">
        <v>3010212</v>
      </c>
      <c r="C3545">
        <v>1142.02</v>
      </c>
      <c r="E3545" s="80">
        <v>45838</v>
      </c>
      <c r="F3545">
        <v>2011310</v>
      </c>
      <c r="G3545">
        <v>5074.32</v>
      </c>
    </row>
    <row r="3546" spans="1:7" x14ac:dyDescent="0.3">
      <c r="A3546" s="80">
        <v>45661</v>
      </c>
      <c r="B3546">
        <v>3010212</v>
      </c>
      <c r="C3546">
        <v>1142.02</v>
      </c>
      <c r="E3546" s="80">
        <v>45838</v>
      </c>
      <c r="F3546">
        <v>2011310</v>
      </c>
      <c r="G3546">
        <v>5074.32</v>
      </c>
    </row>
    <row r="3547" spans="1:7" x14ac:dyDescent="0.3">
      <c r="A3547" s="80">
        <v>45661</v>
      </c>
      <c r="B3547">
        <v>3010212</v>
      </c>
      <c r="C3547">
        <v>1142.02</v>
      </c>
      <c r="E3547" s="80">
        <v>45839</v>
      </c>
      <c r="F3547">
        <v>2011310</v>
      </c>
      <c r="G3547">
        <v>5567.32</v>
      </c>
    </row>
    <row r="3548" spans="1:7" x14ac:dyDescent="0.3">
      <c r="A3548" s="80">
        <v>45661</v>
      </c>
      <c r="B3548">
        <v>3010212</v>
      </c>
      <c r="C3548">
        <v>1142.02</v>
      </c>
      <c r="E3548" s="80">
        <v>45839</v>
      </c>
      <c r="F3548">
        <v>2011310</v>
      </c>
      <c r="G3548">
        <v>5074.32</v>
      </c>
    </row>
    <row r="3549" spans="1:7" x14ac:dyDescent="0.3">
      <c r="A3549" s="80">
        <v>45661</v>
      </c>
      <c r="B3549">
        <v>3010212</v>
      </c>
      <c r="C3549">
        <v>1142.02</v>
      </c>
      <c r="E3549" s="80">
        <v>45840</v>
      </c>
      <c r="F3549">
        <v>2011310</v>
      </c>
      <c r="G3549">
        <v>5924.32</v>
      </c>
    </row>
    <row r="3550" spans="1:7" x14ac:dyDescent="0.3">
      <c r="A3550" s="80">
        <v>45660</v>
      </c>
      <c r="B3550">
        <v>3010212</v>
      </c>
      <c r="C3550">
        <v>1142.02</v>
      </c>
      <c r="E3550" s="80">
        <v>45840</v>
      </c>
      <c r="F3550">
        <v>2011310</v>
      </c>
      <c r="G3550">
        <v>5074.32</v>
      </c>
    </row>
    <row r="3551" spans="1:7" x14ac:dyDescent="0.3">
      <c r="A3551" s="80">
        <v>45660</v>
      </c>
      <c r="B3551">
        <v>3010212</v>
      </c>
      <c r="C3551">
        <v>1142.02</v>
      </c>
      <c r="E3551" s="80">
        <v>45841</v>
      </c>
      <c r="F3551">
        <v>2011310</v>
      </c>
      <c r="G3551">
        <v>5074.32</v>
      </c>
    </row>
    <row r="3552" spans="1:7" x14ac:dyDescent="0.3">
      <c r="A3552" s="80">
        <v>45660</v>
      </c>
      <c r="B3552">
        <v>3010212</v>
      </c>
      <c r="C3552">
        <v>1142.02</v>
      </c>
      <c r="E3552" s="80">
        <v>45841</v>
      </c>
      <c r="F3552">
        <v>2011310</v>
      </c>
      <c r="G3552">
        <v>5074.32</v>
      </c>
    </row>
    <row r="3553" spans="1:7" x14ac:dyDescent="0.3">
      <c r="A3553" s="80">
        <v>45660</v>
      </c>
      <c r="B3553">
        <v>3010212</v>
      </c>
      <c r="C3553">
        <v>1142.02</v>
      </c>
      <c r="E3553" s="80">
        <v>45842</v>
      </c>
      <c r="F3553">
        <v>2011310</v>
      </c>
      <c r="G3553">
        <v>1595.04</v>
      </c>
    </row>
    <row r="3554" spans="1:7" x14ac:dyDescent="0.3">
      <c r="A3554" s="80">
        <v>45660</v>
      </c>
      <c r="B3554">
        <v>3010212</v>
      </c>
      <c r="C3554">
        <v>1142.02</v>
      </c>
      <c r="E3554" s="80">
        <v>45842</v>
      </c>
      <c r="F3554">
        <v>2011310</v>
      </c>
      <c r="G3554">
        <v>4788.32</v>
      </c>
    </row>
    <row r="3555" spans="1:7" x14ac:dyDescent="0.3">
      <c r="A3555" s="80">
        <v>45660</v>
      </c>
      <c r="B3555">
        <v>3010212</v>
      </c>
      <c r="C3555">
        <v>1142.02</v>
      </c>
      <c r="E3555" s="80">
        <v>45844</v>
      </c>
      <c r="F3555">
        <v>2011310</v>
      </c>
      <c r="G3555">
        <v>5074.32</v>
      </c>
    </row>
    <row r="3556" spans="1:7" x14ac:dyDescent="0.3">
      <c r="A3556" s="80">
        <v>45660</v>
      </c>
      <c r="B3556">
        <v>3010212</v>
      </c>
      <c r="C3556">
        <v>1142.02</v>
      </c>
      <c r="E3556" s="80">
        <v>45844</v>
      </c>
      <c r="F3556">
        <v>2011310</v>
      </c>
      <c r="G3556">
        <v>5074.32</v>
      </c>
    </row>
    <row r="3557" spans="1:7" x14ac:dyDescent="0.3">
      <c r="A3557" s="80">
        <v>45660</v>
      </c>
      <c r="B3557">
        <v>3010212</v>
      </c>
      <c r="C3557">
        <v>1142.02</v>
      </c>
      <c r="E3557" s="80">
        <v>45828</v>
      </c>
      <c r="F3557">
        <v>3010111</v>
      </c>
      <c r="G3557">
        <v>0</v>
      </c>
    </row>
    <row r="3558" spans="1:7" x14ac:dyDescent="0.3">
      <c r="A3558" s="80">
        <v>45660</v>
      </c>
      <c r="B3558">
        <v>3010212</v>
      </c>
      <c r="C3558">
        <v>1142.02</v>
      </c>
      <c r="E3558" s="80">
        <v>45827</v>
      </c>
      <c r="F3558">
        <v>3010111</v>
      </c>
      <c r="G3558">
        <v>0</v>
      </c>
    </row>
    <row r="3559" spans="1:7" x14ac:dyDescent="0.3">
      <c r="A3559" s="80">
        <v>45660</v>
      </c>
      <c r="B3559">
        <v>3010212</v>
      </c>
      <c r="C3559">
        <v>1142.02</v>
      </c>
      <c r="E3559" s="80">
        <v>45827</v>
      </c>
      <c r="F3559">
        <v>3010111</v>
      </c>
      <c r="G3559">
        <v>2933</v>
      </c>
    </row>
    <row r="3560" spans="1:7" x14ac:dyDescent="0.3">
      <c r="A3560" s="80">
        <v>45660</v>
      </c>
      <c r="B3560">
        <v>3010212</v>
      </c>
      <c r="C3560">
        <v>1142.02</v>
      </c>
      <c r="E3560" s="80">
        <v>45826</v>
      </c>
      <c r="F3560">
        <v>3010111</v>
      </c>
      <c r="G3560">
        <v>0</v>
      </c>
    </row>
    <row r="3561" spans="1:7" x14ac:dyDescent="0.3">
      <c r="A3561" s="80">
        <v>45660</v>
      </c>
      <c r="B3561">
        <v>3010212</v>
      </c>
      <c r="C3561">
        <v>1142.02</v>
      </c>
      <c r="E3561" s="80">
        <v>45826</v>
      </c>
      <c r="F3561">
        <v>3010111</v>
      </c>
      <c r="G3561">
        <v>0</v>
      </c>
    </row>
    <row r="3562" spans="1:7" x14ac:dyDescent="0.3">
      <c r="A3562" s="80">
        <v>45660</v>
      </c>
      <c r="B3562">
        <v>3010212</v>
      </c>
      <c r="C3562">
        <v>1142.02</v>
      </c>
      <c r="E3562" s="80">
        <v>45826</v>
      </c>
      <c r="F3562">
        <v>3010111</v>
      </c>
      <c r="G3562">
        <v>0</v>
      </c>
    </row>
    <row r="3563" spans="1:7" x14ac:dyDescent="0.3">
      <c r="A3563" s="80">
        <v>45660</v>
      </c>
      <c r="B3563">
        <v>3010212</v>
      </c>
      <c r="C3563">
        <v>1142.02</v>
      </c>
      <c r="E3563" s="80">
        <v>45825</v>
      </c>
      <c r="F3563">
        <v>3010111</v>
      </c>
      <c r="G3563">
        <v>0</v>
      </c>
    </row>
    <row r="3564" spans="1:7" x14ac:dyDescent="0.3">
      <c r="A3564" s="80">
        <v>45660</v>
      </c>
      <c r="B3564">
        <v>3010212</v>
      </c>
      <c r="C3564">
        <v>1142.02</v>
      </c>
      <c r="E3564" s="80">
        <v>45825</v>
      </c>
      <c r="F3564">
        <v>3010111</v>
      </c>
      <c r="G3564">
        <v>0</v>
      </c>
    </row>
    <row r="3565" spans="1:7" x14ac:dyDescent="0.3">
      <c r="A3565" s="80">
        <v>45660</v>
      </c>
      <c r="B3565">
        <v>3010212</v>
      </c>
      <c r="C3565">
        <v>380.42</v>
      </c>
      <c r="E3565" s="80">
        <v>45825</v>
      </c>
      <c r="F3565">
        <v>3010111</v>
      </c>
      <c r="G3565">
        <v>0</v>
      </c>
    </row>
    <row r="3566" spans="1:7" x14ac:dyDescent="0.3">
      <c r="A3566" s="80">
        <v>45660</v>
      </c>
      <c r="B3566">
        <v>3010212</v>
      </c>
      <c r="C3566">
        <v>1142.02</v>
      </c>
      <c r="E3566" s="80">
        <v>45825</v>
      </c>
      <c r="F3566">
        <v>3010111</v>
      </c>
      <c r="G3566">
        <v>1504</v>
      </c>
    </row>
    <row r="3567" spans="1:7" x14ac:dyDescent="0.3">
      <c r="A3567" s="80">
        <v>45659</v>
      </c>
      <c r="B3567">
        <v>3010212</v>
      </c>
      <c r="C3567">
        <v>1142.02</v>
      </c>
      <c r="E3567" s="80">
        <v>45824</v>
      </c>
      <c r="F3567">
        <v>3010111</v>
      </c>
      <c r="G3567">
        <v>0</v>
      </c>
    </row>
    <row r="3568" spans="1:7" x14ac:dyDescent="0.3">
      <c r="A3568" s="80">
        <v>45659</v>
      </c>
      <c r="B3568">
        <v>3010212</v>
      </c>
      <c r="C3568">
        <v>1142.02</v>
      </c>
      <c r="E3568" s="80">
        <v>45824</v>
      </c>
      <c r="F3568">
        <v>3010111</v>
      </c>
      <c r="G3568">
        <v>1504</v>
      </c>
    </row>
    <row r="3569" spans="1:7" x14ac:dyDescent="0.3">
      <c r="A3569" s="80">
        <v>45659</v>
      </c>
      <c r="B3569">
        <v>3010212</v>
      </c>
      <c r="C3569">
        <v>1142.02</v>
      </c>
      <c r="E3569" s="80">
        <v>45823</v>
      </c>
      <c r="F3569">
        <v>3010111</v>
      </c>
      <c r="G3569">
        <v>1504</v>
      </c>
    </row>
    <row r="3570" spans="1:7" x14ac:dyDescent="0.3">
      <c r="A3570" s="80">
        <v>45659</v>
      </c>
      <c r="B3570">
        <v>3010212</v>
      </c>
      <c r="C3570">
        <v>1142.02</v>
      </c>
      <c r="E3570" s="80">
        <v>45823</v>
      </c>
      <c r="F3570">
        <v>3010111</v>
      </c>
      <c r="G3570">
        <v>0</v>
      </c>
    </row>
    <row r="3571" spans="1:7" x14ac:dyDescent="0.3">
      <c r="A3571" s="80">
        <v>45659</v>
      </c>
      <c r="B3571">
        <v>3010212</v>
      </c>
      <c r="C3571">
        <v>1142.02</v>
      </c>
      <c r="E3571" s="80">
        <v>45823</v>
      </c>
      <c r="F3571">
        <v>3010111</v>
      </c>
      <c r="G3571">
        <v>0</v>
      </c>
    </row>
    <row r="3572" spans="1:7" x14ac:dyDescent="0.3">
      <c r="A3572" s="80">
        <v>45659</v>
      </c>
      <c r="B3572">
        <v>3010212</v>
      </c>
      <c r="C3572">
        <v>1142.02</v>
      </c>
      <c r="E3572" s="80">
        <v>45823</v>
      </c>
      <c r="F3572">
        <v>3010111</v>
      </c>
      <c r="G3572">
        <v>1504</v>
      </c>
    </row>
    <row r="3573" spans="1:7" x14ac:dyDescent="0.3">
      <c r="A3573" s="80">
        <v>45659</v>
      </c>
      <c r="B3573">
        <v>3010212</v>
      </c>
      <c r="C3573">
        <v>1142.02</v>
      </c>
      <c r="E3573" s="80">
        <v>45822</v>
      </c>
      <c r="F3573">
        <v>3010111</v>
      </c>
      <c r="G3573">
        <v>2345</v>
      </c>
    </row>
    <row r="3574" spans="1:7" x14ac:dyDescent="0.3">
      <c r="A3574" s="80">
        <v>45659</v>
      </c>
      <c r="B3574">
        <v>3010212</v>
      </c>
      <c r="C3574">
        <v>1142.02</v>
      </c>
      <c r="E3574" s="80">
        <v>45822</v>
      </c>
      <c r="F3574">
        <v>3010111</v>
      </c>
      <c r="G3574">
        <v>1504</v>
      </c>
    </row>
    <row r="3575" spans="1:7" x14ac:dyDescent="0.3">
      <c r="A3575" s="80">
        <v>45659</v>
      </c>
      <c r="B3575">
        <v>3010212</v>
      </c>
      <c r="C3575">
        <v>1142.02</v>
      </c>
      <c r="E3575" s="80">
        <v>45822</v>
      </c>
      <c r="F3575">
        <v>3010111</v>
      </c>
      <c r="G3575">
        <v>0</v>
      </c>
    </row>
    <row r="3576" spans="1:7" x14ac:dyDescent="0.3">
      <c r="A3576" s="80">
        <v>45659</v>
      </c>
      <c r="B3576">
        <v>3010212</v>
      </c>
      <c r="C3576">
        <v>2284.04</v>
      </c>
      <c r="E3576" s="80">
        <v>45820</v>
      </c>
      <c r="F3576">
        <v>3010111</v>
      </c>
      <c r="G3576">
        <v>0</v>
      </c>
    </row>
    <row r="3577" spans="1:7" x14ac:dyDescent="0.3">
      <c r="A3577" s="80">
        <v>45659</v>
      </c>
      <c r="B3577">
        <v>3010212</v>
      </c>
      <c r="C3577">
        <v>1142.02</v>
      </c>
      <c r="E3577" s="80">
        <v>45819</v>
      </c>
      <c r="F3577">
        <v>3010111</v>
      </c>
      <c r="G3577">
        <v>1504</v>
      </c>
    </row>
    <row r="3578" spans="1:7" x14ac:dyDescent="0.3">
      <c r="A3578" s="80">
        <v>45659</v>
      </c>
      <c r="B3578">
        <v>3010212</v>
      </c>
      <c r="C3578">
        <v>1142.02</v>
      </c>
      <c r="E3578" s="80">
        <v>45819</v>
      </c>
      <c r="F3578">
        <v>3010111</v>
      </c>
      <c r="G3578">
        <v>0</v>
      </c>
    </row>
    <row r="3579" spans="1:7" x14ac:dyDescent="0.3">
      <c r="A3579" s="80">
        <v>45659</v>
      </c>
      <c r="B3579">
        <v>3010212</v>
      </c>
      <c r="C3579">
        <v>1142.02</v>
      </c>
      <c r="E3579" s="80">
        <v>45819</v>
      </c>
      <c r="F3579">
        <v>3010111</v>
      </c>
      <c r="G3579">
        <v>0</v>
      </c>
    </row>
    <row r="3580" spans="1:7" x14ac:dyDescent="0.3">
      <c r="A3580" s="80">
        <v>45659</v>
      </c>
      <c r="B3580">
        <v>3010212</v>
      </c>
      <c r="C3580">
        <v>1142.02</v>
      </c>
      <c r="E3580" s="80">
        <v>45819</v>
      </c>
      <c r="F3580">
        <v>3010111</v>
      </c>
      <c r="G3580">
        <v>0</v>
      </c>
    </row>
    <row r="3581" spans="1:7" x14ac:dyDescent="0.3">
      <c r="A3581" s="80">
        <v>45659</v>
      </c>
      <c r="B3581">
        <v>3010212</v>
      </c>
      <c r="C3581">
        <v>1142.02</v>
      </c>
      <c r="E3581" s="80">
        <v>45818</v>
      </c>
      <c r="F3581">
        <v>3010111</v>
      </c>
      <c r="G3581">
        <v>1504</v>
      </c>
    </row>
    <row r="3582" spans="1:7" x14ac:dyDescent="0.3">
      <c r="A3582" s="80">
        <v>45659</v>
      </c>
      <c r="B3582">
        <v>3010212</v>
      </c>
      <c r="C3582">
        <v>1142.02</v>
      </c>
      <c r="E3582" s="80">
        <v>45818</v>
      </c>
      <c r="F3582">
        <v>3010111</v>
      </c>
      <c r="G3582">
        <v>1504</v>
      </c>
    </row>
    <row r="3583" spans="1:7" x14ac:dyDescent="0.3">
      <c r="A3583" s="80">
        <v>45659</v>
      </c>
      <c r="B3583">
        <v>3010212</v>
      </c>
      <c r="C3583">
        <v>1142.02</v>
      </c>
      <c r="E3583" s="80">
        <v>45818</v>
      </c>
      <c r="F3583">
        <v>3010111</v>
      </c>
      <c r="G3583">
        <v>1504</v>
      </c>
    </row>
    <row r="3584" spans="1:7" x14ac:dyDescent="0.3">
      <c r="A3584" s="80">
        <v>45659</v>
      </c>
      <c r="B3584">
        <v>3010212</v>
      </c>
      <c r="C3584">
        <v>1142.02</v>
      </c>
      <c r="E3584" s="80">
        <v>45818</v>
      </c>
      <c r="F3584">
        <v>3010111</v>
      </c>
      <c r="G3584">
        <v>0</v>
      </c>
    </row>
    <row r="3585" spans="1:7" x14ac:dyDescent="0.3">
      <c r="A3585" s="80">
        <v>45659</v>
      </c>
      <c r="B3585">
        <v>3010212</v>
      </c>
      <c r="C3585">
        <v>1142.02</v>
      </c>
      <c r="E3585" s="80">
        <v>45817</v>
      </c>
      <c r="F3585">
        <v>3010111</v>
      </c>
      <c r="G3585">
        <v>0</v>
      </c>
    </row>
    <row r="3586" spans="1:7" x14ac:dyDescent="0.3">
      <c r="A3586" s="80">
        <v>45659</v>
      </c>
      <c r="B3586">
        <v>3010212</v>
      </c>
      <c r="C3586">
        <v>1142.02</v>
      </c>
      <c r="E3586" s="80">
        <v>45817</v>
      </c>
      <c r="F3586">
        <v>3010111</v>
      </c>
      <c r="G3586">
        <v>0</v>
      </c>
    </row>
    <row r="3587" spans="1:7" x14ac:dyDescent="0.3">
      <c r="A3587" s="80">
        <v>45659</v>
      </c>
      <c r="B3587">
        <v>3010212</v>
      </c>
      <c r="C3587">
        <v>1142.02</v>
      </c>
      <c r="E3587" s="80">
        <v>45817</v>
      </c>
      <c r="F3587">
        <v>3010111</v>
      </c>
      <c r="G3587">
        <v>0</v>
      </c>
    </row>
    <row r="3588" spans="1:7" x14ac:dyDescent="0.3">
      <c r="A3588" s="80">
        <v>45659</v>
      </c>
      <c r="B3588">
        <v>3010212</v>
      </c>
      <c r="C3588">
        <v>1142.02</v>
      </c>
      <c r="E3588" s="80">
        <v>45817</v>
      </c>
      <c r="F3588">
        <v>3010111</v>
      </c>
      <c r="G3588">
        <v>1504</v>
      </c>
    </row>
    <row r="3589" spans="1:7" x14ac:dyDescent="0.3">
      <c r="A3589" s="80">
        <v>45659</v>
      </c>
      <c r="B3589">
        <v>3010212</v>
      </c>
      <c r="C3589">
        <v>1142.02</v>
      </c>
      <c r="E3589" s="80">
        <v>45817</v>
      </c>
      <c r="F3589">
        <v>3010111</v>
      </c>
      <c r="G3589">
        <v>1504</v>
      </c>
    </row>
    <row r="3590" spans="1:7" x14ac:dyDescent="0.3">
      <c r="A3590" s="80">
        <v>45658</v>
      </c>
      <c r="B3590">
        <v>3010212</v>
      </c>
      <c r="C3590">
        <v>1142.02</v>
      </c>
      <c r="E3590" s="80">
        <v>45816</v>
      </c>
      <c r="F3590">
        <v>3010111</v>
      </c>
      <c r="G3590">
        <v>0</v>
      </c>
    </row>
    <row r="3591" spans="1:7" x14ac:dyDescent="0.3">
      <c r="A3591" s="80">
        <v>45658</v>
      </c>
      <c r="B3591">
        <v>3010212</v>
      </c>
      <c r="C3591">
        <v>1142.02</v>
      </c>
      <c r="E3591" s="80">
        <v>45816</v>
      </c>
      <c r="F3591">
        <v>3010111</v>
      </c>
      <c r="G3591">
        <v>2092</v>
      </c>
    </row>
    <row r="3592" spans="1:7" x14ac:dyDescent="0.3">
      <c r="A3592" s="80">
        <v>45658</v>
      </c>
      <c r="B3592">
        <v>3010212</v>
      </c>
      <c r="C3592">
        <v>1142.02</v>
      </c>
      <c r="E3592" s="80">
        <v>45816</v>
      </c>
      <c r="F3592">
        <v>3010111</v>
      </c>
      <c r="G3592">
        <v>1504</v>
      </c>
    </row>
    <row r="3593" spans="1:7" x14ac:dyDescent="0.3">
      <c r="A3593" s="80">
        <v>45658</v>
      </c>
      <c r="B3593">
        <v>3010212</v>
      </c>
      <c r="C3593">
        <v>1142.02</v>
      </c>
      <c r="E3593" s="80">
        <v>45816</v>
      </c>
      <c r="F3593">
        <v>3010111</v>
      </c>
      <c r="G3593">
        <v>1504</v>
      </c>
    </row>
    <row r="3594" spans="1:7" x14ac:dyDescent="0.3">
      <c r="A3594" s="80">
        <v>45658</v>
      </c>
      <c r="B3594">
        <v>3010212</v>
      </c>
      <c r="C3594">
        <v>1142.02</v>
      </c>
      <c r="E3594" s="80">
        <v>45815</v>
      </c>
      <c r="F3594">
        <v>3010111</v>
      </c>
      <c r="G3594">
        <v>1504</v>
      </c>
    </row>
    <row r="3595" spans="1:7" x14ac:dyDescent="0.3">
      <c r="A3595" s="80">
        <v>45658</v>
      </c>
      <c r="B3595">
        <v>3010212</v>
      </c>
      <c r="C3595">
        <v>1142.02</v>
      </c>
      <c r="E3595" s="80">
        <v>45814</v>
      </c>
      <c r="F3595">
        <v>3010111</v>
      </c>
      <c r="G3595">
        <v>2345</v>
      </c>
    </row>
    <row r="3596" spans="1:7" x14ac:dyDescent="0.3">
      <c r="A3596" s="80">
        <v>45658</v>
      </c>
      <c r="B3596">
        <v>3010212</v>
      </c>
      <c r="C3596">
        <v>1142.02</v>
      </c>
      <c r="E3596" s="80">
        <v>45814</v>
      </c>
      <c r="F3596">
        <v>3010111</v>
      </c>
      <c r="G3596">
        <v>1504</v>
      </c>
    </row>
    <row r="3597" spans="1:7" x14ac:dyDescent="0.3">
      <c r="A3597" s="80">
        <v>45658</v>
      </c>
      <c r="B3597">
        <v>3010212</v>
      </c>
      <c r="C3597">
        <v>1142.02</v>
      </c>
      <c r="E3597" s="80">
        <v>45814</v>
      </c>
      <c r="F3597">
        <v>3010111</v>
      </c>
      <c r="G3597">
        <v>0</v>
      </c>
    </row>
    <row r="3598" spans="1:7" x14ac:dyDescent="0.3">
      <c r="A3598" s="80">
        <v>45658</v>
      </c>
      <c r="B3598">
        <v>3010212</v>
      </c>
      <c r="C3598">
        <v>1142.02</v>
      </c>
      <c r="E3598" s="80">
        <v>45814</v>
      </c>
      <c r="F3598">
        <v>3010111</v>
      </c>
      <c r="G3598">
        <v>5202</v>
      </c>
    </row>
    <row r="3599" spans="1:7" x14ac:dyDescent="0.3">
      <c r="A3599" s="80">
        <v>45658</v>
      </c>
      <c r="B3599">
        <v>3010212</v>
      </c>
      <c r="C3599">
        <v>380.42</v>
      </c>
      <c r="E3599" s="80">
        <v>45813</v>
      </c>
      <c r="F3599">
        <v>3010111</v>
      </c>
      <c r="G3599">
        <v>2008</v>
      </c>
    </row>
    <row r="3600" spans="1:7" x14ac:dyDescent="0.3">
      <c r="A3600" s="80">
        <v>45658</v>
      </c>
      <c r="B3600">
        <v>3010212</v>
      </c>
      <c r="C3600">
        <v>1142.02</v>
      </c>
      <c r="E3600" s="80">
        <v>45813</v>
      </c>
      <c r="F3600">
        <v>3010111</v>
      </c>
      <c r="G3600">
        <v>1504</v>
      </c>
    </row>
    <row r="3601" spans="1:7" x14ac:dyDescent="0.3">
      <c r="A3601" s="80">
        <v>45658</v>
      </c>
      <c r="B3601">
        <v>3010212</v>
      </c>
      <c r="C3601">
        <v>1142.02</v>
      </c>
      <c r="E3601" s="80">
        <v>45813</v>
      </c>
      <c r="F3601">
        <v>3010111</v>
      </c>
      <c r="G3601">
        <v>0</v>
      </c>
    </row>
    <row r="3602" spans="1:7" x14ac:dyDescent="0.3">
      <c r="A3602" s="80">
        <v>45658</v>
      </c>
      <c r="B3602">
        <v>3010212</v>
      </c>
      <c r="C3602">
        <v>1027.82</v>
      </c>
      <c r="E3602" s="80">
        <v>45813</v>
      </c>
      <c r="F3602">
        <v>3010111</v>
      </c>
      <c r="G3602">
        <v>2092</v>
      </c>
    </row>
    <row r="3603" spans="1:7" x14ac:dyDescent="0.3">
      <c r="A3603" s="80">
        <v>45658</v>
      </c>
      <c r="B3603">
        <v>3010212</v>
      </c>
      <c r="C3603">
        <v>1142.02</v>
      </c>
      <c r="E3603" s="80">
        <v>45813</v>
      </c>
      <c r="F3603">
        <v>3010111</v>
      </c>
      <c r="G3603">
        <v>0</v>
      </c>
    </row>
    <row r="3604" spans="1:7" x14ac:dyDescent="0.3">
      <c r="A3604" s="80">
        <v>45658</v>
      </c>
      <c r="B3604">
        <v>3010212</v>
      </c>
      <c r="C3604">
        <v>1027.82</v>
      </c>
      <c r="E3604" s="80">
        <v>45813</v>
      </c>
      <c r="F3604">
        <v>3010111</v>
      </c>
      <c r="G3604">
        <v>1504</v>
      </c>
    </row>
    <row r="3605" spans="1:7" x14ac:dyDescent="0.3">
      <c r="A3605" s="80">
        <v>45838</v>
      </c>
      <c r="B3605">
        <v>3010212</v>
      </c>
      <c r="C3605">
        <v>1142.02</v>
      </c>
      <c r="E3605" s="80">
        <v>45813</v>
      </c>
      <c r="F3605">
        <v>3010111</v>
      </c>
      <c r="G3605">
        <v>0</v>
      </c>
    </row>
    <row r="3606" spans="1:7" x14ac:dyDescent="0.3">
      <c r="A3606" s="80">
        <v>45844</v>
      </c>
      <c r="B3606">
        <v>3010212</v>
      </c>
      <c r="C3606">
        <v>1142.02</v>
      </c>
      <c r="E3606" s="80">
        <v>45813</v>
      </c>
      <c r="F3606">
        <v>3010111</v>
      </c>
      <c r="G3606">
        <v>5790</v>
      </c>
    </row>
    <row r="3607" spans="1:7" x14ac:dyDescent="0.3">
      <c r="A3607" s="80">
        <v>45835</v>
      </c>
      <c r="B3607">
        <v>3010212</v>
      </c>
      <c r="C3607">
        <v>1142.02</v>
      </c>
      <c r="E3607" s="80">
        <v>45813</v>
      </c>
      <c r="F3607">
        <v>3010111</v>
      </c>
      <c r="G3607">
        <v>2092</v>
      </c>
    </row>
    <row r="3608" spans="1:7" x14ac:dyDescent="0.3">
      <c r="A3608" s="80">
        <v>45844</v>
      </c>
      <c r="B3608">
        <v>3010212</v>
      </c>
      <c r="C3608">
        <v>1142.02</v>
      </c>
      <c r="E3608" s="80">
        <v>45813</v>
      </c>
      <c r="F3608">
        <v>3010111</v>
      </c>
      <c r="G3608">
        <v>1504</v>
      </c>
    </row>
    <row r="3609" spans="1:7" x14ac:dyDescent="0.3">
      <c r="A3609" s="80">
        <v>45841</v>
      </c>
      <c r="B3609">
        <v>3010212</v>
      </c>
      <c r="C3609">
        <v>0.38</v>
      </c>
      <c r="E3609" s="80">
        <v>45813</v>
      </c>
      <c r="F3609">
        <v>3010111</v>
      </c>
      <c r="G3609">
        <v>2008</v>
      </c>
    </row>
    <row r="3610" spans="1:7" x14ac:dyDescent="0.3">
      <c r="A3610" s="80">
        <v>45833</v>
      </c>
      <c r="B3610">
        <v>3010212</v>
      </c>
      <c r="C3610">
        <v>1142.02</v>
      </c>
      <c r="E3610" s="80">
        <v>45813</v>
      </c>
      <c r="F3610">
        <v>3010111</v>
      </c>
      <c r="G3610">
        <v>0</v>
      </c>
    </row>
    <row r="3611" spans="1:7" x14ac:dyDescent="0.3">
      <c r="A3611" s="80">
        <v>45833</v>
      </c>
      <c r="B3611">
        <v>3010212</v>
      </c>
      <c r="C3611">
        <v>1142.02</v>
      </c>
      <c r="E3611" s="80">
        <v>45813</v>
      </c>
      <c r="F3611">
        <v>3010111</v>
      </c>
      <c r="G3611">
        <v>1840</v>
      </c>
    </row>
    <row r="3612" spans="1:7" x14ac:dyDescent="0.3">
      <c r="A3612" s="80">
        <v>45833</v>
      </c>
      <c r="B3612">
        <v>3010212</v>
      </c>
      <c r="C3612">
        <v>1142.02</v>
      </c>
      <c r="E3612" s="80">
        <v>45813</v>
      </c>
      <c r="F3612">
        <v>3010111</v>
      </c>
      <c r="G3612">
        <v>3689</v>
      </c>
    </row>
    <row r="3613" spans="1:7" x14ac:dyDescent="0.3">
      <c r="A3613" s="80">
        <v>45838</v>
      </c>
      <c r="B3613">
        <v>3010212</v>
      </c>
      <c r="C3613">
        <v>1142.02</v>
      </c>
      <c r="E3613" s="80">
        <v>45812</v>
      </c>
      <c r="F3613">
        <v>3010111</v>
      </c>
      <c r="G3613">
        <v>1504</v>
      </c>
    </row>
    <row r="3614" spans="1:7" x14ac:dyDescent="0.3">
      <c r="A3614" s="80">
        <v>45828</v>
      </c>
      <c r="B3614">
        <v>3010212</v>
      </c>
      <c r="C3614">
        <v>1142.02</v>
      </c>
      <c r="E3614" s="80">
        <v>45812</v>
      </c>
      <c r="F3614">
        <v>3010111</v>
      </c>
      <c r="G3614">
        <v>1504</v>
      </c>
    </row>
    <row r="3615" spans="1:7" x14ac:dyDescent="0.3">
      <c r="A3615" s="80">
        <v>45828</v>
      </c>
      <c r="B3615">
        <v>3010212</v>
      </c>
      <c r="C3615">
        <v>1142.02</v>
      </c>
      <c r="E3615" s="80">
        <v>45812</v>
      </c>
      <c r="F3615">
        <v>3010111</v>
      </c>
      <c r="G3615">
        <v>1504</v>
      </c>
    </row>
    <row r="3616" spans="1:7" x14ac:dyDescent="0.3">
      <c r="A3616" s="80">
        <v>45832</v>
      </c>
      <c r="B3616">
        <v>3010212</v>
      </c>
      <c r="C3616">
        <v>1142.02</v>
      </c>
      <c r="E3616" s="80">
        <v>45812</v>
      </c>
      <c r="F3616">
        <v>3010111</v>
      </c>
      <c r="G3616">
        <v>0</v>
      </c>
    </row>
    <row r="3617" spans="1:7" x14ac:dyDescent="0.3">
      <c r="A3617" s="80">
        <v>45832</v>
      </c>
      <c r="B3617">
        <v>3010212</v>
      </c>
      <c r="C3617">
        <v>1142.02</v>
      </c>
      <c r="E3617" s="80">
        <v>45812</v>
      </c>
      <c r="F3617">
        <v>3010111</v>
      </c>
      <c r="G3617">
        <v>0</v>
      </c>
    </row>
    <row r="3618" spans="1:7" x14ac:dyDescent="0.3">
      <c r="A3618" s="80">
        <v>45834</v>
      </c>
      <c r="B3618">
        <v>3010212</v>
      </c>
      <c r="C3618">
        <v>1142.02</v>
      </c>
      <c r="E3618" s="80">
        <v>45812</v>
      </c>
      <c r="F3618">
        <v>3010111</v>
      </c>
      <c r="G3618">
        <v>2008</v>
      </c>
    </row>
    <row r="3619" spans="1:7" x14ac:dyDescent="0.3">
      <c r="A3619" s="80">
        <v>45838</v>
      </c>
      <c r="B3619">
        <v>3010212</v>
      </c>
      <c r="C3619">
        <v>1142.02</v>
      </c>
      <c r="E3619" s="80">
        <v>45812</v>
      </c>
      <c r="F3619">
        <v>3010111</v>
      </c>
      <c r="G3619">
        <v>1504</v>
      </c>
    </row>
    <row r="3620" spans="1:7" x14ac:dyDescent="0.3">
      <c r="A3620" s="80">
        <v>45840</v>
      </c>
      <c r="B3620">
        <v>3010212</v>
      </c>
      <c r="C3620">
        <v>1142.02</v>
      </c>
      <c r="E3620" s="80">
        <v>45812</v>
      </c>
      <c r="F3620">
        <v>3010111</v>
      </c>
      <c r="G3620">
        <v>1504</v>
      </c>
    </row>
    <row r="3621" spans="1:7" x14ac:dyDescent="0.3">
      <c r="A3621" s="80">
        <v>45840</v>
      </c>
      <c r="B3621">
        <v>3010212</v>
      </c>
      <c r="C3621">
        <v>1142.02</v>
      </c>
      <c r="E3621" s="80">
        <v>45812</v>
      </c>
      <c r="F3621">
        <v>3010111</v>
      </c>
      <c r="G3621">
        <v>0</v>
      </c>
    </row>
    <row r="3622" spans="1:7" x14ac:dyDescent="0.3">
      <c r="A3622" s="80">
        <v>45841</v>
      </c>
      <c r="B3622">
        <v>3010212</v>
      </c>
      <c r="C3622">
        <v>1142.02</v>
      </c>
      <c r="E3622" s="80">
        <v>45812</v>
      </c>
      <c r="F3622">
        <v>3010111</v>
      </c>
      <c r="G3622">
        <v>0</v>
      </c>
    </row>
    <row r="3623" spans="1:7" x14ac:dyDescent="0.3">
      <c r="A3623" s="80">
        <v>45841</v>
      </c>
      <c r="B3623">
        <v>3010212</v>
      </c>
      <c r="C3623">
        <v>1142.02</v>
      </c>
      <c r="E3623" s="80">
        <v>45812</v>
      </c>
      <c r="F3623">
        <v>3010111</v>
      </c>
      <c r="G3623">
        <v>1504</v>
      </c>
    </row>
    <row r="3624" spans="1:7" x14ac:dyDescent="0.3">
      <c r="A3624" s="80">
        <v>45830</v>
      </c>
      <c r="B3624">
        <v>3010212</v>
      </c>
      <c r="C3624">
        <v>380.42</v>
      </c>
      <c r="E3624" s="80">
        <v>45812</v>
      </c>
      <c r="F3624">
        <v>3010111</v>
      </c>
      <c r="G3624">
        <v>1504</v>
      </c>
    </row>
    <row r="3625" spans="1:7" x14ac:dyDescent="0.3">
      <c r="A3625" s="80">
        <v>45830</v>
      </c>
      <c r="B3625">
        <v>3010212</v>
      </c>
      <c r="C3625">
        <v>380.42</v>
      </c>
      <c r="E3625" s="80">
        <v>45812</v>
      </c>
      <c r="F3625">
        <v>3010111</v>
      </c>
      <c r="G3625">
        <v>0</v>
      </c>
    </row>
    <row r="3626" spans="1:7" x14ac:dyDescent="0.3">
      <c r="A3626" s="80">
        <v>45830</v>
      </c>
      <c r="B3626">
        <v>3010212</v>
      </c>
      <c r="C3626">
        <v>1256.26</v>
      </c>
      <c r="E3626" s="80">
        <v>45812</v>
      </c>
      <c r="F3626">
        <v>3010111</v>
      </c>
      <c r="G3626">
        <v>1504</v>
      </c>
    </row>
    <row r="3627" spans="1:7" x14ac:dyDescent="0.3">
      <c r="A3627" s="80">
        <v>45830</v>
      </c>
      <c r="B3627">
        <v>3010212</v>
      </c>
      <c r="C3627">
        <v>1256.26</v>
      </c>
      <c r="E3627" s="80">
        <v>45812</v>
      </c>
      <c r="F3627">
        <v>3010111</v>
      </c>
      <c r="G3627">
        <v>0</v>
      </c>
    </row>
    <row r="3628" spans="1:7" x14ac:dyDescent="0.3">
      <c r="A3628" s="80">
        <v>45832</v>
      </c>
      <c r="B3628">
        <v>3010212</v>
      </c>
      <c r="C3628">
        <v>1256.26</v>
      </c>
      <c r="E3628" s="80">
        <v>45812</v>
      </c>
      <c r="F3628">
        <v>3010111</v>
      </c>
      <c r="G3628">
        <v>1504</v>
      </c>
    </row>
    <row r="3629" spans="1:7" x14ac:dyDescent="0.3">
      <c r="A3629" s="80">
        <v>45832</v>
      </c>
      <c r="B3629">
        <v>3010212</v>
      </c>
      <c r="C3629">
        <v>2512.52</v>
      </c>
      <c r="E3629" s="80">
        <v>45812</v>
      </c>
      <c r="F3629">
        <v>3010111</v>
      </c>
      <c r="G3629">
        <v>0</v>
      </c>
    </row>
    <row r="3630" spans="1:7" x14ac:dyDescent="0.3">
      <c r="A3630" s="80">
        <v>45834</v>
      </c>
      <c r="B3630">
        <v>3010212</v>
      </c>
      <c r="C3630">
        <v>1142.02</v>
      </c>
      <c r="E3630" s="80">
        <v>45812</v>
      </c>
      <c r="F3630">
        <v>3010111</v>
      </c>
      <c r="G3630">
        <v>4193</v>
      </c>
    </row>
    <row r="3631" spans="1:7" x14ac:dyDescent="0.3">
      <c r="A3631" s="80">
        <v>45834</v>
      </c>
      <c r="B3631">
        <v>3010212</v>
      </c>
      <c r="C3631">
        <v>1142.02</v>
      </c>
      <c r="E3631" s="80">
        <v>45812</v>
      </c>
      <c r="F3631">
        <v>3010111</v>
      </c>
      <c r="G3631">
        <v>2345</v>
      </c>
    </row>
    <row r="3632" spans="1:7" x14ac:dyDescent="0.3">
      <c r="A3632" s="80">
        <v>45835</v>
      </c>
      <c r="B3632">
        <v>3010212</v>
      </c>
      <c r="C3632">
        <v>1142.02</v>
      </c>
      <c r="E3632" s="80">
        <v>45812</v>
      </c>
      <c r="F3632">
        <v>3010111</v>
      </c>
      <c r="G3632">
        <v>1504</v>
      </c>
    </row>
    <row r="3633" spans="1:7" x14ac:dyDescent="0.3">
      <c r="A3633" s="80">
        <v>45835</v>
      </c>
      <c r="B3633">
        <v>3010212</v>
      </c>
      <c r="C3633">
        <v>380.42</v>
      </c>
      <c r="E3633" s="80">
        <v>45812</v>
      </c>
      <c r="F3633">
        <v>3010111</v>
      </c>
      <c r="G3633">
        <v>2933</v>
      </c>
    </row>
    <row r="3634" spans="1:7" x14ac:dyDescent="0.3">
      <c r="A3634" s="80">
        <v>45836</v>
      </c>
      <c r="B3634">
        <v>3010212</v>
      </c>
      <c r="C3634">
        <v>1142.02</v>
      </c>
      <c r="E3634" s="80">
        <v>45812</v>
      </c>
      <c r="F3634">
        <v>3010111</v>
      </c>
      <c r="G3634">
        <v>2008</v>
      </c>
    </row>
    <row r="3635" spans="1:7" x14ac:dyDescent="0.3">
      <c r="A3635" s="80">
        <v>45837</v>
      </c>
      <c r="B3635">
        <v>3010212</v>
      </c>
      <c r="C3635">
        <v>1142.02</v>
      </c>
      <c r="E3635" s="80">
        <v>45812</v>
      </c>
      <c r="F3635">
        <v>3010111</v>
      </c>
      <c r="G3635">
        <v>1504</v>
      </c>
    </row>
    <row r="3636" spans="1:7" x14ac:dyDescent="0.3">
      <c r="A3636" s="80">
        <v>45837</v>
      </c>
      <c r="B3636">
        <v>3010212</v>
      </c>
      <c r="C3636">
        <v>1142.02</v>
      </c>
      <c r="E3636" s="80">
        <v>45811</v>
      </c>
      <c r="F3636">
        <v>3010111</v>
      </c>
      <c r="G3636">
        <v>1504</v>
      </c>
    </row>
    <row r="3637" spans="1:7" x14ac:dyDescent="0.3">
      <c r="A3637" s="80">
        <v>45838</v>
      </c>
      <c r="B3637">
        <v>3010212</v>
      </c>
      <c r="C3637">
        <v>1142.02</v>
      </c>
      <c r="E3637" s="80">
        <v>45811</v>
      </c>
      <c r="F3637">
        <v>3010111</v>
      </c>
      <c r="G3637">
        <v>1504</v>
      </c>
    </row>
    <row r="3638" spans="1:7" x14ac:dyDescent="0.3">
      <c r="A3638" s="80">
        <v>45838</v>
      </c>
      <c r="B3638">
        <v>3010212</v>
      </c>
      <c r="C3638">
        <v>1142.02</v>
      </c>
      <c r="E3638" s="80">
        <v>45811</v>
      </c>
      <c r="F3638">
        <v>3010111</v>
      </c>
      <c r="G3638">
        <v>1504</v>
      </c>
    </row>
    <row r="3639" spans="1:7" x14ac:dyDescent="0.3">
      <c r="A3639" s="80">
        <v>45839</v>
      </c>
      <c r="B3639">
        <v>3010212</v>
      </c>
      <c r="C3639">
        <v>1142.02</v>
      </c>
      <c r="E3639" s="80">
        <v>45811</v>
      </c>
      <c r="F3639">
        <v>3010111</v>
      </c>
      <c r="G3639">
        <v>1504</v>
      </c>
    </row>
    <row r="3640" spans="1:7" x14ac:dyDescent="0.3">
      <c r="A3640" s="80">
        <v>45839</v>
      </c>
      <c r="B3640">
        <v>3010212</v>
      </c>
      <c r="C3640">
        <v>1142.02</v>
      </c>
      <c r="E3640" s="80">
        <v>45811</v>
      </c>
      <c r="F3640">
        <v>3010111</v>
      </c>
      <c r="G3640">
        <v>2933</v>
      </c>
    </row>
    <row r="3641" spans="1:7" x14ac:dyDescent="0.3">
      <c r="A3641" s="80">
        <v>45840</v>
      </c>
      <c r="B3641">
        <v>3010212</v>
      </c>
      <c r="C3641">
        <v>1142.02</v>
      </c>
      <c r="E3641" s="80">
        <v>45811</v>
      </c>
      <c r="F3641">
        <v>3010111</v>
      </c>
      <c r="G3641">
        <v>1504</v>
      </c>
    </row>
    <row r="3642" spans="1:7" x14ac:dyDescent="0.3">
      <c r="A3642" s="80">
        <v>45840</v>
      </c>
      <c r="B3642">
        <v>3010212</v>
      </c>
      <c r="C3642">
        <v>1142.02</v>
      </c>
      <c r="E3642" s="80">
        <v>45811</v>
      </c>
      <c r="F3642">
        <v>3010111</v>
      </c>
      <c r="G3642">
        <v>1504</v>
      </c>
    </row>
    <row r="3643" spans="1:7" x14ac:dyDescent="0.3">
      <c r="A3643" s="80">
        <v>45841</v>
      </c>
      <c r="B3643">
        <v>3010212</v>
      </c>
      <c r="C3643">
        <v>1142.02</v>
      </c>
      <c r="E3643" s="80">
        <v>45811</v>
      </c>
      <c r="F3643">
        <v>3010111</v>
      </c>
      <c r="G3643">
        <v>1504</v>
      </c>
    </row>
    <row r="3644" spans="1:7" x14ac:dyDescent="0.3">
      <c r="A3644" s="80">
        <v>45841</v>
      </c>
      <c r="B3644">
        <v>3010212</v>
      </c>
      <c r="C3644">
        <v>1142.02</v>
      </c>
      <c r="E3644" s="80">
        <v>45811</v>
      </c>
      <c r="F3644">
        <v>3010111</v>
      </c>
      <c r="G3644">
        <v>2092</v>
      </c>
    </row>
    <row r="3645" spans="1:7" x14ac:dyDescent="0.3">
      <c r="A3645" s="80">
        <v>45842</v>
      </c>
      <c r="B3645">
        <v>3010212</v>
      </c>
      <c r="C3645">
        <v>380.42</v>
      </c>
      <c r="E3645" s="80">
        <v>45811</v>
      </c>
      <c r="F3645">
        <v>3010111</v>
      </c>
      <c r="G3645">
        <v>1504</v>
      </c>
    </row>
    <row r="3646" spans="1:7" x14ac:dyDescent="0.3">
      <c r="A3646" s="80">
        <v>45842</v>
      </c>
      <c r="B3646">
        <v>3010212</v>
      </c>
      <c r="C3646">
        <v>1142.02</v>
      </c>
      <c r="E3646" s="80">
        <v>45811</v>
      </c>
      <c r="F3646">
        <v>3010111</v>
      </c>
      <c r="G3646">
        <v>1504</v>
      </c>
    </row>
    <row r="3647" spans="1:7" x14ac:dyDescent="0.3">
      <c r="A3647" s="80">
        <v>45844</v>
      </c>
      <c r="B3647">
        <v>3010212</v>
      </c>
      <c r="C3647">
        <v>1142.02</v>
      </c>
      <c r="E3647" s="80">
        <v>45811</v>
      </c>
      <c r="F3647">
        <v>3010111</v>
      </c>
      <c r="G3647">
        <v>3773</v>
      </c>
    </row>
    <row r="3648" spans="1:7" x14ac:dyDescent="0.3">
      <c r="A3648" s="80">
        <v>45844</v>
      </c>
      <c r="B3648">
        <v>3010212</v>
      </c>
      <c r="C3648">
        <v>1142.02</v>
      </c>
      <c r="E3648" s="80">
        <v>45810</v>
      </c>
      <c r="F3648">
        <v>3010111</v>
      </c>
      <c r="G3648">
        <v>1504</v>
      </c>
    </row>
    <row r="3649" spans="1:7" x14ac:dyDescent="0.3">
      <c r="A3649" s="80">
        <v>45828</v>
      </c>
      <c r="B3649">
        <v>3010200</v>
      </c>
      <c r="C3649">
        <v>5000</v>
      </c>
      <c r="E3649" s="80">
        <v>45810</v>
      </c>
      <c r="F3649">
        <v>3010111</v>
      </c>
      <c r="G3649">
        <v>1504</v>
      </c>
    </row>
    <row r="3650" spans="1:7" x14ac:dyDescent="0.3">
      <c r="A3650" s="80">
        <v>45827</v>
      </c>
      <c r="B3650">
        <v>3010200</v>
      </c>
      <c r="C3650">
        <v>5000</v>
      </c>
      <c r="E3650" s="80">
        <v>45810</v>
      </c>
      <c r="F3650">
        <v>3010111</v>
      </c>
      <c r="G3650">
        <v>2933</v>
      </c>
    </row>
    <row r="3651" spans="1:7" x14ac:dyDescent="0.3">
      <c r="A3651" s="80">
        <v>45827</v>
      </c>
      <c r="B3651">
        <v>3010200</v>
      </c>
      <c r="C3651">
        <v>4500</v>
      </c>
      <c r="E3651" s="80">
        <v>45810</v>
      </c>
      <c r="F3651">
        <v>3010111</v>
      </c>
      <c r="G3651">
        <v>1504</v>
      </c>
    </row>
    <row r="3652" spans="1:7" x14ac:dyDescent="0.3">
      <c r="A3652" s="80">
        <v>45826</v>
      </c>
      <c r="B3652">
        <v>3010200</v>
      </c>
      <c r="C3652">
        <v>5000</v>
      </c>
      <c r="E3652" s="80">
        <v>45810</v>
      </c>
      <c r="F3652">
        <v>3010111</v>
      </c>
      <c r="G3652">
        <v>1504</v>
      </c>
    </row>
    <row r="3653" spans="1:7" x14ac:dyDescent="0.3">
      <c r="A3653" s="80">
        <v>45826</v>
      </c>
      <c r="B3653">
        <v>3010200</v>
      </c>
      <c r="C3653">
        <v>5000</v>
      </c>
      <c r="E3653" s="80">
        <v>45810</v>
      </c>
      <c r="F3653">
        <v>3010111</v>
      </c>
      <c r="G3653">
        <v>0</v>
      </c>
    </row>
    <row r="3654" spans="1:7" x14ac:dyDescent="0.3">
      <c r="A3654" s="80">
        <v>45826</v>
      </c>
      <c r="B3654">
        <v>3010200</v>
      </c>
      <c r="C3654">
        <v>5000</v>
      </c>
      <c r="E3654" s="80">
        <v>45810</v>
      </c>
      <c r="F3654">
        <v>3010111</v>
      </c>
      <c r="G3654">
        <v>0</v>
      </c>
    </row>
    <row r="3655" spans="1:7" x14ac:dyDescent="0.3">
      <c r="A3655" s="80">
        <v>45825</v>
      </c>
      <c r="B3655">
        <v>3010200</v>
      </c>
      <c r="C3655">
        <v>4500</v>
      </c>
      <c r="E3655" s="80">
        <v>45810</v>
      </c>
      <c r="F3655">
        <v>3010111</v>
      </c>
      <c r="G3655">
        <v>5790</v>
      </c>
    </row>
    <row r="3656" spans="1:7" x14ac:dyDescent="0.3">
      <c r="A3656" s="80">
        <v>45825</v>
      </c>
      <c r="B3656">
        <v>3010200</v>
      </c>
      <c r="C3656">
        <v>500</v>
      </c>
      <c r="E3656" s="80">
        <v>45810</v>
      </c>
      <c r="F3656">
        <v>3010111</v>
      </c>
      <c r="G3656">
        <v>1504</v>
      </c>
    </row>
    <row r="3657" spans="1:7" x14ac:dyDescent="0.3">
      <c r="A3657" s="80">
        <v>45825</v>
      </c>
      <c r="B3657">
        <v>3010200</v>
      </c>
      <c r="C3657">
        <v>5000</v>
      </c>
      <c r="E3657" s="80">
        <v>45810</v>
      </c>
      <c r="F3657">
        <v>3010111</v>
      </c>
      <c r="G3657">
        <v>1504</v>
      </c>
    </row>
    <row r="3658" spans="1:7" x14ac:dyDescent="0.3">
      <c r="A3658" s="80">
        <v>45825</v>
      </c>
      <c r="B3658">
        <v>3010200</v>
      </c>
      <c r="C3658">
        <v>5000</v>
      </c>
      <c r="E3658" s="80">
        <v>45809</v>
      </c>
      <c r="F3658">
        <v>3010111</v>
      </c>
      <c r="G3658">
        <v>1504</v>
      </c>
    </row>
    <row r="3659" spans="1:7" x14ac:dyDescent="0.3">
      <c r="A3659" s="80">
        <v>45824</v>
      </c>
      <c r="B3659">
        <v>3010200</v>
      </c>
      <c r="C3659">
        <v>5000</v>
      </c>
      <c r="E3659" s="80">
        <v>45809</v>
      </c>
      <c r="F3659">
        <v>3010111</v>
      </c>
      <c r="G3659">
        <v>1504</v>
      </c>
    </row>
    <row r="3660" spans="1:7" x14ac:dyDescent="0.3">
      <c r="A3660" s="80">
        <v>45824</v>
      </c>
      <c r="B3660">
        <v>3010200</v>
      </c>
      <c r="C3660">
        <v>5000</v>
      </c>
      <c r="E3660" s="80">
        <v>45809</v>
      </c>
      <c r="F3660">
        <v>3010111</v>
      </c>
      <c r="G3660">
        <v>1504</v>
      </c>
    </row>
    <row r="3661" spans="1:7" x14ac:dyDescent="0.3">
      <c r="A3661" s="80">
        <v>45823</v>
      </c>
      <c r="B3661">
        <v>3010200</v>
      </c>
      <c r="C3661">
        <v>5000</v>
      </c>
      <c r="E3661" s="80">
        <v>45809</v>
      </c>
      <c r="F3661">
        <v>3010111</v>
      </c>
      <c r="G3661">
        <v>1840</v>
      </c>
    </row>
    <row r="3662" spans="1:7" x14ac:dyDescent="0.3">
      <c r="A3662" s="80">
        <v>45823</v>
      </c>
      <c r="B3662">
        <v>3010200</v>
      </c>
      <c r="C3662">
        <v>5000</v>
      </c>
      <c r="E3662" s="80">
        <v>45809</v>
      </c>
      <c r="F3662">
        <v>3010111</v>
      </c>
      <c r="G3662">
        <v>1504</v>
      </c>
    </row>
    <row r="3663" spans="1:7" x14ac:dyDescent="0.3">
      <c r="A3663" s="80">
        <v>45823</v>
      </c>
      <c r="B3663">
        <v>3010200</v>
      </c>
      <c r="C3663">
        <v>4500</v>
      </c>
      <c r="E3663" s="80">
        <v>45809</v>
      </c>
      <c r="F3663">
        <v>3010111</v>
      </c>
      <c r="G3663">
        <v>0</v>
      </c>
    </row>
    <row r="3664" spans="1:7" x14ac:dyDescent="0.3">
      <c r="A3664" s="80">
        <v>45823</v>
      </c>
      <c r="B3664">
        <v>3010200</v>
      </c>
      <c r="C3664">
        <v>4500</v>
      </c>
      <c r="E3664" s="80">
        <v>45809</v>
      </c>
      <c r="F3664">
        <v>3010111</v>
      </c>
      <c r="G3664">
        <v>1924</v>
      </c>
    </row>
    <row r="3665" spans="1:7" x14ac:dyDescent="0.3">
      <c r="A3665" s="80">
        <v>45822</v>
      </c>
      <c r="B3665">
        <v>3010200</v>
      </c>
      <c r="C3665">
        <v>5000</v>
      </c>
      <c r="E3665" s="80">
        <v>45809</v>
      </c>
      <c r="F3665">
        <v>3010111</v>
      </c>
      <c r="G3665">
        <v>0</v>
      </c>
    </row>
    <row r="3666" spans="1:7" x14ac:dyDescent="0.3">
      <c r="A3666" s="80">
        <v>45822</v>
      </c>
      <c r="B3666">
        <v>3010200</v>
      </c>
      <c r="C3666">
        <v>5000</v>
      </c>
      <c r="E3666" s="80">
        <v>45809</v>
      </c>
      <c r="F3666">
        <v>3010111</v>
      </c>
      <c r="G3666">
        <v>0</v>
      </c>
    </row>
    <row r="3667" spans="1:7" x14ac:dyDescent="0.3">
      <c r="A3667" s="80">
        <v>45822</v>
      </c>
      <c r="B3667">
        <v>3010200</v>
      </c>
      <c r="C3667">
        <v>5000</v>
      </c>
      <c r="E3667" s="80">
        <v>45809</v>
      </c>
      <c r="F3667">
        <v>3010111</v>
      </c>
      <c r="G3667">
        <v>0</v>
      </c>
    </row>
    <row r="3668" spans="1:7" x14ac:dyDescent="0.3">
      <c r="A3668" s="80">
        <v>45820</v>
      </c>
      <c r="B3668">
        <v>3010200</v>
      </c>
      <c r="C3668">
        <v>5000</v>
      </c>
      <c r="E3668" s="80">
        <v>45809</v>
      </c>
      <c r="F3668">
        <v>3010111</v>
      </c>
      <c r="G3668">
        <v>5118</v>
      </c>
    </row>
    <row r="3669" spans="1:7" x14ac:dyDescent="0.3">
      <c r="A3669" s="80">
        <v>45819</v>
      </c>
      <c r="B3669">
        <v>3010200</v>
      </c>
      <c r="C3669">
        <v>5000</v>
      </c>
      <c r="E3669" s="80">
        <v>45809</v>
      </c>
      <c r="F3669">
        <v>3010111</v>
      </c>
      <c r="G3669">
        <v>4193</v>
      </c>
    </row>
    <row r="3670" spans="1:7" x14ac:dyDescent="0.3">
      <c r="A3670" s="80">
        <v>45819</v>
      </c>
      <c r="B3670">
        <v>3010200</v>
      </c>
      <c r="C3670">
        <v>4500</v>
      </c>
      <c r="E3670" s="80">
        <v>45809</v>
      </c>
      <c r="F3670">
        <v>3010111</v>
      </c>
      <c r="G3670">
        <v>1504</v>
      </c>
    </row>
    <row r="3671" spans="1:7" x14ac:dyDescent="0.3">
      <c r="A3671" s="80">
        <v>45819</v>
      </c>
      <c r="B3671">
        <v>3010200</v>
      </c>
      <c r="C3671">
        <v>500</v>
      </c>
      <c r="E3671" s="80">
        <v>45808</v>
      </c>
      <c r="F3671">
        <v>3010111</v>
      </c>
      <c r="G3671">
        <v>2345</v>
      </c>
    </row>
    <row r="3672" spans="1:7" x14ac:dyDescent="0.3">
      <c r="A3672" s="80">
        <v>45819</v>
      </c>
      <c r="B3672">
        <v>3010200</v>
      </c>
      <c r="C3672">
        <v>5000</v>
      </c>
      <c r="E3672" s="80">
        <v>45808</v>
      </c>
      <c r="F3672">
        <v>3010111</v>
      </c>
      <c r="G3672">
        <v>0</v>
      </c>
    </row>
    <row r="3673" spans="1:7" x14ac:dyDescent="0.3">
      <c r="A3673" s="80">
        <v>45818</v>
      </c>
      <c r="B3673">
        <v>3010200</v>
      </c>
      <c r="C3673">
        <v>5000</v>
      </c>
      <c r="E3673" s="80">
        <v>45808</v>
      </c>
      <c r="F3673">
        <v>3010111</v>
      </c>
      <c r="G3673">
        <v>2008</v>
      </c>
    </row>
    <row r="3674" spans="1:7" x14ac:dyDescent="0.3">
      <c r="A3674" s="80">
        <v>45818</v>
      </c>
      <c r="B3674">
        <v>3010200</v>
      </c>
      <c r="C3674">
        <v>4500</v>
      </c>
      <c r="E3674" s="80">
        <v>45808</v>
      </c>
      <c r="F3674">
        <v>3010111</v>
      </c>
      <c r="G3674">
        <v>1504</v>
      </c>
    </row>
    <row r="3675" spans="1:7" x14ac:dyDescent="0.3">
      <c r="A3675" s="80">
        <v>45818</v>
      </c>
      <c r="B3675">
        <v>3010200</v>
      </c>
      <c r="C3675">
        <v>4500</v>
      </c>
      <c r="E3675" s="80">
        <v>45807</v>
      </c>
      <c r="F3675">
        <v>3010111</v>
      </c>
      <c r="G3675">
        <v>1504</v>
      </c>
    </row>
    <row r="3676" spans="1:7" x14ac:dyDescent="0.3">
      <c r="A3676" s="80">
        <v>45818</v>
      </c>
      <c r="B3676">
        <v>3010200</v>
      </c>
      <c r="C3676">
        <v>5000</v>
      </c>
      <c r="E3676" s="80">
        <v>45807</v>
      </c>
      <c r="F3676">
        <v>3010111</v>
      </c>
      <c r="G3676">
        <v>3773</v>
      </c>
    </row>
    <row r="3677" spans="1:7" x14ac:dyDescent="0.3">
      <c r="A3677" s="80">
        <v>45817</v>
      </c>
      <c r="B3677">
        <v>3010200</v>
      </c>
      <c r="C3677">
        <v>5000</v>
      </c>
      <c r="E3677" s="80">
        <v>45806</v>
      </c>
      <c r="F3677">
        <v>3010111</v>
      </c>
      <c r="G3677">
        <v>0</v>
      </c>
    </row>
    <row r="3678" spans="1:7" x14ac:dyDescent="0.3">
      <c r="A3678" s="80">
        <v>45817</v>
      </c>
      <c r="B3678">
        <v>3010200</v>
      </c>
      <c r="C3678">
        <v>5000</v>
      </c>
      <c r="E3678" s="80">
        <v>45806</v>
      </c>
      <c r="F3678">
        <v>3010111</v>
      </c>
      <c r="G3678">
        <v>1840</v>
      </c>
    </row>
    <row r="3679" spans="1:7" x14ac:dyDescent="0.3">
      <c r="A3679" s="80">
        <v>45817</v>
      </c>
      <c r="B3679">
        <v>3010200</v>
      </c>
      <c r="C3679">
        <v>5000</v>
      </c>
      <c r="E3679" s="80">
        <v>45805</v>
      </c>
      <c r="F3679">
        <v>3010111</v>
      </c>
      <c r="G3679">
        <v>1504</v>
      </c>
    </row>
    <row r="3680" spans="1:7" x14ac:dyDescent="0.3">
      <c r="A3680" s="80">
        <v>45817</v>
      </c>
      <c r="B3680">
        <v>3010200</v>
      </c>
      <c r="C3680">
        <v>5000</v>
      </c>
      <c r="E3680" s="80">
        <v>45805</v>
      </c>
      <c r="F3680">
        <v>3010111</v>
      </c>
      <c r="G3680">
        <v>0</v>
      </c>
    </row>
    <row r="3681" spans="1:7" x14ac:dyDescent="0.3">
      <c r="A3681" s="80">
        <v>45817</v>
      </c>
      <c r="B3681">
        <v>3010200</v>
      </c>
      <c r="C3681">
        <v>5000</v>
      </c>
      <c r="E3681" s="80">
        <v>45805</v>
      </c>
      <c r="F3681">
        <v>3010111</v>
      </c>
      <c r="G3681">
        <v>0</v>
      </c>
    </row>
    <row r="3682" spans="1:7" x14ac:dyDescent="0.3">
      <c r="A3682" s="80">
        <v>45816</v>
      </c>
      <c r="B3682">
        <v>3010200</v>
      </c>
      <c r="C3682">
        <v>5000</v>
      </c>
      <c r="E3682" s="80">
        <v>45805</v>
      </c>
      <c r="F3682">
        <v>3010111</v>
      </c>
      <c r="G3682">
        <v>0</v>
      </c>
    </row>
    <row r="3683" spans="1:7" x14ac:dyDescent="0.3">
      <c r="A3683" s="80">
        <v>45816</v>
      </c>
      <c r="B3683">
        <v>3010200</v>
      </c>
      <c r="C3683">
        <v>5000</v>
      </c>
      <c r="E3683" s="80">
        <v>45804</v>
      </c>
      <c r="F3683">
        <v>3010111</v>
      </c>
      <c r="G3683">
        <v>0</v>
      </c>
    </row>
    <row r="3684" spans="1:7" x14ac:dyDescent="0.3">
      <c r="A3684" s="80">
        <v>45816</v>
      </c>
      <c r="B3684">
        <v>3010200</v>
      </c>
      <c r="C3684">
        <v>2630</v>
      </c>
      <c r="E3684" s="80">
        <v>45804</v>
      </c>
      <c r="F3684">
        <v>3010111</v>
      </c>
      <c r="G3684">
        <v>0</v>
      </c>
    </row>
    <row r="3685" spans="1:7" x14ac:dyDescent="0.3">
      <c r="A3685" s="80">
        <v>45816</v>
      </c>
      <c r="B3685">
        <v>3010200</v>
      </c>
      <c r="C3685">
        <v>5000</v>
      </c>
      <c r="E3685" s="80">
        <v>45804</v>
      </c>
      <c r="F3685">
        <v>3010111</v>
      </c>
      <c r="G3685">
        <v>0</v>
      </c>
    </row>
    <row r="3686" spans="1:7" x14ac:dyDescent="0.3">
      <c r="A3686" s="80">
        <v>45815</v>
      </c>
      <c r="B3686">
        <v>3010200</v>
      </c>
      <c r="C3686">
        <v>5000</v>
      </c>
      <c r="E3686" s="80">
        <v>45804</v>
      </c>
      <c r="F3686">
        <v>3010111</v>
      </c>
      <c r="G3686">
        <v>0</v>
      </c>
    </row>
    <row r="3687" spans="1:7" x14ac:dyDescent="0.3">
      <c r="A3687" s="80">
        <v>45814</v>
      </c>
      <c r="B3687">
        <v>3010200</v>
      </c>
      <c r="C3687">
        <v>5000</v>
      </c>
      <c r="E3687" s="80">
        <v>45804</v>
      </c>
      <c r="F3687">
        <v>3010111</v>
      </c>
      <c r="G3687">
        <v>0</v>
      </c>
    </row>
    <row r="3688" spans="1:7" x14ac:dyDescent="0.3">
      <c r="A3688" s="80">
        <v>45814</v>
      </c>
      <c r="B3688">
        <v>3010200</v>
      </c>
      <c r="C3688">
        <v>5000</v>
      </c>
      <c r="E3688" s="80">
        <v>45804</v>
      </c>
      <c r="F3688">
        <v>3010111</v>
      </c>
      <c r="G3688">
        <v>0</v>
      </c>
    </row>
    <row r="3689" spans="1:7" x14ac:dyDescent="0.3">
      <c r="A3689" s="80">
        <v>45814</v>
      </c>
      <c r="B3689">
        <v>3010200</v>
      </c>
      <c r="C3689">
        <v>5000</v>
      </c>
      <c r="E3689" s="80">
        <v>45804</v>
      </c>
      <c r="F3689">
        <v>3010111</v>
      </c>
      <c r="G3689">
        <v>0</v>
      </c>
    </row>
    <row r="3690" spans="1:7" x14ac:dyDescent="0.3">
      <c r="A3690" s="80">
        <v>45814</v>
      </c>
      <c r="B3690">
        <v>3010200</v>
      </c>
      <c r="C3690">
        <v>9000</v>
      </c>
      <c r="E3690" s="80">
        <v>45804</v>
      </c>
      <c r="F3690">
        <v>3010111</v>
      </c>
      <c r="G3690">
        <v>0</v>
      </c>
    </row>
    <row r="3691" spans="1:7" x14ac:dyDescent="0.3">
      <c r="A3691" s="80">
        <v>45813</v>
      </c>
      <c r="B3691">
        <v>3010200</v>
      </c>
      <c r="C3691">
        <v>5000</v>
      </c>
      <c r="E3691" s="80">
        <v>45804</v>
      </c>
      <c r="F3691">
        <v>3010111</v>
      </c>
      <c r="G3691">
        <v>0</v>
      </c>
    </row>
    <row r="3692" spans="1:7" x14ac:dyDescent="0.3">
      <c r="A3692" s="80">
        <v>45813</v>
      </c>
      <c r="B3692">
        <v>3010200</v>
      </c>
      <c r="C3692">
        <v>5000</v>
      </c>
      <c r="E3692" s="80">
        <v>45804</v>
      </c>
      <c r="F3692">
        <v>3010111</v>
      </c>
      <c r="G3692">
        <v>1504</v>
      </c>
    </row>
    <row r="3693" spans="1:7" x14ac:dyDescent="0.3">
      <c r="A3693" s="80">
        <v>45813</v>
      </c>
      <c r="B3693">
        <v>3010200</v>
      </c>
      <c r="C3693">
        <v>4500</v>
      </c>
      <c r="E3693" s="80">
        <v>45803</v>
      </c>
      <c r="F3693">
        <v>3010111</v>
      </c>
      <c r="G3693">
        <v>0</v>
      </c>
    </row>
    <row r="3694" spans="1:7" x14ac:dyDescent="0.3">
      <c r="A3694" s="80">
        <v>45813</v>
      </c>
      <c r="B3694">
        <v>3010200</v>
      </c>
      <c r="C3694">
        <v>500</v>
      </c>
      <c r="E3694" s="80">
        <v>45803</v>
      </c>
      <c r="F3694">
        <v>3010111</v>
      </c>
      <c r="G3694">
        <v>0</v>
      </c>
    </row>
    <row r="3695" spans="1:7" x14ac:dyDescent="0.3">
      <c r="A3695" s="80">
        <v>45813</v>
      </c>
      <c r="B3695">
        <v>3010200</v>
      </c>
      <c r="C3695">
        <v>500</v>
      </c>
      <c r="E3695" s="80">
        <v>45803</v>
      </c>
      <c r="F3695">
        <v>3010111</v>
      </c>
      <c r="G3695">
        <v>0</v>
      </c>
    </row>
    <row r="3696" spans="1:7" x14ac:dyDescent="0.3">
      <c r="A3696" s="80">
        <v>45813</v>
      </c>
      <c r="B3696">
        <v>3010200</v>
      </c>
      <c r="C3696">
        <v>5000</v>
      </c>
      <c r="E3696" s="80">
        <v>45803</v>
      </c>
      <c r="F3696">
        <v>3010111</v>
      </c>
      <c r="G3696">
        <v>1924</v>
      </c>
    </row>
    <row r="3697" spans="1:7" x14ac:dyDescent="0.3">
      <c r="A3697" s="80">
        <v>45813</v>
      </c>
      <c r="B3697">
        <v>3010200</v>
      </c>
      <c r="C3697">
        <v>5000</v>
      </c>
      <c r="E3697" s="80">
        <v>45803</v>
      </c>
      <c r="F3697">
        <v>3010111</v>
      </c>
      <c r="G3697">
        <v>2849</v>
      </c>
    </row>
    <row r="3698" spans="1:7" x14ac:dyDescent="0.3">
      <c r="A3698" s="80">
        <v>45813</v>
      </c>
      <c r="B3698">
        <v>3010200</v>
      </c>
      <c r="C3698">
        <v>12630</v>
      </c>
      <c r="E3698" s="80">
        <v>45803</v>
      </c>
      <c r="F3698">
        <v>3010111</v>
      </c>
      <c r="G3698">
        <v>0</v>
      </c>
    </row>
    <row r="3699" spans="1:7" x14ac:dyDescent="0.3">
      <c r="A3699" s="80">
        <v>45813</v>
      </c>
      <c r="B3699">
        <v>3010200</v>
      </c>
      <c r="C3699">
        <v>5000</v>
      </c>
      <c r="E3699" s="80">
        <v>45803</v>
      </c>
      <c r="F3699">
        <v>3010111</v>
      </c>
      <c r="G3699">
        <v>0</v>
      </c>
    </row>
    <row r="3700" spans="1:7" x14ac:dyDescent="0.3">
      <c r="A3700" s="80">
        <v>45813</v>
      </c>
      <c r="B3700">
        <v>3010200</v>
      </c>
      <c r="C3700">
        <v>5000</v>
      </c>
      <c r="E3700" s="80">
        <v>45802</v>
      </c>
      <c r="F3700">
        <v>3010111</v>
      </c>
      <c r="G3700">
        <v>0</v>
      </c>
    </row>
    <row r="3701" spans="1:7" x14ac:dyDescent="0.3">
      <c r="A3701" s="80">
        <v>45813</v>
      </c>
      <c r="B3701">
        <v>3010200</v>
      </c>
      <c r="C3701">
        <v>5000</v>
      </c>
      <c r="E3701" s="80">
        <v>45802</v>
      </c>
      <c r="F3701">
        <v>3010111</v>
      </c>
      <c r="G3701">
        <v>1840</v>
      </c>
    </row>
    <row r="3702" spans="1:7" x14ac:dyDescent="0.3">
      <c r="A3702" s="80">
        <v>45813</v>
      </c>
      <c r="B3702">
        <v>3010200</v>
      </c>
      <c r="C3702">
        <v>5000</v>
      </c>
      <c r="E3702" s="80">
        <v>45801</v>
      </c>
      <c r="F3702">
        <v>3010111</v>
      </c>
      <c r="G3702">
        <v>1504</v>
      </c>
    </row>
    <row r="3703" spans="1:7" x14ac:dyDescent="0.3">
      <c r="A3703" s="80">
        <v>45813</v>
      </c>
      <c r="B3703">
        <v>3010200</v>
      </c>
      <c r="C3703">
        <v>4500</v>
      </c>
      <c r="E3703" s="80">
        <v>45801</v>
      </c>
      <c r="F3703">
        <v>3010111</v>
      </c>
      <c r="G3703">
        <v>1504</v>
      </c>
    </row>
    <row r="3704" spans="1:7" x14ac:dyDescent="0.3">
      <c r="A3704" s="80">
        <v>45813</v>
      </c>
      <c r="B3704">
        <v>3010200</v>
      </c>
      <c r="C3704">
        <v>5000</v>
      </c>
      <c r="E3704" s="80">
        <v>45801</v>
      </c>
      <c r="F3704">
        <v>3010111</v>
      </c>
      <c r="G3704">
        <v>0</v>
      </c>
    </row>
    <row r="3705" spans="1:7" x14ac:dyDescent="0.3">
      <c r="A3705" s="80">
        <v>45812</v>
      </c>
      <c r="B3705">
        <v>3010200</v>
      </c>
      <c r="C3705">
        <v>5000</v>
      </c>
      <c r="E3705" s="80">
        <v>45801</v>
      </c>
      <c r="F3705">
        <v>3010111</v>
      </c>
      <c r="G3705">
        <v>0</v>
      </c>
    </row>
    <row r="3706" spans="1:7" x14ac:dyDescent="0.3">
      <c r="A3706" s="80">
        <v>45812</v>
      </c>
      <c r="B3706">
        <v>3010200</v>
      </c>
      <c r="C3706">
        <v>4500</v>
      </c>
      <c r="E3706" s="80">
        <v>45801</v>
      </c>
      <c r="F3706">
        <v>3010111</v>
      </c>
      <c r="G3706">
        <v>1504</v>
      </c>
    </row>
    <row r="3707" spans="1:7" x14ac:dyDescent="0.3">
      <c r="A3707" s="80">
        <v>45812</v>
      </c>
      <c r="B3707">
        <v>3010200</v>
      </c>
      <c r="C3707">
        <v>12630</v>
      </c>
      <c r="E3707" s="80">
        <v>45801</v>
      </c>
      <c r="F3707">
        <v>3010111</v>
      </c>
      <c r="G3707">
        <v>0</v>
      </c>
    </row>
    <row r="3708" spans="1:7" x14ac:dyDescent="0.3">
      <c r="A3708" s="80">
        <v>45812</v>
      </c>
      <c r="B3708">
        <v>3010200</v>
      </c>
      <c r="C3708">
        <v>5000</v>
      </c>
      <c r="E3708" s="80">
        <v>45801</v>
      </c>
      <c r="F3708">
        <v>3010111</v>
      </c>
      <c r="G3708">
        <v>1504</v>
      </c>
    </row>
    <row r="3709" spans="1:7" x14ac:dyDescent="0.3">
      <c r="A3709" s="80">
        <v>45812</v>
      </c>
      <c r="B3709">
        <v>3010200</v>
      </c>
      <c r="C3709">
        <v>5000</v>
      </c>
      <c r="E3709" s="80">
        <v>45801</v>
      </c>
      <c r="F3709">
        <v>3010111</v>
      </c>
      <c r="G3709">
        <v>0</v>
      </c>
    </row>
    <row r="3710" spans="1:7" x14ac:dyDescent="0.3">
      <c r="A3710" s="80">
        <v>45812</v>
      </c>
      <c r="B3710">
        <v>3010200</v>
      </c>
      <c r="C3710">
        <v>4500</v>
      </c>
      <c r="E3710" s="80">
        <v>45801</v>
      </c>
      <c r="F3710">
        <v>3010111</v>
      </c>
      <c r="G3710">
        <v>0</v>
      </c>
    </row>
    <row r="3711" spans="1:7" x14ac:dyDescent="0.3">
      <c r="A3711" s="80">
        <v>45812</v>
      </c>
      <c r="B3711">
        <v>3010200</v>
      </c>
      <c r="C3711">
        <v>4500</v>
      </c>
      <c r="E3711" s="80">
        <v>45801</v>
      </c>
      <c r="F3711">
        <v>3010111</v>
      </c>
      <c r="G3711">
        <v>0</v>
      </c>
    </row>
    <row r="3712" spans="1:7" x14ac:dyDescent="0.3">
      <c r="A3712" s="80">
        <v>45812</v>
      </c>
      <c r="B3712">
        <v>3010200</v>
      </c>
      <c r="C3712">
        <v>4500</v>
      </c>
      <c r="E3712" s="80">
        <v>45800</v>
      </c>
      <c r="F3712">
        <v>3010111</v>
      </c>
      <c r="G3712">
        <v>0</v>
      </c>
    </row>
    <row r="3713" spans="1:7" x14ac:dyDescent="0.3">
      <c r="A3713" s="80">
        <v>45812</v>
      </c>
      <c r="B3713">
        <v>3010200</v>
      </c>
      <c r="C3713">
        <v>5000</v>
      </c>
      <c r="E3713" s="80">
        <v>45800</v>
      </c>
      <c r="F3713">
        <v>3010111</v>
      </c>
      <c r="G3713">
        <v>2933</v>
      </c>
    </row>
    <row r="3714" spans="1:7" x14ac:dyDescent="0.3">
      <c r="A3714" s="80">
        <v>45812</v>
      </c>
      <c r="B3714">
        <v>3010200</v>
      </c>
      <c r="C3714">
        <v>5000</v>
      </c>
      <c r="E3714" s="80">
        <v>45800</v>
      </c>
      <c r="F3714">
        <v>3010111</v>
      </c>
      <c r="G3714">
        <v>0</v>
      </c>
    </row>
    <row r="3715" spans="1:7" x14ac:dyDescent="0.3">
      <c r="A3715" s="80">
        <v>45812</v>
      </c>
      <c r="B3715">
        <v>3010200</v>
      </c>
      <c r="C3715">
        <v>4500</v>
      </c>
      <c r="E3715" s="80">
        <v>45800</v>
      </c>
      <c r="F3715">
        <v>3010111</v>
      </c>
      <c r="G3715">
        <v>1504</v>
      </c>
    </row>
    <row r="3716" spans="1:7" x14ac:dyDescent="0.3">
      <c r="A3716" s="80">
        <v>45812</v>
      </c>
      <c r="B3716">
        <v>3010200</v>
      </c>
      <c r="C3716">
        <v>5000</v>
      </c>
      <c r="E3716" s="80">
        <v>45800</v>
      </c>
      <c r="F3716">
        <v>3010111</v>
      </c>
      <c r="G3716">
        <v>0</v>
      </c>
    </row>
    <row r="3717" spans="1:7" x14ac:dyDescent="0.3">
      <c r="A3717" s="80">
        <v>45812</v>
      </c>
      <c r="B3717">
        <v>3010200</v>
      </c>
      <c r="C3717">
        <v>500</v>
      </c>
      <c r="E3717" s="80">
        <v>45800</v>
      </c>
      <c r="F3717">
        <v>3010111</v>
      </c>
      <c r="G3717">
        <v>0</v>
      </c>
    </row>
    <row r="3718" spans="1:7" x14ac:dyDescent="0.3">
      <c r="A3718" s="80">
        <v>45812</v>
      </c>
      <c r="B3718">
        <v>3010200</v>
      </c>
      <c r="C3718">
        <v>4500</v>
      </c>
      <c r="E3718" s="80">
        <v>45800</v>
      </c>
      <c r="F3718">
        <v>3010111</v>
      </c>
      <c r="G3718">
        <v>1504</v>
      </c>
    </row>
    <row r="3719" spans="1:7" x14ac:dyDescent="0.3">
      <c r="A3719" s="80">
        <v>45812</v>
      </c>
      <c r="B3719">
        <v>3010200</v>
      </c>
      <c r="C3719">
        <v>5000</v>
      </c>
      <c r="E3719" s="80">
        <v>45799</v>
      </c>
      <c r="F3719">
        <v>3010111</v>
      </c>
      <c r="G3719">
        <v>1504</v>
      </c>
    </row>
    <row r="3720" spans="1:7" x14ac:dyDescent="0.3">
      <c r="A3720" s="80">
        <v>45812</v>
      </c>
      <c r="B3720">
        <v>3010200</v>
      </c>
      <c r="C3720">
        <v>12630</v>
      </c>
      <c r="E3720" s="80">
        <v>45799</v>
      </c>
      <c r="F3720">
        <v>3010111</v>
      </c>
      <c r="G3720">
        <v>1504</v>
      </c>
    </row>
    <row r="3721" spans="1:7" x14ac:dyDescent="0.3">
      <c r="A3721" s="80">
        <v>45812</v>
      </c>
      <c r="B3721">
        <v>3010200</v>
      </c>
      <c r="C3721">
        <v>500</v>
      </c>
      <c r="E3721" s="80">
        <v>45799</v>
      </c>
      <c r="F3721">
        <v>3010111</v>
      </c>
      <c r="G3721">
        <v>1924</v>
      </c>
    </row>
    <row r="3722" spans="1:7" x14ac:dyDescent="0.3">
      <c r="A3722" s="80">
        <v>45812</v>
      </c>
      <c r="B3722">
        <v>3010200</v>
      </c>
      <c r="C3722">
        <v>5000</v>
      </c>
      <c r="E3722" s="80">
        <v>45799</v>
      </c>
      <c r="F3722">
        <v>3010111</v>
      </c>
      <c r="G3722">
        <v>2849</v>
      </c>
    </row>
    <row r="3723" spans="1:7" x14ac:dyDescent="0.3">
      <c r="A3723" s="80">
        <v>45812</v>
      </c>
      <c r="B3723">
        <v>3010200</v>
      </c>
      <c r="C3723">
        <v>5000</v>
      </c>
      <c r="E3723" s="80">
        <v>45798</v>
      </c>
      <c r="F3723">
        <v>3010111</v>
      </c>
      <c r="G3723">
        <v>0</v>
      </c>
    </row>
    <row r="3724" spans="1:7" x14ac:dyDescent="0.3">
      <c r="A3724" s="80">
        <v>45812</v>
      </c>
      <c r="B3724">
        <v>3010200</v>
      </c>
      <c r="C3724">
        <v>5000</v>
      </c>
      <c r="E3724" s="80">
        <v>45798</v>
      </c>
      <c r="F3724">
        <v>3010111</v>
      </c>
      <c r="G3724">
        <v>5034</v>
      </c>
    </row>
    <row r="3725" spans="1:7" x14ac:dyDescent="0.3">
      <c r="A3725" s="80">
        <v>45812</v>
      </c>
      <c r="B3725">
        <v>3010200</v>
      </c>
      <c r="C3725">
        <v>5000</v>
      </c>
      <c r="E3725" s="80">
        <v>45798</v>
      </c>
      <c r="F3725">
        <v>3010111</v>
      </c>
      <c r="G3725">
        <v>1504</v>
      </c>
    </row>
    <row r="3726" spans="1:7" x14ac:dyDescent="0.3">
      <c r="A3726" s="80">
        <v>45812</v>
      </c>
      <c r="B3726">
        <v>3010200</v>
      </c>
      <c r="C3726">
        <v>4500</v>
      </c>
      <c r="E3726" s="80">
        <v>45798</v>
      </c>
      <c r="F3726">
        <v>3010111</v>
      </c>
      <c r="G3726">
        <v>1504</v>
      </c>
    </row>
    <row r="3727" spans="1:7" x14ac:dyDescent="0.3">
      <c r="A3727" s="80">
        <v>45812</v>
      </c>
      <c r="B3727">
        <v>3010200</v>
      </c>
      <c r="C3727">
        <v>4500</v>
      </c>
      <c r="E3727" s="80">
        <v>45798</v>
      </c>
      <c r="F3727">
        <v>3010111</v>
      </c>
      <c r="G3727">
        <v>1504</v>
      </c>
    </row>
    <row r="3728" spans="1:7" x14ac:dyDescent="0.3">
      <c r="A3728" s="80">
        <v>45811</v>
      </c>
      <c r="B3728">
        <v>3010200</v>
      </c>
      <c r="C3728">
        <v>5000</v>
      </c>
      <c r="E3728" s="80">
        <v>45798</v>
      </c>
      <c r="F3728">
        <v>3010111</v>
      </c>
      <c r="G3728">
        <v>2092</v>
      </c>
    </row>
    <row r="3729" spans="1:7" x14ac:dyDescent="0.3">
      <c r="A3729" s="80">
        <v>45811</v>
      </c>
      <c r="B3729">
        <v>3010200</v>
      </c>
      <c r="C3729">
        <v>5000</v>
      </c>
      <c r="E3729" s="80">
        <v>45798</v>
      </c>
      <c r="F3729">
        <v>3010111</v>
      </c>
      <c r="G3729">
        <v>1504</v>
      </c>
    </row>
    <row r="3730" spans="1:7" x14ac:dyDescent="0.3">
      <c r="A3730" s="80">
        <v>45811</v>
      </c>
      <c r="B3730">
        <v>3010200</v>
      </c>
      <c r="C3730">
        <v>5000</v>
      </c>
      <c r="E3730" s="80">
        <v>45797</v>
      </c>
      <c r="F3730">
        <v>3010111</v>
      </c>
      <c r="G3730">
        <v>1504</v>
      </c>
    </row>
    <row r="3731" spans="1:7" x14ac:dyDescent="0.3">
      <c r="A3731" s="80">
        <v>45811</v>
      </c>
      <c r="B3731">
        <v>3010200</v>
      </c>
      <c r="C3731">
        <v>12630</v>
      </c>
      <c r="E3731" s="80">
        <v>45797</v>
      </c>
      <c r="F3731">
        <v>3010111</v>
      </c>
      <c r="G3731">
        <v>0</v>
      </c>
    </row>
    <row r="3732" spans="1:7" x14ac:dyDescent="0.3">
      <c r="A3732" s="80">
        <v>45811</v>
      </c>
      <c r="B3732">
        <v>3010200</v>
      </c>
      <c r="C3732">
        <v>4500</v>
      </c>
      <c r="E3732" s="80">
        <v>45797</v>
      </c>
      <c r="F3732">
        <v>3010111</v>
      </c>
      <c r="G3732">
        <v>1504</v>
      </c>
    </row>
    <row r="3733" spans="1:7" x14ac:dyDescent="0.3">
      <c r="A3733" s="80">
        <v>45811</v>
      </c>
      <c r="B3733">
        <v>3010200</v>
      </c>
      <c r="C3733">
        <v>5000</v>
      </c>
      <c r="E3733" s="80">
        <v>45797</v>
      </c>
      <c r="F3733">
        <v>3010111</v>
      </c>
      <c r="G3733">
        <v>1504</v>
      </c>
    </row>
    <row r="3734" spans="1:7" x14ac:dyDescent="0.3">
      <c r="A3734" s="80">
        <v>45811</v>
      </c>
      <c r="B3734">
        <v>3010200</v>
      </c>
      <c r="C3734">
        <v>5000</v>
      </c>
      <c r="E3734" s="80">
        <v>45797</v>
      </c>
      <c r="F3734">
        <v>3010111</v>
      </c>
      <c r="G3734">
        <v>2008</v>
      </c>
    </row>
    <row r="3735" spans="1:7" x14ac:dyDescent="0.3">
      <c r="A3735" s="80">
        <v>45811</v>
      </c>
      <c r="B3735">
        <v>3010200</v>
      </c>
      <c r="C3735">
        <v>4500</v>
      </c>
      <c r="E3735" s="80">
        <v>45797</v>
      </c>
      <c r="F3735">
        <v>3010111</v>
      </c>
      <c r="G3735">
        <v>1504</v>
      </c>
    </row>
    <row r="3736" spans="1:7" x14ac:dyDescent="0.3">
      <c r="A3736" s="80">
        <v>45811</v>
      </c>
      <c r="B3736">
        <v>3010200</v>
      </c>
      <c r="C3736">
        <v>5000</v>
      </c>
      <c r="E3736" s="80">
        <v>45796</v>
      </c>
      <c r="F3736">
        <v>3010111</v>
      </c>
      <c r="G3736">
        <v>0</v>
      </c>
    </row>
    <row r="3737" spans="1:7" x14ac:dyDescent="0.3">
      <c r="A3737" s="80">
        <v>45811</v>
      </c>
      <c r="B3737">
        <v>3010200</v>
      </c>
      <c r="C3737">
        <v>5000</v>
      </c>
      <c r="E3737" s="80">
        <v>45796</v>
      </c>
      <c r="F3737">
        <v>3010111</v>
      </c>
      <c r="G3737">
        <v>0</v>
      </c>
    </row>
    <row r="3738" spans="1:7" x14ac:dyDescent="0.3">
      <c r="A3738" s="80">
        <v>45811</v>
      </c>
      <c r="B3738">
        <v>3010200</v>
      </c>
      <c r="C3738">
        <v>10000</v>
      </c>
      <c r="E3738" s="80">
        <v>45796</v>
      </c>
      <c r="F3738">
        <v>3010111</v>
      </c>
      <c r="G3738">
        <v>1504</v>
      </c>
    </row>
    <row r="3739" spans="1:7" x14ac:dyDescent="0.3">
      <c r="A3739" s="80">
        <v>45811</v>
      </c>
      <c r="B3739">
        <v>3010200</v>
      </c>
      <c r="C3739">
        <v>5000</v>
      </c>
      <c r="E3739" s="80">
        <v>45795</v>
      </c>
      <c r="F3739">
        <v>3010111</v>
      </c>
      <c r="G3739">
        <v>1504</v>
      </c>
    </row>
    <row r="3740" spans="1:7" x14ac:dyDescent="0.3">
      <c r="A3740" s="80">
        <v>45810</v>
      </c>
      <c r="B3740">
        <v>3010200</v>
      </c>
      <c r="C3740">
        <v>4500</v>
      </c>
      <c r="E3740" s="80">
        <v>45795</v>
      </c>
      <c r="F3740">
        <v>3010111</v>
      </c>
      <c r="G3740">
        <v>1504</v>
      </c>
    </row>
    <row r="3741" spans="1:7" x14ac:dyDescent="0.3">
      <c r="A3741" s="80">
        <v>45810</v>
      </c>
      <c r="B3741">
        <v>3010200</v>
      </c>
      <c r="C3741">
        <v>12630</v>
      </c>
      <c r="E3741" s="80">
        <v>45795</v>
      </c>
      <c r="F3741">
        <v>3010111</v>
      </c>
      <c r="G3741">
        <v>1504</v>
      </c>
    </row>
    <row r="3742" spans="1:7" x14ac:dyDescent="0.3">
      <c r="A3742" s="80">
        <v>45810</v>
      </c>
      <c r="B3742">
        <v>3010200</v>
      </c>
      <c r="C3742">
        <v>4500</v>
      </c>
      <c r="E3742" s="80">
        <v>45795</v>
      </c>
      <c r="F3742">
        <v>3010111</v>
      </c>
      <c r="G3742">
        <v>1504</v>
      </c>
    </row>
    <row r="3743" spans="1:7" x14ac:dyDescent="0.3">
      <c r="A3743" s="80">
        <v>45810</v>
      </c>
      <c r="B3743">
        <v>3010200</v>
      </c>
      <c r="C3743">
        <v>5000</v>
      </c>
      <c r="E3743" s="80">
        <v>45794</v>
      </c>
      <c r="F3743">
        <v>3010111</v>
      </c>
      <c r="G3743">
        <v>1504</v>
      </c>
    </row>
    <row r="3744" spans="1:7" x14ac:dyDescent="0.3">
      <c r="A3744" s="80">
        <v>45810</v>
      </c>
      <c r="B3744">
        <v>3010200</v>
      </c>
      <c r="C3744">
        <v>5000</v>
      </c>
      <c r="E3744" s="80">
        <v>45794</v>
      </c>
      <c r="F3744">
        <v>3010111</v>
      </c>
      <c r="G3744">
        <v>1504</v>
      </c>
    </row>
    <row r="3745" spans="1:7" x14ac:dyDescent="0.3">
      <c r="A3745" s="80">
        <v>45810</v>
      </c>
      <c r="B3745">
        <v>3010200</v>
      </c>
      <c r="C3745">
        <v>5000</v>
      </c>
      <c r="E3745" s="80">
        <v>45794</v>
      </c>
      <c r="F3745">
        <v>3010111</v>
      </c>
      <c r="G3745">
        <v>1504</v>
      </c>
    </row>
    <row r="3746" spans="1:7" x14ac:dyDescent="0.3">
      <c r="A3746" s="80">
        <v>45810</v>
      </c>
      <c r="B3746">
        <v>3010200</v>
      </c>
      <c r="C3746">
        <v>500</v>
      </c>
      <c r="E3746" s="80">
        <v>45793</v>
      </c>
      <c r="F3746">
        <v>3010111</v>
      </c>
      <c r="G3746">
        <v>1504</v>
      </c>
    </row>
    <row r="3747" spans="1:7" x14ac:dyDescent="0.3">
      <c r="A3747" s="80">
        <v>45810</v>
      </c>
      <c r="B3747">
        <v>3010200</v>
      </c>
      <c r="C3747">
        <v>4500</v>
      </c>
      <c r="E3747" s="80">
        <v>45792</v>
      </c>
      <c r="F3747">
        <v>3010111</v>
      </c>
      <c r="G3747">
        <v>0</v>
      </c>
    </row>
    <row r="3748" spans="1:7" x14ac:dyDescent="0.3">
      <c r="A3748" s="80">
        <v>45810</v>
      </c>
      <c r="B3748">
        <v>3010200</v>
      </c>
      <c r="C3748">
        <v>5000</v>
      </c>
      <c r="E3748" s="80">
        <v>45792</v>
      </c>
      <c r="F3748">
        <v>3010111</v>
      </c>
      <c r="G3748">
        <v>1504</v>
      </c>
    </row>
    <row r="3749" spans="1:7" x14ac:dyDescent="0.3">
      <c r="A3749" s="80">
        <v>45810</v>
      </c>
      <c r="B3749">
        <v>3010200</v>
      </c>
      <c r="C3749">
        <v>5000</v>
      </c>
      <c r="E3749" s="80">
        <v>45792</v>
      </c>
      <c r="F3749">
        <v>3010111</v>
      </c>
      <c r="G3749">
        <v>0</v>
      </c>
    </row>
    <row r="3750" spans="1:7" x14ac:dyDescent="0.3">
      <c r="A3750" s="80">
        <v>45809</v>
      </c>
      <c r="B3750">
        <v>3010200</v>
      </c>
      <c r="C3750">
        <v>5000</v>
      </c>
      <c r="E3750" s="80">
        <v>45792</v>
      </c>
      <c r="F3750">
        <v>3010111</v>
      </c>
      <c r="G3750">
        <v>1504</v>
      </c>
    </row>
    <row r="3751" spans="1:7" x14ac:dyDescent="0.3">
      <c r="A3751" s="80">
        <v>45809</v>
      </c>
      <c r="B3751">
        <v>3010200</v>
      </c>
      <c r="C3751">
        <v>5000</v>
      </c>
      <c r="E3751" s="80">
        <v>45791</v>
      </c>
      <c r="F3751">
        <v>3010111</v>
      </c>
      <c r="G3751">
        <v>1504</v>
      </c>
    </row>
    <row r="3752" spans="1:7" x14ac:dyDescent="0.3">
      <c r="A3752" s="80">
        <v>45809</v>
      </c>
      <c r="B3752">
        <v>3010200</v>
      </c>
      <c r="C3752">
        <v>5000</v>
      </c>
      <c r="E3752" s="80">
        <v>45791</v>
      </c>
      <c r="F3752">
        <v>3010111</v>
      </c>
      <c r="G3752">
        <v>0</v>
      </c>
    </row>
    <row r="3753" spans="1:7" x14ac:dyDescent="0.3">
      <c r="A3753" s="80">
        <v>45809</v>
      </c>
      <c r="B3753">
        <v>3010200</v>
      </c>
      <c r="C3753">
        <v>9000</v>
      </c>
      <c r="E3753" s="80">
        <v>45791</v>
      </c>
      <c r="F3753">
        <v>3010111</v>
      </c>
      <c r="G3753">
        <v>1504</v>
      </c>
    </row>
    <row r="3754" spans="1:7" x14ac:dyDescent="0.3">
      <c r="A3754" s="80">
        <v>45809</v>
      </c>
      <c r="B3754">
        <v>3010200</v>
      </c>
      <c r="C3754">
        <v>5000</v>
      </c>
      <c r="E3754" s="80">
        <v>45791</v>
      </c>
      <c r="F3754">
        <v>3010111</v>
      </c>
      <c r="G3754">
        <v>0</v>
      </c>
    </row>
    <row r="3755" spans="1:7" x14ac:dyDescent="0.3">
      <c r="A3755" s="80">
        <v>45809</v>
      </c>
      <c r="B3755">
        <v>3010200</v>
      </c>
      <c r="C3755">
        <v>4500</v>
      </c>
      <c r="E3755" s="80">
        <v>45790</v>
      </c>
      <c r="F3755">
        <v>3010111</v>
      </c>
      <c r="G3755">
        <v>1840</v>
      </c>
    </row>
    <row r="3756" spans="1:7" x14ac:dyDescent="0.3">
      <c r="A3756" s="80">
        <v>45809</v>
      </c>
      <c r="B3756">
        <v>3010200</v>
      </c>
      <c r="C3756">
        <v>5000</v>
      </c>
      <c r="E3756" s="80">
        <v>45789</v>
      </c>
      <c r="F3756">
        <v>3010111</v>
      </c>
      <c r="G3756">
        <v>1504</v>
      </c>
    </row>
    <row r="3757" spans="1:7" x14ac:dyDescent="0.3">
      <c r="A3757" s="80">
        <v>45809</v>
      </c>
      <c r="B3757">
        <v>3010200</v>
      </c>
      <c r="C3757">
        <v>5000</v>
      </c>
      <c r="E3757" s="80">
        <v>45789</v>
      </c>
      <c r="F3757">
        <v>3010111</v>
      </c>
      <c r="G3757">
        <v>1504</v>
      </c>
    </row>
    <row r="3758" spans="1:7" x14ac:dyDescent="0.3">
      <c r="A3758" s="80">
        <v>45809</v>
      </c>
      <c r="B3758">
        <v>3010200</v>
      </c>
      <c r="C3758">
        <v>5000</v>
      </c>
      <c r="E3758" s="80">
        <v>45789</v>
      </c>
      <c r="F3758">
        <v>3010111</v>
      </c>
      <c r="G3758">
        <v>2933</v>
      </c>
    </row>
    <row r="3759" spans="1:7" x14ac:dyDescent="0.3">
      <c r="A3759" s="80">
        <v>45809</v>
      </c>
      <c r="B3759">
        <v>3010200</v>
      </c>
      <c r="C3759">
        <v>5000</v>
      </c>
      <c r="E3759" s="80">
        <v>45788</v>
      </c>
      <c r="F3759">
        <v>3010111</v>
      </c>
      <c r="G3759">
        <v>1504</v>
      </c>
    </row>
    <row r="3760" spans="1:7" x14ac:dyDescent="0.3">
      <c r="A3760" s="80">
        <v>45809</v>
      </c>
      <c r="B3760">
        <v>3010200</v>
      </c>
      <c r="C3760">
        <v>5000</v>
      </c>
      <c r="E3760" s="80">
        <v>45788</v>
      </c>
      <c r="F3760">
        <v>3010111</v>
      </c>
      <c r="G3760">
        <v>1504</v>
      </c>
    </row>
    <row r="3761" spans="1:7" x14ac:dyDescent="0.3">
      <c r="A3761" s="80">
        <v>45809</v>
      </c>
      <c r="B3761">
        <v>3010200</v>
      </c>
      <c r="C3761">
        <v>5000</v>
      </c>
      <c r="E3761" s="80">
        <v>45788</v>
      </c>
      <c r="F3761">
        <v>3010111</v>
      </c>
      <c r="G3761">
        <v>1504</v>
      </c>
    </row>
    <row r="3762" spans="1:7" x14ac:dyDescent="0.3">
      <c r="A3762" s="80">
        <v>45809</v>
      </c>
      <c r="B3762">
        <v>3010200</v>
      </c>
      <c r="C3762">
        <v>5000</v>
      </c>
      <c r="E3762" s="80">
        <v>45788</v>
      </c>
      <c r="F3762">
        <v>3010111</v>
      </c>
      <c r="G3762">
        <v>1504</v>
      </c>
    </row>
    <row r="3763" spans="1:7" x14ac:dyDescent="0.3">
      <c r="A3763" s="80">
        <v>45808</v>
      </c>
      <c r="B3763">
        <v>3010200</v>
      </c>
      <c r="C3763">
        <v>4500</v>
      </c>
      <c r="E3763" s="80">
        <v>45788</v>
      </c>
      <c r="F3763">
        <v>3010111</v>
      </c>
      <c r="G3763">
        <v>3353</v>
      </c>
    </row>
    <row r="3764" spans="1:7" x14ac:dyDescent="0.3">
      <c r="A3764" s="80">
        <v>45808</v>
      </c>
      <c r="B3764">
        <v>3010200</v>
      </c>
      <c r="C3764">
        <v>5000</v>
      </c>
      <c r="E3764" s="80">
        <v>45788</v>
      </c>
      <c r="F3764">
        <v>3010111</v>
      </c>
      <c r="G3764">
        <v>3773</v>
      </c>
    </row>
    <row r="3765" spans="1:7" x14ac:dyDescent="0.3">
      <c r="A3765" s="80">
        <v>45808</v>
      </c>
      <c r="B3765">
        <v>3010200</v>
      </c>
      <c r="C3765">
        <v>12630</v>
      </c>
      <c r="E3765" s="80">
        <v>45787</v>
      </c>
      <c r="F3765">
        <v>3010111</v>
      </c>
      <c r="G3765">
        <v>1504</v>
      </c>
    </row>
    <row r="3766" spans="1:7" x14ac:dyDescent="0.3">
      <c r="A3766" s="80">
        <v>45808</v>
      </c>
      <c r="B3766">
        <v>3010200</v>
      </c>
      <c r="C3766">
        <v>12630</v>
      </c>
      <c r="E3766" s="80">
        <v>45787</v>
      </c>
      <c r="F3766">
        <v>3010111</v>
      </c>
      <c r="G3766">
        <v>0</v>
      </c>
    </row>
    <row r="3767" spans="1:7" x14ac:dyDescent="0.3">
      <c r="A3767" s="80">
        <v>45807</v>
      </c>
      <c r="B3767">
        <v>3010200</v>
      </c>
      <c r="C3767">
        <v>5000</v>
      </c>
      <c r="E3767" s="80">
        <v>45787</v>
      </c>
      <c r="F3767">
        <v>3010111</v>
      </c>
      <c r="G3767">
        <v>4025</v>
      </c>
    </row>
    <row r="3768" spans="1:7" x14ac:dyDescent="0.3">
      <c r="A3768" s="80">
        <v>45807</v>
      </c>
      <c r="B3768">
        <v>3010200</v>
      </c>
      <c r="C3768">
        <v>4500</v>
      </c>
      <c r="E3768" s="80">
        <v>45787</v>
      </c>
      <c r="F3768">
        <v>3010111</v>
      </c>
      <c r="G3768">
        <v>3773</v>
      </c>
    </row>
    <row r="3769" spans="1:7" x14ac:dyDescent="0.3">
      <c r="A3769" s="80">
        <v>45806</v>
      </c>
      <c r="B3769">
        <v>3010200</v>
      </c>
      <c r="C3769">
        <v>5000</v>
      </c>
      <c r="E3769" s="80">
        <v>45786</v>
      </c>
      <c r="F3769">
        <v>3010111</v>
      </c>
      <c r="G3769">
        <v>0</v>
      </c>
    </row>
    <row r="3770" spans="1:7" x14ac:dyDescent="0.3">
      <c r="A3770" s="80">
        <v>45806</v>
      </c>
      <c r="B3770">
        <v>3010200</v>
      </c>
      <c r="C3770">
        <v>5000</v>
      </c>
      <c r="E3770" s="80">
        <v>45786</v>
      </c>
      <c r="F3770">
        <v>3010111</v>
      </c>
      <c r="G3770">
        <v>0</v>
      </c>
    </row>
    <row r="3771" spans="1:7" x14ac:dyDescent="0.3">
      <c r="A3771" s="80">
        <v>45805</v>
      </c>
      <c r="B3771">
        <v>3010200</v>
      </c>
      <c r="C3771">
        <v>5000</v>
      </c>
      <c r="E3771" s="80">
        <v>45786</v>
      </c>
      <c r="F3771">
        <v>3010111</v>
      </c>
      <c r="G3771">
        <v>1840</v>
      </c>
    </row>
    <row r="3772" spans="1:7" x14ac:dyDescent="0.3">
      <c r="A3772" s="80">
        <v>45805</v>
      </c>
      <c r="B3772">
        <v>3010200</v>
      </c>
      <c r="C3772">
        <v>12630</v>
      </c>
      <c r="E3772" s="80">
        <v>45786</v>
      </c>
      <c r="F3772">
        <v>3010111</v>
      </c>
      <c r="G3772">
        <v>1504</v>
      </c>
    </row>
    <row r="3773" spans="1:7" x14ac:dyDescent="0.3">
      <c r="A3773" s="80">
        <v>45805</v>
      </c>
      <c r="B3773">
        <v>3010200</v>
      </c>
      <c r="C3773">
        <v>500</v>
      </c>
      <c r="E3773" s="80">
        <v>45786</v>
      </c>
      <c r="F3773">
        <v>3010111</v>
      </c>
      <c r="G3773">
        <v>2092</v>
      </c>
    </row>
    <row r="3774" spans="1:7" x14ac:dyDescent="0.3">
      <c r="A3774" s="80">
        <v>45805</v>
      </c>
      <c r="B3774">
        <v>3010200</v>
      </c>
      <c r="C3774">
        <v>4500</v>
      </c>
      <c r="E3774" s="80">
        <v>45786</v>
      </c>
      <c r="F3774">
        <v>3010111</v>
      </c>
      <c r="G3774">
        <v>1504</v>
      </c>
    </row>
    <row r="3775" spans="1:7" x14ac:dyDescent="0.3">
      <c r="A3775" s="80">
        <v>45804</v>
      </c>
      <c r="B3775">
        <v>3010200</v>
      </c>
      <c r="C3775">
        <v>5000</v>
      </c>
      <c r="E3775" s="80">
        <v>45786</v>
      </c>
      <c r="F3775">
        <v>3010111</v>
      </c>
      <c r="G3775">
        <v>1504</v>
      </c>
    </row>
    <row r="3776" spans="1:7" x14ac:dyDescent="0.3">
      <c r="A3776" s="80">
        <v>45804</v>
      </c>
      <c r="B3776">
        <v>3010200</v>
      </c>
      <c r="C3776">
        <v>5000</v>
      </c>
      <c r="E3776" s="80">
        <v>45785</v>
      </c>
      <c r="F3776">
        <v>3010111</v>
      </c>
      <c r="G3776">
        <v>0</v>
      </c>
    </row>
    <row r="3777" spans="1:7" x14ac:dyDescent="0.3">
      <c r="A3777" s="80">
        <v>45804</v>
      </c>
      <c r="B3777">
        <v>3010200</v>
      </c>
      <c r="C3777">
        <v>8769</v>
      </c>
      <c r="E3777" s="80">
        <v>45785</v>
      </c>
      <c r="F3777">
        <v>3010111</v>
      </c>
      <c r="G3777">
        <v>0</v>
      </c>
    </row>
    <row r="3778" spans="1:7" x14ac:dyDescent="0.3">
      <c r="A3778" s="80">
        <v>45804</v>
      </c>
      <c r="B3778">
        <v>3010200</v>
      </c>
      <c r="C3778">
        <v>500</v>
      </c>
      <c r="E3778" s="80">
        <v>45785</v>
      </c>
      <c r="F3778">
        <v>3010111</v>
      </c>
      <c r="G3778">
        <v>0</v>
      </c>
    </row>
    <row r="3779" spans="1:7" x14ac:dyDescent="0.3">
      <c r="A3779" s="80">
        <v>45804</v>
      </c>
      <c r="B3779">
        <v>3010200</v>
      </c>
      <c r="C3779">
        <v>4500</v>
      </c>
      <c r="E3779" s="80">
        <v>45785</v>
      </c>
      <c r="F3779">
        <v>3010111</v>
      </c>
      <c r="G3779">
        <v>1504</v>
      </c>
    </row>
    <row r="3780" spans="1:7" x14ac:dyDescent="0.3">
      <c r="A3780" s="80">
        <v>45804</v>
      </c>
      <c r="B3780">
        <v>3010200</v>
      </c>
      <c r="C3780">
        <v>500</v>
      </c>
      <c r="E3780" s="80">
        <v>45785</v>
      </c>
      <c r="F3780">
        <v>3010111</v>
      </c>
      <c r="G3780">
        <v>2092</v>
      </c>
    </row>
    <row r="3781" spans="1:7" x14ac:dyDescent="0.3">
      <c r="A3781" s="80">
        <v>45804</v>
      </c>
      <c r="B3781">
        <v>3010200</v>
      </c>
      <c r="C3781">
        <v>4500</v>
      </c>
      <c r="E3781" s="80">
        <v>45785</v>
      </c>
      <c r="F3781">
        <v>3010111</v>
      </c>
      <c r="G3781">
        <v>0</v>
      </c>
    </row>
    <row r="3782" spans="1:7" x14ac:dyDescent="0.3">
      <c r="A3782" s="80">
        <v>45804</v>
      </c>
      <c r="B3782">
        <v>3010200</v>
      </c>
      <c r="C3782">
        <v>5000</v>
      </c>
      <c r="E3782" s="80">
        <v>45784</v>
      </c>
      <c r="F3782">
        <v>3010111</v>
      </c>
      <c r="G3782">
        <v>1840</v>
      </c>
    </row>
    <row r="3783" spans="1:7" x14ac:dyDescent="0.3">
      <c r="A3783" s="80">
        <v>45804</v>
      </c>
      <c r="B3783">
        <v>3010200</v>
      </c>
      <c r="C3783">
        <v>5000</v>
      </c>
      <c r="E3783" s="80">
        <v>45784</v>
      </c>
      <c r="F3783">
        <v>3010111</v>
      </c>
      <c r="G3783">
        <v>0</v>
      </c>
    </row>
    <row r="3784" spans="1:7" x14ac:dyDescent="0.3">
      <c r="A3784" s="80">
        <v>45804</v>
      </c>
      <c r="B3784">
        <v>3010200</v>
      </c>
      <c r="C3784">
        <v>4500</v>
      </c>
      <c r="E3784" s="80">
        <v>45784</v>
      </c>
      <c r="F3784">
        <v>3010111</v>
      </c>
      <c r="G3784">
        <v>1504</v>
      </c>
    </row>
    <row r="3785" spans="1:7" x14ac:dyDescent="0.3">
      <c r="A3785" s="80">
        <v>45803</v>
      </c>
      <c r="B3785">
        <v>3010200</v>
      </c>
      <c r="C3785">
        <v>5000</v>
      </c>
      <c r="E3785" s="80">
        <v>45783</v>
      </c>
      <c r="F3785">
        <v>3010111</v>
      </c>
      <c r="G3785">
        <v>0</v>
      </c>
    </row>
    <row r="3786" spans="1:7" x14ac:dyDescent="0.3">
      <c r="A3786" s="80">
        <v>45803</v>
      </c>
      <c r="B3786">
        <v>3010200</v>
      </c>
      <c r="C3786">
        <v>25000</v>
      </c>
      <c r="E3786" s="80">
        <v>45783</v>
      </c>
      <c r="F3786">
        <v>3010111</v>
      </c>
      <c r="G3786">
        <v>1504</v>
      </c>
    </row>
    <row r="3787" spans="1:7" x14ac:dyDescent="0.3">
      <c r="A3787" s="80">
        <v>45803</v>
      </c>
      <c r="B3787">
        <v>3010200</v>
      </c>
      <c r="C3787">
        <v>26307</v>
      </c>
      <c r="E3787" s="80">
        <v>45783</v>
      </c>
      <c r="F3787">
        <v>3010111</v>
      </c>
      <c r="G3787">
        <v>1504</v>
      </c>
    </row>
    <row r="3788" spans="1:7" x14ac:dyDescent="0.3">
      <c r="A3788" s="80">
        <v>45803</v>
      </c>
      <c r="B3788">
        <v>3010200</v>
      </c>
      <c r="C3788">
        <v>5000</v>
      </c>
      <c r="E3788" s="80">
        <v>45783</v>
      </c>
      <c r="F3788">
        <v>3010111</v>
      </c>
      <c r="G3788">
        <v>0</v>
      </c>
    </row>
    <row r="3789" spans="1:7" x14ac:dyDescent="0.3">
      <c r="A3789" s="80">
        <v>45803</v>
      </c>
      <c r="B3789">
        <v>3010200</v>
      </c>
      <c r="C3789">
        <v>5000</v>
      </c>
      <c r="E3789" s="80">
        <v>45783</v>
      </c>
      <c r="F3789">
        <v>3010111</v>
      </c>
      <c r="G3789">
        <v>3689</v>
      </c>
    </row>
    <row r="3790" spans="1:7" x14ac:dyDescent="0.3">
      <c r="A3790" s="80">
        <v>45803</v>
      </c>
      <c r="B3790">
        <v>3010200</v>
      </c>
      <c r="C3790">
        <v>5000</v>
      </c>
      <c r="E3790" s="80">
        <v>45782</v>
      </c>
      <c r="F3790">
        <v>3010111</v>
      </c>
      <c r="G3790">
        <v>0</v>
      </c>
    </row>
    <row r="3791" spans="1:7" x14ac:dyDescent="0.3">
      <c r="A3791" s="80">
        <v>45803</v>
      </c>
      <c r="B3791">
        <v>3010200</v>
      </c>
      <c r="C3791">
        <v>4500</v>
      </c>
      <c r="E3791" s="80">
        <v>45782</v>
      </c>
      <c r="F3791">
        <v>3010111</v>
      </c>
      <c r="G3791">
        <v>4109</v>
      </c>
    </row>
    <row r="3792" spans="1:7" x14ac:dyDescent="0.3">
      <c r="A3792" s="80">
        <v>45802</v>
      </c>
      <c r="B3792">
        <v>3010200</v>
      </c>
      <c r="C3792">
        <v>5000</v>
      </c>
      <c r="E3792" s="80">
        <v>45782</v>
      </c>
      <c r="F3792">
        <v>3010111</v>
      </c>
      <c r="G3792">
        <v>1504</v>
      </c>
    </row>
    <row r="3793" spans="1:7" x14ac:dyDescent="0.3">
      <c r="A3793" s="80">
        <v>45802</v>
      </c>
      <c r="B3793">
        <v>3010200</v>
      </c>
      <c r="C3793">
        <v>5000</v>
      </c>
      <c r="E3793" s="80">
        <v>45782</v>
      </c>
      <c r="F3793">
        <v>3010111</v>
      </c>
      <c r="G3793">
        <v>1504</v>
      </c>
    </row>
    <row r="3794" spans="1:7" x14ac:dyDescent="0.3">
      <c r="A3794" s="80">
        <v>45801</v>
      </c>
      <c r="B3794">
        <v>3010200</v>
      </c>
      <c r="C3794">
        <v>5000</v>
      </c>
      <c r="E3794" s="80">
        <v>45782</v>
      </c>
      <c r="F3794">
        <v>3010111</v>
      </c>
      <c r="G3794">
        <v>2345</v>
      </c>
    </row>
    <row r="3795" spans="1:7" x14ac:dyDescent="0.3">
      <c r="A3795" s="80">
        <v>45801</v>
      </c>
      <c r="B3795">
        <v>3010200</v>
      </c>
      <c r="C3795">
        <v>5000</v>
      </c>
      <c r="E3795" s="80">
        <v>45782</v>
      </c>
      <c r="F3795">
        <v>3010111</v>
      </c>
      <c r="G3795">
        <v>0</v>
      </c>
    </row>
    <row r="3796" spans="1:7" x14ac:dyDescent="0.3">
      <c r="A3796" s="80">
        <v>45801</v>
      </c>
      <c r="B3796">
        <v>3010200</v>
      </c>
      <c r="C3796">
        <v>5000</v>
      </c>
      <c r="E3796" s="80">
        <v>45782</v>
      </c>
      <c r="F3796">
        <v>3010111</v>
      </c>
      <c r="G3796">
        <v>1504</v>
      </c>
    </row>
    <row r="3797" spans="1:7" x14ac:dyDescent="0.3">
      <c r="A3797" s="80">
        <v>45801</v>
      </c>
      <c r="B3797">
        <v>3010200</v>
      </c>
      <c r="C3797">
        <v>5000</v>
      </c>
      <c r="E3797" s="80">
        <v>45782</v>
      </c>
      <c r="F3797">
        <v>3010111</v>
      </c>
      <c r="G3797">
        <v>0</v>
      </c>
    </row>
    <row r="3798" spans="1:7" x14ac:dyDescent="0.3">
      <c r="A3798" s="80">
        <v>45801</v>
      </c>
      <c r="B3798">
        <v>3010200</v>
      </c>
      <c r="C3798">
        <v>12630</v>
      </c>
      <c r="E3798" s="80">
        <v>45782</v>
      </c>
      <c r="F3798">
        <v>3010111</v>
      </c>
      <c r="G3798">
        <v>0</v>
      </c>
    </row>
    <row r="3799" spans="1:7" x14ac:dyDescent="0.3">
      <c r="A3799" s="80">
        <v>45801</v>
      </c>
      <c r="B3799">
        <v>3010200</v>
      </c>
      <c r="C3799">
        <v>5000</v>
      </c>
      <c r="E3799" s="80">
        <v>45782</v>
      </c>
      <c r="F3799">
        <v>3010111</v>
      </c>
      <c r="G3799">
        <v>0</v>
      </c>
    </row>
    <row r="3800" spans="1:7" x14ac:dyDescent="0.3">
      <c r="A3800" s="80">
        <v>45801</v>
      </c>
      <c r="B3800">
        <v>3010200</v>
      </c>
      <c r="C3800">
        <v>5000</v>
      </c>
      <c r="E3800" s="80">
        <v>45782</v>
      </c>
      <c r="F3800">
        <v>3010111</v>
      </c>
      <c r="G3800">
        <v>1504</v>
      </c>
    </row>
    <row r="3801" spans="1:7" x14ac:dyDescent="0.3">
      <c r="A3801" s="80">
        <v>45801</v>
      </c>
      <c r="B3801">
        <v>3010200</v>
      </c>
      <c r="C3801">
        <v>10000</v>
      </c>
      <c r="E3801" s="80">
        <v>45782</v>
      </c>
      <c r="F3801">
        <v>3010111</v>
      </c>
      <c r="G3801">
        <v>0</v>
      </c>
    </row>
    <row r="3802" spans="1:7" x14ac:dyDescent="0.3">
      <c r="A3802" s="80">
        <v>45801</v>
      </c>
      <c r="B3802">
        <v>3010200</v>
      </c>
      <c r="C3802">
        <v>4500</v>
      </c>
      <c r="E3802" s="80">
        <v>45782</v>
      </c>
      <c r="F3802">
        <v>3010111</v>
      </c>
      <c r="G3802">
        <v>2092</v>
      </c>
    </row>
    <row r="3803" spans="1:7" x14ac:dyDescent="0.3">
      <c r="A3803" s="80">
        <v>45801</v>
      </c>
      <c r="B3803">
        <v>3010200</v>
      </c>
      <c r="C3803">
        <v>500</v>
      </c>
      <c r="E3803" s="80">
        <v>45781</v>
      </c>
      <c r="F3803">
        <v>3010111</v>
      </c>
      <c r="G3803">
        <v>1504</v>
      </c>
    </row>
    <row r="3804" spans="1:7" x14ac:dyDescent="0.3">
      <c r="A3804" s="80">
        <v>45800</v>
      </c>
      <c r="B3804">
        <v>3010200</v>
      </c>
      <c r="C3804">
        <v>500</v>
      </c>
      <c r="E3804" s="80">
        <v>45781</v>
      </c>
      <c r="F3804">
        <v>3010111</v>
      </c>
      <c r="G3804">
        <v>1504</v>
      </c>
    </row>
    <row r="3805" spans="1:7" x14ac:dyDescent="0.3">
      <c r="A3805" s="80">
        <v>45800</v>
      </c>
      <c r="B3805">
        <v>3010200</v>
      </c>
      <c r="C3805">
        <v>5000</v>
      </c>
      <c r="E3805" s="80">
        <v>45781</v>
      </c>
      <c r="F3805">
        <v>3010111</v>
      </c>
      <c r="G3805">
        <v>1504</v>
      </c>
    </row>
    <row r="3806" spans="1:7" x14ac:dyDescent="0.3">
      <c r="A3806" s="80">
        <v>45800</v>
      </c>
      <c r="B3806">
        <v>3010200</v>
      </c>
      <c r="C3806">
        <v>5000</v>
      </c>
      <c r="E3806" s="80">
        <v>45781</v>
      </c>
      <c r="F3806">
        <v>3010111</v>
      </c>
      <c r="G3806">
        <v>1840</v>
      </c>
    </row>
    <row r="3807" spans="1:7" x14ac:dyDescent="0.3">
      <c r="A3807" s="80">
        <v>45800</v>
      </c>
      <c r="B3807">
        <v>3010200</v>
      </c>
      <c r="C3807">
        <v>5000</v>
      </c>
      <c r="E3807" s="80">
        <v>45781</v>
      </c>
      <c r="F3807">
        <v>3010111</v>
      </c>
      <c r="G3807">
        <v>0</v>
      </c>
    </row>
    <row r="3808" spans="1:7" x14ac:dyDescent="0.3">
      <c r="A3808" s="80">
        <v>45800</v>
      </c>
      <c r="B3808">
        <v>3010200</v>
      </c>
      <c r="C3808">
        <v>5000</v>
      </c>
      <c r="E3808" s="80">
        <v>45780</v>
      </c>
      <c r="F3808">
        <v>3010111</v>
      </c>
      <c r="G3808">
        <v>1504</v>
      </c>
    </row>
    <row r="3809" spans="1:7" x14ac:dyDescent="0.3">
      <c r="A3809" s="80">
        <v>45800</v>
      </c>
      <c r="B3809">
        <v>3010200</v>
      </c>
      <c r="C3809">
        <v>8769</v>
      </c>
      <c r="E3809" s="80">
        <v>45780</v>
      </c>
      <c r="F3809">
        <v>3010111</v>
      </c>
      <c r="G3809">
        <v>0</v>
      </c>
    </row>
    <row r="3810" spans="1:7" x14ac:dyDescent="0.3">
      <c r="A3810" s="80">
        <v>45800</v>
      </c>
      <c r="B3810">
        <v>3010200</v>
      </c>
      <c r="C3810">
        <v>12630</v>
      </c>
      <c r="E3810" s="80">
        <v>45780</v>
      </c>
      <c r="F3810">
        <v>3010111</v>
      </c>
      <c r="G3810">
        <v>1504</v>
      </c>
    </row>
    <row r="3811" spans="1:7" x14ac:dyDescent="0.3">
      <c r="A3811" s="80">
        <v>45799</v>
      </c>
      <c r="B3811">
        <v>3010200</v>
      </c>
      <c r="C3811">
        <v>5000</v>
      </c>
      <c r="E3811" s="80">
        <v>45780</v>
      </c>
      <c r="F3811">
        <v>3010111</v>
      </c>
      <c r="G3811">
        <v>1504</v>
      </c>
    </row>
    <row r="3812" spans="1:7" x14ac:dyDescent="0.3">
      <c r="A3812" s="80">
        <v>45799</v>
      </c>
      <c r="B3812">
        <v>3010200</v>
      </c>
      <c r="C3812">
        <v>5000</v>
      </c>
      <c r="E3812" s="80">
        <v>45779</v>
      </c>
      <c r="F3812">
        <v>3010111</v>
      </c>
      <c r="G3812">
        <v>1504</v>
      </c>
    </row>
    <row r="3813" spans="1:7" x14ac:dyDescent="0.3">
      <c r="A3813" s="80">
        <v>45799</v>
      </c>
      <c r="B3813">
        <v>3010200</v>
      </c>
      <c r="C3813">
        <v>4500</v>
      </c>
      <c r="E3813" s="80">
        <v>45779</v>
      </c>
      <c r="F3813">
        <v>3010111</v>
      </c>
      <c r="G3813">
        <v>0</v>
      </c>
    </row>
    <row r="3814" spans="1:7" x14ac:dyDescent="0.3">
      <c r="A3814" s="80">
        <v>45799</v>
      </c>
      <c r="B3814">
        <v>3010200</v>
      </c>
      <c r="C3814">
        <v>5000</v>
      </c>
      <c r="E3814" s="80">
        <v>45779</v>
      </c>
      <c r="F3814">
        <v>3010111</v>
      </c>
      <c r="G3814">
        <v>5034</v>
      </c>
    </row>
    <row r="3815" spans="1:7" x14ac:dyDescent="0.3">
      <c r="A3815" s="80">
        <v>45798</v>
      </c>
      <c r="B3815">
        <v>3010200</v>
      </c>
      <c r="C3815">
        <v>500</v>
      </c>
      <c r="E3815" s="80">
        <v>45779</v>
      </c>
      <c r="F3815">
        <v>3010111</v>
      </c>
      <c r="G3815">
        <v>1504</v>
      </c>
    </row>
    <row r="3816" spans="1:7" x14ac:dyDescent="0.3">
      <c r="A3816" s="80">
        <v>45798</v>
      </c>
      <c r="B3816">
        <v>3010200</v>
      </c>
      <c r="C3816">
        <v>9000</v>
      </c>
      <c r="E3816" s="80">
        <v>45778</v>
      </c>
      <c r="F3816">
        <v>3010111</v>
      </c>
      <c r="G3816">
        <v>1840</v>
      </c>
    </row>
    <row r="3817" spans="1:7" x14ac:dyDescent="0.3">
      <c r="A3817" s="80">
        <v>45798</v>
      </c>
      <c r="B3817">
        <v>3010200</v>
      </c>
      <c r="C3817">
        <v>5000</v>
      </c>
      <c r="E3817" s="80">
        <v>45778</v>
      </c>
      <c r="F3817">
        <v>3010111</v>
      </c>
      <c r="G3817">
        <v>1504</v>
      </c>
    </row>
    <row r="3818" spans="1:7" x14ac:dyDescent="0.3">
      <c r="A3818" s="80">
        <v>45798</v>
      </c>
      <c r="B3818">
        <v>3010200</v>
      </c>
      <c r="C3818">
        <v>12630</v>
      </c>
      <c r="E3818" s="80">
        <v>45777</v>
      </c>
      <c r="F3818">
        <v>3010111</v>
      </c>
      <c r="G3818">
        <v>1504</v>
      </c>
    </row>
    <row r="3819" spans="1:7" x14ac:dyDescent="0.3">
      <c r="A3819" s="80">
        <v>45798</v>
      </c>
      <c r="B3819">
        <v>3010200</v>
      </c>
      <c r="C3819">
        <v>12630</v>
      </c>
      <c r="E3819" s="80">
        <v>45777</v>
      </c>
      <c r="F3819">
        <v>3010111</v>
      </c>
      <c r="G3819">
        <v>1504</v>
      </c>
    </row>
    <row r="3820" spans="1:7" x14ac:dyDescent="0.3">
      <c r="A3820" s="80">
        <v>45798</v>
      </c>
      <c r="B3820">
        <v>3010200</v>
      </c>
      <c r="C3820">
        <v>5000</v>
      </c>
      <c r="E3820" s="80">
        <v>45777</v>
      </c>
      <c r="F3820">
        <v>3010111</v>
      </c>
      <c r="G3820">
        <v>0</v>
      </c>
    </row>
    <row r="3821" spans="1:7" x14ac:dyDescent="0.3">
      <c r="A3821" s="80">
        <v>45798</v>
      </c>
      <c r="B3821">
        <v>3010200</v>
      </c>
      <c r="C3821">
        <v>5000</v>
      </c>
      <c r="E3821" s="80">
        <v>45777</v>
      </c>
      <c r="F3821">
        <v>3010111</v>
      </c>
      <c r="G3821">
        <v>1504</v>
      </c>
    </row>
    <row r="3822" spans="1:7" x14ac:dyDescent="0.3">
      <c r="A3822" s="80">
        <v>45797</v>
      </c>
      <c r="B3822">
        <v>3010200</v>
      </c>
      <c r="C3822">
        <v>5000</v>
      </c>
      <c r="E3822" s="80">
        <v>45777</v>
      </c>
      <c r="F3822">
        <v>3010111</v>
      </c>
      <c r="G3822">
        <v>0</v>
      </c>
    </row>
    <row r="3823" spans="1:7" x14ac:dyDescent="0.3">
      <c r="A3823" s="80">
        <v>45797</v>
      </c>
      <c r="B3823">
        <v>3010200</v>
      </c>
      <c r="C3823">
        <v>5000</v>
      </c>
      <c r="E3823" s="80">
        <v>45776</v>
      </c>
      <c r="F3823">
        <v>3010111</v>
      </c>
      <c r="G3823">
        <v>1504</v>
      </c>
    </row>
    <row r="3824" spans="1:7" x14ac:dyDescent="0.3">
      <c r="A3824" s="80">
        <v>45797</v>
      </c>
      <c r="B3824">
        <v>3010200</v>
      </c>
      <c r="C3824">
        <v>5000</v>
      </c>
      <c r="E3824" s="80">
        <v>45776</v>
      </c>
      <c r="F3824">
        <v>3010111</v>
      </c>
      <c r="G3824">
        <v>3773</v>
      </c>
    </row>
    <row r="3825" spans="1:7" x14ac:dyDescent="0.3">
      <c r="A3825" s="80">
        <v>45797</v>
      </c>
      <c r="B3825">
        <v>3010200</v>
      </c>
      <c r="C3825">
        <v>4500</v>
      </c>
      <c r="E3825" s="80">
        <v>45776</v>
      </c>
      <c r="F3825">
        <v>3010111</v>
      </c>
      <c r="G3825">
        <v>0</v>
      </c>
    </row>
    <row r="3826" spans="1:7" x14ac:dyDescent="0.3">
      <c r="A3826" s="80">
        <v>45797</v>
      </c>
      <c r="B3826">
        <v>3010200</v>
      </c>
      <c r="C3826">
        <v>5000</v>
      </c>
      <c r="E3826" s="80">
        <v>45776</v>
      </c>
      <c r="F3826">
        <v>3010111</v>
      </c>
      <c r="G3826">
        <v>0</v>
      </c>
    </row>
    <row r="3827" spans="1:7" x14ac:dyDescent="0.3">
      <c r="A3827" s="80">
        <v>45797</v>
      </c>
      <c r="B3827">
        <v>3010200</v>
      </c>
      <c r="C3827">
        <v>5000</v>
      </c>
      <c r="E3827" s="80">
        <v>45776</v>
      </c>
      <c r="F3827">
        <v>3010111</v>
      </c>
      <c r="G3827">
        <v>1504</v>
      </c>
    </row>
    <row r="3828" spans="1:7" x14ac:dyDescent="0.3">
      <c r="A3828" s="80">
        <v>45796</v>
      </c>
      <c r="B3828">
        <v>3010200</v>
      </c>
      <c r="C3828">
        <v>5000</v>
      </c>
      <c r="E3828" s="80">
        <v>45776</v>
      </c>
      <c r="F3828">
        <v>3010111</v>
      </c>
      <c r="G3828">
        <v>2092</v>
      </c>
    </row>
    <row r="3829" spans="1:7" x14ac:dyDescent="0.3">
      <c r="A3829" s="80">
        <v>45796</v>
      </c>
      <c r="B3829">
        <v>3010200</v>
      </c>
      <c r="C3829">
        <v>5000</v>
      </c>
      <c r="E3829" s="80">
        <v>45776</v>
      </c>
      <c r="F3829">
        <v>3010111</v>
      </c>
      <c r="G3829">
        <v>1504</v>
      </c>
    </row>
    <row r="3830" spans="1:7" x14ac:dyDescent="0.3">
      <c r="A3830" s="80">
        <v>45796</v>
      </c>
      <c r="B3830">
        <v>3010200</v>
      </c>
      <c r="C3830">
        <v>5000</v>
      </c>
      <c r="E3830" s="80">
        <v>45775</v>
      </c>
      <c r="F3830">
        <v>3010111</v>
      </c>
      <c r="G3830">
        <v>1504</v>
      </c>
    </row>
    <row r="3831" spans="1:7" x14ac:dyDescent="0.3">
      <c r="A3831" s="80">
        <v>45795</v>
      </c>
      <c r="B3831">
        <v>3010200</v>
      </c>
      <c r="C3831">
        <v>5000</v>
      </c>
      <c r="E3831" s="80">
        <v>45775</v>
      </c>
      <c r="F3831">
        <v>3010111</v>
      </c>
      <c r="G3831">
        <v>0</v>
      </c>
    </row>
    <row r="3832" spans="1:7" x14ac:dyDescent="0.3">
      <c r="A3832" s="80">
        <v>45795</v>
      </c>
      <c r="B3832">
        <v>3010200</v>
      </c>
      <c r="C3832">
        <v>5000</v>
      </c>
      <c r="E3832" s="80">
        <v>45775</v>
      </c>
      <c r="F3832">
        <v>3010111</v>
      </c>
      <c r="G3832">
        <v>1504</v>
      </c>
    </row>
    <row r="3833" spans="1:7" x14ac:dyDescent="0.3">
      <c r="A3833" s="80">
        <v>45795</v>
      </c>
      <c r="B3833">
        <v>3010200</v>
      </c>
      <c r="C3833">
        <v>12630</v>
      </c>
      <c r="E3833" s="80">
        <v>45774</v>
      </c>
      <c r="F3833">
        <v>3010111</v>
      </c>
      <c r="G3833">
        <v>1504</v>
      </c>
    </row>
    <row r="3834" spans="1:7" x14ac:dyDescent="0.3">
      <c r="A3834" s="80">
        <v>45795</v>
      </c>
      <c r="B3834">
        <v>3010200</v>
      </c>
      <c r="C3834">
        <v>5000</v>
      </c>
      <c r="E3834" s="80">
        <v>45774</v>
      </c>
      <c r="F3834">
        <v>3010111</v>
      </c>
      <c r="G3834">
        <v>2345</v>
      </c>
    </row>
    <row r="3835" spans="1:7" x14ac:dyDescent="0.3">
      <c r="A3835" s="80">
        <v>45794</v>
      </c>
      <c r="B3835">
        <v>3010200</v>
      </c>
      <c r="C3835">
        <v>5000</v>
      </c>
      <c r="E3835" s="80">
        <v>45774</v>
      </c>
      <c r="F3835">
        <v>3010111</v>
      </c>
      <c r="G3835">
        <v>2008</v>
      </c>
    </row>
    <row r="3836" spans="1:7" x14ac:dyDescent="0.3">
      <c r="A3836" s="80">
        <v>45794</v>
      </c>
      <c r="B3836">
        <v>3010200</v>
      </c>
      <c r="C3836">
        <v>5000</v>
      </c>
      <c r="E3836" s="80">
        <v>45774</v>
      </c>
      <c r="F3836">
        <v>3010111</v>
      </c>
      <c r="G3836">
        <v>0</v>
      </c>
    </row>
    <row r="3837" spans="1:7" x14ac:dyDescent="0.3">
      <c r="A3837" s="80">
        <v>45794</v>
      </c>
      <c r="B3837">
        <v>3010200</v>
      </c>
      <c r="C3837">
        <v>5000</v>
      </c>
      <c r="E3837" s="80">
        <v>45774</v>
      </c>
      <c r="F3837">
        <v>3010111</v>
      </c>
      <c r="G3837">
        <v>0</v>
      </c>
    </row>
    <row r="3838" spans="1:7" x14ac:dyDescent="0.3">
      <c r="A3838" s="80">
        <v>45793</v>
      </c>
      <c r="B3838">
        <v>3010200</v>
      </c>
      <c r="C3838">
        <v>5000</v>
      </c>
      <c r="E3838" s="80">
        <v>45774</v>
      </c>
      <c r="F3838">
        <v>3010111</v>
      </c>
      <c r="G3838">
        <v>1504</v>
      </c>
    </row>
    <row r="3839" spans="1:7" x14ac:dyDescent="0.3">
      <c r="A3839" s="80">
        <v>45792</v>
      </c>
      <c r="B3839">
        <v>3010200</v>
      </c>
      <c r="C3839">
        <v>5000</v>
      </c>
      <c r="E3839" s="80">
        <v>45774</v>
      </c>
      <c r="F3839">
        <v>3010111</v>
      </c>
      <c r="G3839">
        <v>1504</v>
      </c>
    </row>
    <row r="3840" spans="1:7" x14ac:dyDescent="0.3">
      <c r="A3840" s="80">
        <v>45792</v>
      </c>
      <c r="B3840">
        <v>3010200</v>
      </c>
      <c r="C3840">
        <v>5000</v>
      </c>
      <c r="E3840" s="80">
        <v>45773</v>
      </c>
      <c r="F3840">
        <v>3010111</v>
      </c>
      <c r="G3840">
        <v>2345</v>
      </c>
    </row>
    <row r="3841" spans="1:7" x14ac:dyDescent="0.3">
      <c r="A3841" s="80">
        <v>45792</v>
      </c>
      <c r="B3841">
        <v>3010200</v>
      </c>
      <c r="C3841">
        <v>500</v>
      </c>
      <c r="E3841" s="80">
        <v>45773</v>
      </c>
      <c r="F3841">
        <v>3010111</v>
      </c>
      <c r="G3841">
        <v>0</v>
      </c>
    </row>
    <row r="3842" spans="1:7" x14ac:dyDescent="0.3">
      <c r="A3842" s="80">
        <v>45792</v>
      </c>
      <c r="B3842">
        <v>3010200</v>
      </c>
      <c r="C3842">
        <v>5000</v>
      </c>
      <c r="E3842" s="80">
        <v>45773</v>
      </c>
      <c r="F3842">
        <v>3010111</v>
      </c>
      <c r="G3842">
        <v>1504</v>
      </c>
    </row>
    <row r="3843" spans="1:7" x14ac:dyDescent="0.3">
      <c r="A3843" s="80">
        <v>45791</v>
      </c>
      <c r="B3843">
        <v>3010200</v>
      </c>
      <c r="C3843">
        <v>5000</v>
      </c>
      <c r="E3843" s="80">
        <v>45773</v>
      </c>
      <c r="F3843">
        <v>3010111</v>
      </c>
      <c r="G3843">
        <v>0</v>
      </c>
    </row>
    <row r="3844" spans="1:7" x14ac:dyDescent="0.3">
      <c r="A3844" s="80">
        <v>45791</v>
      </c>
      <c r="B3844">
        <v>3010200</v>
      </c>
      <c r="C3844">
        <v>5000</v>
      </c>
      <c r="E3844" s="80">
        <v>45773</v>
      </c>
      <c r="F3844">
        <v>3010111</v>
      </c>
      <c r="G3844">
        <v>0</v>
      </c>
    </row>
    <row r="3845" spans="1:7" x14ac:dyDescent="0.3">
      <c r="A3845" s="80">
        <v>45791</v>
      </c>
      <c r="B3845">
        <v>3010200</v>
      </c>
      <c r="C3845">
        <v>5000</v>
      </c>
      <c r="E3845" s="80">
        <v>45773</v>
      </c>
      <c r="F3845">
        <v>3010111</v>
      </c>
      <c r="G3845">
        <v>0</v>
      </c>
    </row>
    <row r="3846" spans="1:7" x14ac:dyDescent="0.3">
      <c r="A3846" s="80">
        <v>45791</v>
      </c>
      <c r="B3846">
        <v>3010200</v>
      </c>
      <c r="C3846">
        <v>5000</v>
      </c>
      <c r="E3846" s="80">
        <v>45773</v>
      </c>
      <c r="F3846">
        <v>3010111</v>
      </c>
      <c r="G3846">
        <v>0</v>
      </c>
    </row>
    <row r="3847" spans="1:7" x14ac:dyDescent="0.3">
      <c r="A3847" s="80">
        <v>45790</v>
      </c>
      <c r="B3847">
        <v>3010200</v>
      </c>
      <c r="C3847">
        <v>5000</v>
      </c>
      <c r="E3847" s="80">
        <v>45773</v>
      </c>
      <c r="F3847">
        <v>3010111</v>
      </c>
      <c r="G3847">
        <v>0</v>
      </c>
    </row>
    <row r="3848" spans="1:7" x14ac:dyDescent="0.3">
      <c r="A3848" s="80">
        <v>45789</v>
      </c>
      <c r="B3848">
        <v>3010200</v>
      </c>
      <c r="C3848">
        <v>5000</v>
      </c>
      <c r="E3848" s="80">
        <v>45773</v>
      </c>
      <c r="F3848">
        <v>3010111</v>
      </c>
      <c r="G3848">
        <v>4109</v>
      </c>
    </row>
    <row r="3849" spans="1:7" x14ac:dyDescent="0.3">
      <c r="A3849" s="80">
        <v>45789</v>
      </c>
      <c r="B3849">
        <v>3010200</v>
      </c>
      <c r="C3849">
        <v>5000</v>
      </c>
      <c r="E3849" s="80">
        <v>45773</v>
      </c>
      <c r="F3849">
        <v>3010111</v>
      </c>
      <c r="G3849">
        <v>1504</v>
      </c>
    </row>
    <row r="3850" spans="1:7" x14ac:dyDescent="0.3">
      <c r="A3850" s="80">
        <v>45789</v>
      </c>
      <c r="B3850">
        <v>3010200</v>
      </c>
      <c r="C3850">
        <v>5000</v>
      </c>
      <c r="E3850" s="80">
        <v>45773</v>
      </c>
      <c r="F3850">
        <v>3010111</v>
      </c>
      <c r="G3850">
        <v>1504</v>
      </c>
    </row>
    <row r="3851" spans="1:7" x14ac:dyDescent="0.3">
      <c r="A3851" s="80">
        <v>45788</v>
      </c>
      <c r="B3851">
        <v>3010200</v>
      </c>
      <c r="C3851">
        <v>5000</v>
      </c>
      <c r="E3851" s="80">
        <v>45772</v>
      </c>
      <c r="F3851">
        <v>3010111</v>
      </c>
      <c r="G3851">
        <v>1504</v>
      </c>
    </row>
    <row r="3852" spans="1:7" x14ac:dyDescent="0.3">
      <c r="A3852" s="80">
        <v>45788</v>
      </c>
      <c r="B3852">
        <v>3010200</v>
      </c>
      <c r="C3852">
        <v>5000</v>
      </c>
      <c r="E3852" s="80">
        <v>45772</v>
      </c>
      <c r="F3852">
        <v>3010111</v>
      </c>
      <c r="G3852">
        <v>0</v>
      </c>
    </row>
    <row r="3853" spans="1:7" x14ac:dyDescent="0.3">
      <c r="A3853" s="80">
        <v>45788</v>
      </c>
      <c r="B3853">
        <v>3010200</v>
      </c>
      <c r="C3853">
        <v>5000</v>
      </c>
      <c r="E3853" s="80">
        <v>45772</v>
      </c>
      <c r="F3853">
        <v>3010111</v>
      </c>
      <c r="G3853">
        <v>0</v>
      </c>
    </row>
    <row r="3854" spans="1:7" x14ac:dyDescent="0.3">
      <c r="A3854" s="80">
        <v>45788</v>
      </c>
      <c r="B3854">
        <v>3010200</v>
      </c>
      <c r="C3854">
        <v>9000</v>
      </c>
      <c r="E3854" s="80">
        <v>45772</v>
      </c>
      <c r="F3854">
        <v>3010111</v>
      </c>
      <c r="G3854">
        <v>1504</v>
      </c>
    </row>
    <row r="3855" spans="1:7" x14ac:dyDescent="0.3">
      <c r="A3855" s="80">
        <v>45788</v>
      </c>
      <c r="B3855">
        <v>3010200</v>
      </c>
      <c r="C3855">
        <v>5000</v>
      </c>
      <c r="E3855" s="80">
        <v>45772</v>
      </c>
      <c r="F3855">
        <v>3010111</v>
      </c>
      <c r="G3855">
        <v>0</v>
      </c>
    </row>
    <row r="3856" spans="1:7" x14ac:dyDescent="0.3">
      <c r="A3856" s="80">
        <v>45788</v>
      </c>
      <c r="B3856">
        <v>3010200</v>
      </c>
      <c r="C3856">
        <v>5000</v>
      </c>
      <c r="E3856" s="80">
        <v>45772</v>
      </c>
      <c r="F3856">
        <v>3010111</v>
      </c>
      <c r="G3856">
        <v>1504</v>
      </c>
    </row>
    <row r="3857" spans="1:7" x14ac:dyDescent="0.3">
      <c r="A3857" s="80">
        <v>45787</v>
      </c>
      <c r="B3857">
        <v>3010200</v>
      </c>
      <c r="C3857">
        <v>12630</v>
      </c>
      <c r="E3857" s="80">
        <v>45772</v>
      </c>
      <c r="F3857">
        <v>3010111</v>
      </c>
      <c r="G3857">
        <v>0</v>
      </c>
    </row>
    <row r="3858" spans="1:7" x14ac:dyDescent="0.3">
      <c r="A3858" s="80">
        <v>45787</v>
      </c>
      <c r="B3858">
        <v>3010200</v>
      </c>
      <c r="C3858">
        <v>4500</v>
      </c>
      <c r="E3858" s="80">
        <v>45772</v>
      </c>
      <c r="F3858">
        <v>3010111</v>
      </c>
      <c r="G3858">
        <v>1504</v>
      </c>
    </row>
    <row r="3859" spans="1:7" x14ac:dyDescent="0.3">
      <c r="A3859" s="80">
        <v>45787</v>
      </c>
      <c r="B3859">
        <v>3010200</v>
      </c>
      <c r="C3859">
        <v>5000</v>
      </c>
      <c r="E3859" s="80">
        <v>45772</v>
      </c>
      <c r="F3859">
        <v>3010111</v>
      </c>
      <c r="G3859">
        <v>0</v>
      </c>
    </row>
    <row r="3860" spans="1:7" x14ac:dyDescent="0.3">
      <c r="A3860" s="80">
        <v>45787</v>
      </c>
      <c r="B3860">
        <v>3010200</v>
      </c>
      <c r="C3860">
        <v>5000</v>
      </c>
      <c r="E3860" s="80">
        <v>45772</v>
      </c>
      <c r="F3860">
        <v>3010111</v>
      </c>
      <c r="G3860">
        <v>1504</v>
      </c>
    </row>
    <row r="3861" spans="1:7" x14ac:dyDescent="0.3">
      <c r="A3861" s="80">
        <v>45786</v>
      </c>
      <c r="B3861">
        <v>3010200</v>
      </c>
      <c r="C3861">
        <v>5000</v>
      </c>
      <c r="E3861" s="80">
        <v>45772</v>
      </c>
      <c r="F3861">
        <v>3010111</v>
      </c>
      <c r="G3861">
        <v>0</v>
      </c>
    </row>
    <row r="3862" spans="1:7" x14ac:dyDescent="0.3">
      <c r="A3862" s="80">
        <v>45786</v>
      </c>
      <c r="B3862">
        <v>3010200</v>
      </c>
      <c r="C3862">
        <v>4500</v>
      </c>
      <c r="E3862" s="80">
        <v>45772</v>
      </c>
      <c r="F3862">
        <v>3010111</v>
      </c>
      <c r="G3862">
        <v>1504</v>
      </c>
    </row>
    <row r="3863" spans="1:7" x14ac:dyDescent="0.3">
      <c r="A3863" s="80">
        <v>45786</v>
      </c>
      <c r="B3863">
        <v>3010200</v>
      </c>
      <c r="C3863">
        <v>500</v>
      </c>
      <c r="E3863" s="80">
        <v>45772</v>
      </c>
      <c r="F3863">
        <v>3010111</v>
      </c>
      <c r="G3863">
        <v>0</v>
      </c>
    </row>
    <row r="3864" spans="1:7" x14ac:dyDescent="0.3">
      <c r="A3864" s="80">
        <v>45786</v>
      </c>
      <c r="B3864">
        <v>3010200</v>
      </c>
      <c r="C3864">
        <v>5000</v>
      </c>
      <c r="E3864" s="80">
        <v>45772</v>
      </c>
      <c r="F3864">
        <v>3010111</v>
      </c>
      <c r="G3864">
        <v>1504</v>
      </c>
    </row>
    <row r="3865" spans="1:7" x14ac:dyDescent="0.3">
      <c r="A3865" s="80">
        <v>45786</v>
      </c>
      <c r="B3865">
        <v>3010200</v>
      </c>
      <c r="C3865">
        <v>5000</v>
      </c>
      <c r="E3865" s="80">
        <v>45771</v>
      </c>
      <c r="F3865">
        <v>3010111</v>
      </c>
      <c r="G3865">
        <v>1504</v>
      </c>
    </row>
    <row r="3866" spans="1:7" x14ac:dyDescent="0.3">
      <c r="A3866" s="80">
        <v>45786</v>
      </c>
      <c r="B3866">
        <v>3010200</v>
      </c>
      <c r="C3866">
        <v>5000</v>
      </c>
      <c r="E3866" s="80">
        <v>45771</v>
      </c>
      <c r="F3866">
        <v>3010111</v>
      </c>
      <c r="G3866">
        <v>1504</v>
      </c>
    </row>
    <row r="3867" spans="1:7" x14ac:dyDescent="0.3">
      <c r="A3867" s="80">
        <v>45786</v>
      </c>
      <c r="B3867">
        <v>3010200</v>
      </c>
      <c r="C3867">
        <v>5000</v>
      </c>
      <c r="E3867" s="80">
        <v>45771</v>
      </c>
      <c r="F3867">
        <v>3010111</v>
      </c>
      <c r="G3867">
        <v>1504</v>
      </c>
    </row>
    <row r="3868" spans="1:7" x14ac:dyDescent="0.3">
      <c r="A3868" s="80">
        <v>45785</v>
      </c>
      <c r="B3868">
        <v>3010200</v>
      </c>
      <c r="C3868">
        <v>5000</v>
      </c>
      <c r="E3868" s="80">
        <v>45771</v>
      </c>
      <c r="F3868">
        <v>3010111</v>
      </c>
      <c r="G3868">
        <v>5034</v>
      </c>
    </row>
    <row r="3869" spans="1:7" x14ac:dyDescent="0.3">
      <c r="A3869" s="80">
        <v>45785</v>
      </c>
      <c r="B3869">
        <v>3010200</v>
      </c>
      <c r="C3869">
        <v>5000</v>
      </c>
      <c r="E3869" s="80">
        <v>45771</v>
      </c>
      <c r="F3869">
        <v>3010111</v>
      </c>
      <c r="G3869">
        <v>1504</v>
      </c>
    </row>
    <row r="3870" spans="1:7" x14ac:dyDescent="0.3">
      <c r="A3870" s="80">
        <v>45785</v>
      </c>
      <c r="B3870">
        <v>3010200</v>
      </c>
      <c r="C3870">
        <v>5000</v>
      </c>
      <c r="E3870" s="80">
        <v>45771</v>
      </c>
      <c r="F3870">
        <v>3010111</v>
      </c>
      <c r="G3870">
        <v>3353</v>
      </c>
    </row>
    <row r="3871" spans="1:7" x14ac:dyDescent="0.3">
      <c r="A3871" s="80">
        <v>45785</v>
      </c>
      <c r="B3871">
        <v>3010200</v>
      </c>
      <c r="C3871">
        <v>5000</v>
      </c>
      <c r="E3871" s="80">
        <v>45771</v>
      </c>
      <c r="F3871">
        <v>3010111</v>
      </c>
      <c r="G3871">
        <v>0</v>
      </c>
    </row>
    <row r="3872" spans="1:7" x14ac:dyDescent="0.3">
      <c r="A3872" s="80">
        <v>45785</v>
      </c>
      <c r="B3872">
        <v>3010200</v>
      </c>
      <c r="C3872">
        <v>10000</v>
      </c>
      <c r="E3872" s="80">
        <v>45771</v>
      </c>
      <c r="F3872">
        <v>3010111</v>
      </c>
      <c r="G3872">
        <v>0</v>
      </c>
    </row>
    <row r="3873" spans="1:7" x14ac:dyDescent="0.3">
      <c r="A3873" s="80">
        <v>45785</v>
      </c>
      <c r="B3873">
        <v>3010200</v>
      </c>
      <c r="C3873">
        <v>4500</v>
      </c>
      <c r="E3873" s="80">
        <v>45770</v>
      </c>
      <c r="F3873">
        <v>3010111</v>
      </c>
      <c r="G3873">
        <v>4025</v>
      </c>
    </row>
    <row r="3874" spans="1:7" x14ac:dyDescent="0.3">
      <c r="A3874" s="80">
        <v>45784</v>
      </c>
      <c r="B3874">
        <v>3010200</v>
      </c>
      <c r="C3874">
        <v>5000</v>
      </c>
      <c r="E3874" s="80">
        <v>45770</v>
      </c>
      <c r="F3874">
        <v>3010111</v>
      </c>
      <c r="G3874">
        <v>4025</v>
      </c>
    </row>
    <row r="3875" spans="1:7" x14ac:dyDescent="0.3">
      <c r="A3875" s="80">
        <v>45784</v>
      </c>
      <c r="B3875">
        <v>3010200</v>
      </c>
      <c r="C3875">
        <v>5000</v>
      </c>
      <c r="E3875" s="80">
        <v>45770</v>
      </c>
      <c r="F3875">
        <v>3010111</v>
      </c>
      <c r="G3875">
        <v>0</v>
      </c>
    </row>
    <row r="3876" spans="1:7" x14ac:dyDescent="0.3">
      <c r="A3876" s="80">
        <v>45784</v>
      </c>
      <c r="B3876">
        <v>3010200</v>
      </c>
      <c r="C3876">
        <v>5000</v>
      </c>
      <c r="E3876" s="80">
        <v>45770</v>
      </c>
      <c r="F3876">
        <v>3010111</v>
      </c>
      <c r="G3876">
        <v>0</v>
      </c>
    </row>
    <row r="3877" spans="1:7" x14ac:dyDescent="0.3">
      <c r="A3877" s="80">
        <v>45783</v>
      </c>
      <c r="B3877">
        <v>3010200</v>
      </c>
      <c r="C3877">
        <v>5000</v>
      </c>
      <c r="E3877" s="80">
        <v>45770</v>
      </c>
      <c r="F3877">
        <v>3010111</v>
      </c>
      <c r="G3877">
        <v>1504</v>
      </c>
    </row>
    <row r="3878" spans="1:7" x14ac:dyDescent="0.3">
      <c r="A3878" s="80">
        <v>45783</v>
      </c>
      <c r="B3878">
        <v>3010200</v>
      </c>
      <c r="C3878">
        <v>4500</v>
      </c>
      <c r="E3878" s="80">
        <v>45769</v>
      </c>
      <c r="F3878">
        <v>3010111</v>
      </c>
      <c r="G3878">
        <v>0</v>
      </c>
    </row>
    <row r="3879" spans="1:7" x14ac:dyDescent="0.3">
      <c r="A3879" s="80">
        <v>45783</v>
      </c>
      <c r="B3879">
        <v>3010200</v>
      </c>
      <c r="C3879">
        <v>5000</v>
      </c>
      <c r="E3879" s="80">
        <v>45769</v>
      </c>
      <c r="F3879">
        <v>3010111</v>
      </c>
      <c r="G3879">
        <v>0</v>
      </c>
    </row>
    <row r="3880" spans="1:7" x14ac:dyDescent="0.3">
      <c r="A3880" s="80">
        <v>45783</v>
      </c>
      <c r="B3880">
        <v>3010200</v>
      </c>
      <c r="C3880">
        <v>5000</v>
      </c>
      <c r="E3880" s="80">
        <v>45768</v>
      </c>
      <c r="F3880">
        <v>3010111</v>
      </c>
      <c r="G3880">
        <v>1504</v>
      </c>
    </row>
    <row r="3881" spans="1:7" x14ac:dyDescent="0.3">
      <c r="A3881" s="80">
        <v>45783</v>
      </c>
      <c r="B3881">
        <v>3010200</v>
      </c>
      <c r="C3881">
        <v>8769</v>
      </c>
      <c r="E3881" s="80">
        <v>45768</v>
      </c>
      <c r="F3881">
        <v>3010111</v>
      </c>
      <c r="G3881">
        <v>2008</v>
      </c>
    </row>
    <row r="3882" spans="1:7" x14ac:dyDescent="0.3">
      <c r="A3882" s="80">
        <v>45782</v>
      </c>
      <c r="B3882">
        <v>3010200</v>
      </c>
      <c r="C3882">
        <v>5000</v>
      </c>
      <c r="E3882" s="80">
        <v>45768</v>
      </c>
      <c r="F3882">
        <v>3010111</v>
      </c>
      <c r="G3882">
        <v>5118</v>
      </c>
    </row>
    <row r="3883" spans="1:7" x14ac:dyDescent="0.3">
      <c r="A3883" s="80">
        <v>45782</v>
      </c>
      <c r="B3883">
        <v>3010200</v>
      </c>
      <c r="C3883">
        <v>5000</v>
      </c>
      <c r="E3883" s="80">
        <v>45768</v>
      </c>
      <c r="F3883">
        <v>3010111</v>
      </c>
      <c r="G3883">
        <v>1504</v>
      </c>
    </row>
    <row r="3884" spans="1:7" x14ac:dyDescent="0.3">
      <c r="A3884" s="80">
        <v>45782</v>
      </c>
      <c r="B3884">
        <v>3010200</v>
      </c>
      <c r="C3884">
        <v>5000</v>
      </c>
      <c r="E3884" s="80">
        <v>45768</v>
      </c>
      <c r="F3884">
        <v>3010111</v>
      </c>
      <c r="G3884">
        <v>0</v>
      </c>
    </row>
    <row r="3885" spans="1:7" x14ac:dyDescent="0.3">
      <c r="A3885" s="80">
        <v>45782</v>
      </c>
      <c r="B3885">
        <v>3010200</v>
      </c>
      <c r="C3885">
        <v>12630</v>
      </c>
      <c r="E3885" s="80">
        <v>45768</v>
      </c>
      <c r="F3885">
        <v>3010111</v>
      </c>
      <c r="G3885">
        <v>2092</v>
      </c>
    </row>
    <row r="3886" spans="1:7" x14ac:dyDescent="0.3">
      <c r="A3886" s="80">
        <v>45782</v>
      </c>
      <c r="B3886">
        <v>3010200</v>
      </c>
      <c r="C3886">
        <v>5000</v>
      </c>
      <c r="E3886" s="80">
        <v>45768</v>
      </c>
      <c r="F3886">
        <v>3010111</v>
      </c>
      <c r="G3886">
        <v>1504</v>
      </c>
    </row>
    <row r="3887" spans="1:7" x14ac:dyDescent="0.3">
      <c r="A3887" s="80">
        <v>45782</v>
      </c>
      <c r="B3887">
        <v>3010200</v>
      </c>
      <c r="C3887">
        <v>4500</v>
      </c>
      <c r="E3887" s="80">
        <v>45766</v>
      </c>
      <c r="F3887">
        <v>3010111</v>
      </c>
      <c r="G3887">
        <v>2092</v>
      </c>
    </row>
    <row r="3888" spans="1:7" x14ac:dyDescent="0.3">
      <c r="A3888" s="80">
        <v>45782</v>
      </c>
      <c r="B3888">
        <v>3010200</v>
      </c>
      <c r="C3888">
        <v>500</v>
      </c>
      <c r="E3888" s="80">
        <v>45766</v>
      </c>
      <c r="F3888">
        <v>3010111</v>
      </c>
      <c r="G3888">
        <v>0</v>
      </c>
    </row>
    <row r="3889" spans="1:7" x14ac:dyDescent="0.3">
      <c r="A3889" s="80">
        <v>45782</v>
      </c>
      <c r="B3889">
        <v>3010200</v>
      </c>
      <c r="C3889">
        <v>3000</v>
      </c>
      <c r="E3889" s="80">
        <v>45766</v>
      </c>
      <c r="F3889">
        <v>3010111</v>
      </c>
      <c r="G3889">
        <v>0</v>
      </c>
    </row>
    <row r="3890" spans="1:7" x14ac:dyDescent="0.3">
      <c r="A3890" s="80">
        <v>45782</v>
      </c>
      <c r="B3890">
        <v>3010200</v>
      </c>
      <c r="C3890">
        <v>10000</v>
      </c>
      <c r="E3890" s="80">
        <v>45765</v>
      </c>
      <c r="F3890">
        <v>3010111</v>
      </c>
      <c r="G3890">
        <v>1504</v>
      </c>
    </row>
    <row r="3891" spans="1:7" x14ac:dyDescent="0.3">
      <c r="A3891" s="80">
        <v>45782</v>
      </c>
      <c r="B3891">
        <v>3010200</v>
      </c>
      <c r="C3891">
        <v>5000</v>
      </c>
      <c r="E3891" s="80">
        <v>45765</v>
      </c>
      <c r="F3891">
        <v>3010111</v>
      </c>
      <c r="G3891">
        <v>2092</v>
      </c>
    </row>
    <row r="3892" spans="1:7" x14ac:dyDescent="0.3">
      <c r="A3892" s="80">
        <v>45782</v>
      </c>
      <c r="B3892">
        <v>3010200</v>
      </c>
      <c r="C3892">
        <v>5000</v>
      </c>
      <c r="E3892" s="80">
        <v>45765</v>
      </c>
      <c r="F3892">
        <v>3010111</v>
      </c>
      <c r="G3892">
        <v>1504</v>
      </c>
    </row>
    <row r="3893" spans="1:7" x14ac:dyDescent="0.3">
      <c r="A3893" s="80">
        <v>45782</v>
      </c>
      <c r="B3893">
        <v>3010200</v>
      </c>
      <c r="C3893">
        <v>5000</v>
      </c>
      <c r="E3893" s="80">
        <v>45765</v>
      </c>
      <c r="F3893">
        <v>3010111</v>
      </c>
      <c r="G3893">
        <v>1504</v>
      </c>
    </row>
    <row r="3894" spans="1:7" x14ac:dyDescent="0.3">
      <c r="A3894" s="80">
        <v>45782</v>
      </c>
      <c r="B3894">
        <v>3010200</v>
      </c>
      <c r="C3894">
        <v>5000</v>
      </c>
      <c r="E3894" s="80">
        <v>45765</v>
      </c>
      <c r="F3894">
        <v>3010111</v>
      </c>
      <c r="G3894">
        <v>1504</v>
      </c>
    </row>
    <row r="3895" spans="1:7" x14ac:dyDescent="0.3">
      <c r="A3895" s="80">
        <v>45781</v>
      </c>
      <c r="B3895">
        <v>3010200</v>
      </c>
      <c r="C3895">
        <v>5000</v>
      </c>
      <c r="E3895" s="80">
        <v>45765</v>
      </c>
      <c r="F3895">
        <v>3010111</v>
      </c>
      <c r="G3895">
        <v>1504</v>
      </c>
    </row>
    <row r="3896" spans="1:7" x14ac:dyDescent="0.3">
      <c r="A3896" s="80">
        <v>45781</v>
      </c>
      <c r="B3896">
        <v>3010200</v>
      </c>
      <c r="C3896">
        <v>5000</v>
      </c>
      <c r="E3896" s="80">
        <v>45765</v>
      </c>
      <c r="F3896">
        <v>3010111</v>
      </c>
      <c r="G3896">
        <v>1504</v>
      </c>
    </row>
    <row r="3897" spans="1:7" x14ac:dyDescent="0.3">
      <c r="A3897" s="80">
        <v>45781</v>
      </c>
      <c r="B3897">
        <v>3010200</v>
      </c>
      <c r="C3897">
        <v>4500</v>
      </c>
      <c r="E3897" s="80">
        <v>45765</v>
      </c>
      <c r="F3897">
        <v>3010111</v>
      </c>
      <c r="G3897">
        <v>2008</v>
      </c>
    </row>
    <row r="3898" spans="1:7" x14ac:dyDescent="0.3">
      <c r="A3898" s="80">
        <v>45781</v>
      </c>
      <c r="B3898">
        <v>3010200</v>
      </c>
      <c r="C3898">
        <v>5000</v>
      </c>
      <c r="E3898" s="80">
        <v>45765</v>
      </c>
      <c r="F3898">
        <v>3010111</v>
      </c>
      <c r="G3898">
        <v>2849</v>
      </c>
    </row>
    <row r="3899" spans="1:7" x14ac:dyDescent="0.3">
      <c r="A3899" s="80">
        <v>45781</v>
      </c>
      <c r="B3899">
        <v>3010200</v>
      </c>
      <c r="C3899">
        <v>4500</v>
      </c>
      <c r="E3899" s="80">
        <v>45764</v>
      </c>
      <c r="F3899">
        <v>3010111</v>
      </c>
      <c r="G3899">
        <v>1504</v>
      </c>
    </row>
    <row r="3900" spans="1:7" x14ac:dyDescent="0.3">
      <c r="A3900" s="80">
        <v>45780</v>
      </c>
      <c r="B3900">
        <v>3010200</v>
      </c>
      <c r="C3900">
        <v>5000</v>
      </c>
      <c r="E3900" s="80">
        <v>45763</v>
      </c>
      <c r="F3900">
        <v>3010111</v>
      </c>
      <c r="G3900">
        <v>2513</v>
      </c>
    </row>
    <row r="3901" spans="1:7" x14ac:dyDescent="0.3">
      <c r="A3901" s="80">
        <v>45780</v>
      </c>
      <c r="B3901">
        <v>3010200</v>
      </c>
      <c r="C3901">
        <v>5000</v>
      </c>
      <c r="E3901" s="80">
        <v>45763</v>
      </c>
      <c r="F3901">
        <v>3010111</v>
      </c>
      <c r="G3901">
        <v>0</v>
      </c>
    </row>
    <row r="3902" spans="1:7" x14ac:dyDescent="0.3">
      <c r="A3902" s="80">
        <v>45780</v>
      </c>
      <c r="B3902">
        <v>3010200</v>
      </c>
      <c r="C3902">
        <v>5000</v>
      </c>
      <c r="E3902" s="80">
        <v>45763</v>
      </c>
      <c r="F3902">
        <v>3010111</v>
      </c>
      <c r="G3902">
        <v>1840</v>
      </c>
    </row>
    <row r="3903" spans="1:7" x14ac:dyDescent="0.3">
      <c r="A3903" s="80">
        <v>45780</v>
      </c>
      <c r="B3903">
        <v>3010200</v>
      </c>
      <c r="C3903">
        <v>5000</v>
      </c>
      <c r="E3903" s="80">
        <v>45763</v>
      </c>
      <c r="F3903">
        <v>3010111</v>
      </c>
      <c r="G3903">
        <v>0</v>
      </c>
    </row>
    <row r="3904" spans="1:7" x14ac:dyDescent="0.3">
      <c r="A3904" s="80">
        <v>45779</v>
      </c>
      <c r="B3904">
        <v>3010200</v>
      </c>
      <c r="C3904">
        <v>5000</v>
      </c>
      <c r="E3904" s="80">
        <v>45760</v>
      </c>
      <c r="F3904">
        <v>3010111</v>
      </c>
      <c r="G3904">
        <v>0</v>
      </c>
    </row>
    <row r="3905" spans="1:7" x14ac:dyDescent="0.3">
      <c r="A3905" s="80">
        <v>45779</v>
      </c>
      <c r="B3905">
        <v>3010200</v>
      </c>
      <c r="C3905">
        <v>5000</v>
      </c>
      <c r="E3905" s="80">
        <v>45758</v>
      </c>
      <c r="F3905">
        <v>3010111</v>
      </c>
      <c r="G3905">
        <v>1504</v>
      </c>
    </row>
    <row r="3906" spans="1:7" x14ac:dyDescent="0.3">
      <c r="A3906" s="80">
        <v>45779</v>
      </c>
      <c r="B3906">
        <v>3010200</v>
      </c>
      <c r="C3906">
        <v>4500</v>
      </c>
      <c r="E3906" s="80">
        <v>45757</v>
      </c>
      <c r="F3906">
        <v>3010111</v>
      </c>
      <c r="G3906">
        <v>1924</v>
      </c>
    </row>
    <row r="3907" spans="1:7" x14ac:dyDescent="0.3">
      <c r="A3907" s="80">
        <v>45779</v>
      </c>
      <c r="B3907">
        <v>3010200</v>
      </c>
      <c r="C3907">
        <v>5000</v>
      </c>
      <c r="E3907" s="80">
        <v>45757</v>
      </c>
      <c r="F3907">
        <v>3010111</v>
      </c>
      <c r="G3907">
        <v>0</v>
      </c>
    </row>
    <row r="3908" spans="1:7" x14ac:dyDescent="0.3">
      <c r="A3908" s="80">
        <v>45778</v>
      </c>
      <c r="B3908">
        <v>3010200</v>
      </c>
      <c r="C3908">
        <v>5000</v>
      </c>
      <c r="E3908" s="80">
        <v>45757</v>
      </c>
      <c r="F3908">
        <v>3010111</v>
      </c>
      <c r="G3908">
        <v>1504</v>
      </c>
    </row>
    <row r="3909" spans="1:7" x14ac:dyDescent="0.3">
      <c r="A3909" s="80">
        <v>45778</v>
      </c>
      <c r="B3909">
        <v>3010200</v>
      </c>
      <c r="C3909">
        <v>5000</v>
      </c>
      <c r="E3909" s="80">
        <v>45756</v>
      </c>
      <c r="F3909">
        <v>3010111</v>
      </c>
      <c r="G3909">
        <v>0</v>
      </c>
    </row>
    <row r="3910" spans="1:7" x14ac:dyDescent="0.3">
      <c r="A3910" s="80">
        <v>45777</v>
      </c>
      <c r="B3910">
        <v>3010200</v>
      </c>
      <c r="C3910">
        <v>4500</v>
      </c>
      <c r="E3910" s="80">
        <v>45756</v>
      </c>
      <c r="F3910">
        <v>3010111</v>
      </c>
      <c r="G3910">
        <v>0</v>
      </c>
    </row>
    <row r="3911" spans="1:7" x14ac:dyDescent="0.3">
      <c r="A3911" s="80">
        <v>45777</v>
      </c>
      <c r="B3911">
        <v>3010200</v>
      </c>
      <c r="C3911">
        <v>4500</v>
      </c>
      <c r="E3911" s="80">
        <v>45755</v>
      </c>
      <c r="F3911">
        <v>3010111</v>
      </c>
      <c r="G3911">
        <v>1504</v>
      </c>
    </row>
    <row r="3912" spans="1:7" x14ac:dyDescent="0.3">
      <c r="A3912" s="80">
        <v>45777</v>
      </c>
      <c r="B3912">
        <v>3010200</v>
      </c>
      <c r="C3912">
        <v>5000</v>
      </c>
      <c r="E3912" s="80">
        <v>45755</v>
      </c>
      <c r="F3912">
        <v>3010111</v>
      </c>
      <c r="G3912">
        <v>0</v>
      </c>
    </row>
    <row r="3913" spans="1:7" x14ac:dyDescent="0.3">
      <c r="A3913" s="80">
        <v>45777</v>
      </c>
      <c r="B3913">
        <v>3010200</v>
      </c>
      <c r="C3913">
        <v>5000</v>
      </c>
      <c r="E3913" s="80">
        <v>45754</v>
      </c>
      <c r="F3913">
        <v>3010111</v>
      </c>
      <c r="G3913">
        <v>1504</v>
      </c>
    </row>
    <row r="3914" spans="1:7" x14ac:dyDescent="0.3">
      <c r="A3914" s="80">
        <v>45777</v>
      </c>
      <c r="B3914">
        <v>3010200</v>
      </c>
      <c r="C3914">
        <v>5000</v>
      </c>
      <c r="E3914" s="80">
        <v>45754</v>
      </c>
      <c r="F3914">
        <v>3010111</v>
      </c>
      <c r="G3914">
        <v>2345</v>
      </c>
    </row>
    <row r="3915" spans="1:7" x14ac:dyDescent="0.3">
      <c r="A3915" s="80">
        <v>45776</v>
      </c>
      <c r="B3915">
        <v>3010200</v>
      </c>
      <c r="C3915">
        <v>5000</v>
      </c>
      <c r="E3915" s="80">
        <v>45754</v>
      </c>
      <c r="F3915">
        <v>3010111</v>
      </c>
      <c r="G3915">
        <v>0</v>
      </c>
    </row>
    <row r="3916" spans="1:7" x14ac:dyDescent="0.3">
      <c r="A3916" s="80">
        <v>45776</v>
      </c>
      <c r="B3916">
        <v>3010200</v>
      </c>
      <c r="C3916">
        <v>4500</v>
      </c>
      <c r="E3916" s="80">
        <v>45753</v>
      </c>
      <c r="F3916">
        <v>3010111</v>
      </c>
      <c r="G3916">
        <v>4109</v>
      </c>
    </row>
    <row r="3917" spans="1:7" x14ac:dyDescent="0.3">
      <c r="A3917" s="80">
        <v>45776</v>
      </c>
      <c r="B3917">
        <v>3010200</v>
      </c>
      <c r="C3917">
        <v>5000</v>
      </c>
      <c r="E3917" s="80">
        <v>45753</v>
      </c>
      <c r="F3917">
        <v>3010111</v>
      </c>
      <c r="G3917">
        <v>1504</v>
      </c>
    </row>
    <row r="3918" spans="1:7" x14ac:dyDescent="0.3">
      <c r="A3918" s="80">
        <v>45776</v>
      </c>
      <c r="B3918">
        <v>3010200</v>
      </c>
      <c r="C3918">
        <v>4500</v>
      </c>
      <c r="E3918" s="80">
        <v>45753</v>
      </c>
      <c r="F3918">
        <v>3010111</v>
      </c>
      <c r="G3918">
        <v>1504</v>
      </c>
    </row>
    <row r="3919" spans="1:7" x14ac:dyDescent="0.3">
      <c r="A3919" s="80">
        <v>45776</v>
      </c>
      <c r="B3919">
        <v>3010200</v>
      </c>
      <c r="C3919">
        <v>5000</v>
      </c>
      <c r="E3919" s="80">
        <v>45753</v>
      </c>
      <c r="F3919">
        <v>3010111</v>
      </c>
      <c r="G3919">
        <v>0</v>
      </c>
    </row>
    <row r="3920" spans="1:7" x14ac:dyDescent="0.3">
      <c r="A3920" s="80">
        <v>45776</v>
      </c>
      <c r="B3920">
        <v>3010200</v>
      </c>
      <c r="C3920">
        <v>5000</v>
      </c>
      <c r="E3920" s="80">
        <v>45753</v>
      </c>
      <c r="F3920">
        <v>3010111</v>
      </c>
      <c r="G3920">
        <v>0</v>
      </c>
    </row>
    <row r="3921" spans="1:7" x14ac:dyDescent="0.3">
      <c r="A3921" s="80">
        <v>45776</v>
      </c>
      <c r="B3921">
        <v>3010200</v>
      </c>
      <c r="C3921">
        <v>5000</v>
      </c>
      <c r="E3921" s="80">
        <v>45752</v>
      </c>
      <c r="F3921">
        <v>3010111</v>
      </c>
      <c r="G3921">
        <v>0</v>
      </c>
    </row>
    <row r="3922" spans="1:7" x14ac:dyDescent="0.3">
      <c r="A3922" s="80">
        <v>45775</v>
      </c>
      <c r="B3922">
        <v>3010200</v>
      </c>
      <c r="C3922">
        <v>5000</v>
      </c>
      <c r="E3922" s="80">
        <v>45752</v>
      </c>
      <c r="F3922">
        <v>3010111</v>
      </c>
      <c r="G3922">
        <v>2345</v>
      </c>
    </row>
    <row r="3923" spans="1:7" x14ac:dyDescent="0.3">
      <c r="A3923" s="80">
        <v>45775</v>
      </c>
      <c r="B3923">
        <v>3010200</v>
      </c>
      <c r="C3923">
        <v>500</v>
      </c>
      <c r="E3923" s="80">
        <v>45752</v>
      </c>
      <c r="F3923">
        <v>3010111</v>
      </c>
      <c r="G3923">
        <v>1504</v>
      </c>
    </row>
    <row r="3924" spans="1:7" x14ac:dyDescent="0.3">
      <c r="A3924" s="80">
        <v>45775</v>
      </c>
      <c r="B3924">
        <v>3010200</v>
      </c>
      <c r="C3924">
        <v>4500</v>
      </c>
      <c r="E3924" s="80">
        <v>45752</v>
      </c>
      <c r="F3924">
        <v>3010111</v>
      </c>
      <c r="G3924">
        <v>1504</v>
      </c>
    </row>
    <row r="3925" spans="1:7" x14ac:dyDescent="0.3">
      <c r="A3925" s="80">
        <v>45774</v>
      </c>
      <c r="B3925">
        <v>3010200</v>
      </c>
      <c r="C3925">
        <v>4500</v>
      </c>
      <c r="E3925" s="80">
        <v>45752</v>
      </c>
      <c r="F3925">
        <v>3010111</v>
      </c>
      <c r="G3925">
        <v>0</v>
      </c>
    </row>
    <row r="3926" spans="1:7" x14ac:dyDescent="0.3">
      <c r="A3926" s="80">
        <v>45774</v>
      </c>
      <c r="B3926">
        <v>3010200</v>
      </c>
      <c r="C3926">
        <v>4500</v>
      </c>
      <c r="E3926" s="80">
        <v>45752</v>
      </c>
      <c r="F3926">
        <v>3010111</v>
      </c>
      <c r="G3926">
        <v>1504</v>
      </c>
    </row>
    <row r="3927" spans="1:7" x14ac:dyDescent="0.3">
      <c r="A3927" s="80">
        <v>45774</v>
      </c>
      <c r="B3927">
        <v>3010200</v>
      </c>
      <c r="C3927">
        <v>5000</v>
      </c>
      <c r="E3927" s="80">
        <v>45751</v>
      </c>
      <c r="F3927">
        <v>3010111</v>
      </c>
      <c r="G3927">
        <v>1504</v>
      </c>
    </row>
    <row r="3928" spans="1:7" x14ac:dyDescent="0.3">
      <c r="A3928" s="80">
        <v>45774</v>
      </c>
      <c r="B3928">
        <v>3010200</v>
      </c>
      <c r="C3928">
        <v>4500</v>
      </c>
      <c r="E3928" s="80">
        <v>45751</v>
      </c>
      <c r="F3928">
        <v>3010111</v>
      </c>
      <c r="G3928">
        <v>1504</v>
      </c>
    </row>
    <row r="3929" spans="1:7" x14ac:dyDescent="0.3">
      <c r="A3929" s="80">
        <v>45774</v>
      </c>
      <c r="B3929">
        <v>3010200</v>
      </c>
      <c r="C3929">
        <v>5000</v>
      </c>
      <c r="E3929" s="80">
        <v>45751</v>
      </c>
      <c r="F3929">
        <v>3010111</v>
      </c>
      <c r="G3929">
        <v>2092</v>
      </c>
    </row>
    <row r="3930" spans="1:7" x14ac:dyDescent="0.3">
      <c r="A3930" s="80">
        <v>45774</v>
      </c>
      <c r="B3930">
        <v>3010200</v>
      </c>
      <c r="C3930">
        <v>5000</v>
      </c>
      <c r="E3930" s="80">
        <v>45751</v>
      </c>
      <c r="F3930">
        <v>3010111</v>
      </c>
      <c r="G3930">
        <v>2092</v>
      </c>
    </row>
    <row r="3931" spans="1:7" x14ac:dyDescent="0.3">
      <c r="A3931" s="80">
        <v>45774</v>
      </c>
      <c r="B3931">
        <v>3010200</v>
      </c>
      <c r="C3931">
        <v>4500</v>
      </c>
      <c r="E3931" s="80">
        <v>45751</v>
      </c>
      <c r="F3931">
        <v>3010111</v>
      </c>
      <c r="G3931">
        <v>1504</v>
      </c>
    </row>
    <row r="3932" spans="1:7" x14ac:dyDescent="0.3">
      <c r="A3932" s="80">
        <v>45773</v>
      </c>
      <c r="B3932">
        <v>3010200</v>
      </c>
      <c r="C3932">
        <v>4500</v>
      </c>
      <c r="E3932" s="80">
        <v>45751</v>
      </c>
      <c r="F3932">
        <v>3010111</v>
      </c>
      <c r="G3932">
        <v>1504</v>
      </c>
    </row>
    <row r="3933" spans="1:7" x14ac:dyDescent="0.3">
      <c r="A3933" s="80">
        <v>45773</v>
      </c>
      <c r="B3933">
        <v>3010200</v>
      </c>
      <c r="C3933">
        <v>5000</v>
      </c>
      <c r="E3933" s="80">
        <v>45751</v>
      </c>
      <c r="F3933">
        <v>3010111</v>
      </c>
      <c r="G3933">
        <v>2849</v>
      </c>
    </row>
    <row r="3934" spans="1:7" x14ac:dyDescent="0.3">
      <c r="A3934" s="80">
        <v>45773</v>
      </c>
      <c r="B3934">
        <v>3010200</v>
      </c>
      <c r="C3934">
        <v>4500</v>
      </c>
      <c r="E3934" s="80">
        <v>45751</v>
      </c>
      <c r="F3934">
        <v>3010111</v>
      </c>
      <c r="G3934">
        <v>2849</v>
      </c>
    </row>
    <row r="3935" spans="1:7" x14ac:dyDescent="0.3">
      <c r="A3935" s="80">
        <v>45773</v>
      </c>
      <c r="B3935">
        <v>3010200</v>
      </c>
      <c r="C3935">
        <v>5000</v>
      </c>
      <c r="E3935" s="80">
        <v>45751</v>
      </c>
      <c r="F3935">
        <v>3010111</v>
      </c>
      <c r="G3935">
        <v>1504</v>
      </c>
    </row>
    <row r="3936" spans="1:7" x14ac:dyDescent="0.3">
      <c r="A3936" s="80">
        <v>45773</v>
      </c>
      <c r="B3936">
        <v>3010200</v>
      </c>
      <c r="C3936">
        <v>5000</v>
      </c>
      <c r="E3936" s="80">
        <v>45750</v>
      </c>
      <c r="F3936">
        <v>3010111</v>
      </c>
      <c r="G3936">
        <v>1504</v>
      </c>
    </row>
    <row r="3937" spans="1:7" x14ac:dyDescent="0.3">
      <c r="A3937" s="80">
        <v>45773</v>
      </c>
      <c r="B3937">
        <v>3010200</v>
      </c>
      <c r="C3937">
        <v>5000</v>
      </c>
      <c r="E3937" s="80">
        <v>45750</v>
      </c>
      <c r="F3937">
        <v>3010111</v>
      </c>
      <c r="G3937">
        <v>0</v>
      </c>
    </row>
    <row r="3938" spans="1:7" x14ac:dyDescent="0.3">
      <c r="A3938" s="80">
        <v>45773</v>
      </c>
      <c r="B3938">
        <v>3010200</v>
      </c>
      <c r="C3938">
        <v>5000</v>
      </c>
      <c r="E3938" s="80">
        <v>45750</v>
      </c>
      <c r="F3938">
        <v>3010111</v>
      </c>
      <c r="G3938">
        <v>0</v>
      </c>
    </row>
    <row r="3939" spans="1:7" x14ac:dyDescent="0.3">
      <c r="A3939" s="80">
        <v>45773</v>
      </c>
      <c r="B3939">
        <v>3010200</v>
      </c>
      <c r="C3939">
        <v>4500</v>
      </c>
      <c r="E3939" s="80">
        <v>45750</v>
      </c>
      <c r="F3939">
        <v>3010111</v>
      </c>
      <c r="G3939">
        <v>0</v>
      </c>
    </row>
    <row r="3940" spans="1:7" x14ac:dyDescent="0.3">
      <c r="A3940" s="80">
        <v>45773</v>
      </c>
      <c r="B3940">
        <v>3010200</v>
      </c>
      <c r="C3940">
        <v>5000</v>
      </c>
      <c r="E3940" s="80">
        <v>45750</v>
      </c>
      <c r="F3940">
        <v>3010111</v>
      </c>
      <c r="G3940">
        <v>3773</v>
      </c>
    </row>
    <row r="3941" spans="1:7" x14ac:dyDescent="0.3">
      <c r="A3941" s="80">
        <v>45773</v>
      </c>
      <c r="B3941">
        <v>3010200</v>
      </c>
      <c r="C3941">
        <v>5000</v>
      </c>
      <c r="E3941" s="80">
        <v>45750</v>
      </c>
      <c r="F3941">
        <v>3010111</v>
      </c>
      <c r="G3941">
        <v>1504</v>
      </c>
    </row>
    <row r="3942" spans="1:7" x14ac:dyDescent="0.3">
      <c r="A3942" s="80">
        <v>45773</v>
      </c>
      <c r="B3942">
        <v>3010200</v>
      </c>
      <c r="C3942">
        <v>5000</v>
      </c>
      <c r="E3942" s="80">
        <v>45749</v>
      </c>
      <c r="F3942">
        <v>3010111</v>
      </c>
      <c r="G3942">
        <v>0</v>
      </c>
    </row>
    <row r="3943" spans="1:7" x14ac:dyDescent="0.3">
      <c r="A3943" s="80">
        <v>45772</v>
      </c>
      <c r="B3943">
        <v>3010200</v>
      </c>
      <c r="C3943">
        <v>4500</v>
      </c>
      <c r="E3943" s="80">
        <v>45749</v>
      </c>
      <c r="F3943">
        <v>3010111</v>
      </c>
      <c r="G3943">
        <v>1504</v>
      </c>
    </row>
    <row r="3944" spans="1:7" x14ac:dyDescent="0.3">
      <c r="A3944" s="80">
        <v>45772</v>
      </c>
      <c r="B3944">
        <v>3010200</v>
      </c>
      <c r="C3944">
        <v>5000</v>
      </c>
      <c r="E3944" s="80">
        <v>45749</v>
      </c>
      <c r="F3944">
        <v>3010111</v>
      </c>
      <c r="G3944">
        <v>1504</v>
      </c>
    </row>
    <row r="3945" spans="1:7" x14ac:dyDescent="0.3">
      <c r="A3945" s="80">
        <v>45772</v>
      </c>
      <c r="B3945">
        <v>3010200</v>
      </c>
      <c r="C3945">
        <v>5000</v>
      </c>
      <c r="E3945" s="80">
        <v>45749</v>
      </c>
      <c r="F3945">
        <v>3010111</v>
      </c>
      <c r="G3945">
        <v>5034</v>
      </c>
    </row>
    <row r="3946" spans="1:7" x14ac:dyDescent="0.3">
      <c r="A3946" s="80">
        <v>45772</v>
      </c>
      <c r="B3946">
        <v>3010200</v>
      </c>
      <c r="C3946">
        <v>5000</v>
      </c>
      <c r="E3946" s="80">
        <v>45749</v>
      </c>
      <c r="F3946">
        <v>3010111</v>
      </c>
      <c r="G3946">
        <v>1504</v>
      </c>
    </row>
    <row r="3947" spans="1:7" x14ac:dyDescent="0.3">
      <c r="A3947" s="80">
        <v>45772</v>
      </c>
      <c r="B3947">
        <v>3010200</v>
      </c>
      <c r="C3947">
        <v>500</v>
      </c>
      <c r="E3947" s="80">
        <v>45749</v>
      </c>
      <c r="F3947">
        <v>3010111</v>
      </c>
      <c r="G3947">
        <v>1504</v>
      </c>
    </row>
    <row r="3948" spans="1:7" x14ac:dyDescent="0.3">
      <c r="A3948" s="80">
        <v>45772</v>
      </c>
      <c r="B3948">
        <v>3010200</v>
      </c>
      <c r="C3948">
        <v>4500</v>
      </c>
      <c r="E3948" s="80">
        <v>45749</v>
      </c>
      <c r="F3948">
        <v>3010111</v>
      </c>
      <c r="G3948">
        <v>0</v>
      </c>
    </row>
    <row r="3949" spans="1:7" x14ac:dyDescent="0.3">
      <c r="A3949" s="80">
        <v>45772</v>
      </c>
      <c r="B3949">
        <v>3010200</v>
      </c>
      <c r="C3949">
        <v>500</v>
      </c>
      <c r="E3949" s="80">
        <v>45748</v>
      </c>
      <c r="F3949">
        <v>3010111</v>
      </c>
      <c r="G3949">
        <v>0</v>
      </c>
    </row>
    <row r="3950" spans="1:7" x14ac:dyDescent="0.3">
      <c r="A3950" s="80">
        <v>45772</v>
      </c>
      <c r="B3950">
        <v>3010200</v>
      </c>
      <c r="C3950">
        <v>4500</v>
      </c>
      <c r="E3950" s="80">
        <v>45748</v>
      </c>
      <c r="F3950">
        <v>3010111</v>
      </c>
      <c r="G3950">
        <v>0</v>
      </c>
    </row>
    <row r="3951" spans="1:7" x14ac:dyDescent="0.3">
      <c r="A3951" s="80">
        <v>45772</v>
      </c>
      <c r="B3951">
        <v>3010200</v>
      </c>
      <c r="C3951">
        <v>4500</v>
      </c>
      <c r="E3951" s="80">
        <v>45748</v>
      </c>
      <c r="F3951">
        <v>3010111</v>
      </c>
      <c r="G3951">
        <v>0</v>
      </c>
    </row>
    <row r="3952" spans="1:7" x14ac:dyDescent="0.3">
      <c r="A3952" s="80">
        <v>45772</v>
      </c>
      <c r="B3952">
        <v>3010200</v>
      </c>
      <c r="C3952">
        <v>5000</v>
      </c>
      <c r="E3952" s="80">
        <v>45747</v>
      </c>
      <c r="F3952">
        <v>3010111</v>
      </c>
      <c r="G3952">
        <v>0</v>
      </c>
    </row>
    <row r="3953" spans="1:7" x14ac:dyDescent="0.3">
      <c r="A3953" s="80">
        <v>45772</v>
      </c>
      <c r="B3953">
        <v>3010200</v>
      </c>
      <c r="C3953">
        <v>500</v>
      </c>
      <c r="E3953" s="80">
        <v>45747</v>
      </c>
      <c r="F3953">
        <v>3010111</v>
      </c>
      <c r="G3953">
        <v>1504</v>
      </c>
    </row>
    <row r="3954" spans="1:7" x14ac:dyDescent="0.3">
      <c r="A3954" s="80">
        <v>45772</v>
      </c>
      <c r="B3954">
        <v>3010200</v>
      </c>
      <c r="C3954">
        <v>9000</v>
      </c>
      <c r="E3954" s="80">
        <v>45747</v>
      </c>
      <c r="F3954">
        <v>3010111</v>
      </c>
      <c r="G3954">
        <v>0</v>
      </c>
    </row>
    <row r="3955" spans="1:7" x14ac:dyDescent="0.3">
      <c r="A3955" s="80">
        <v>45772</v>
      </c>
      <c r="B3955">
        <v>3010200</v>
      </c>
      <c r="C3955">
        <v>5000</v>
      </c>
      <c r="E3955" s="80">
        <v>45747</v>
      </c>
      <c r="F3955">
        <v>3010111</v>
      </c>
      <c r="G3955">
        <v>0</v>
      </c>
    </row>
    <row r="3956" spans="1:7" x14ac:dyDescent="0.3">
      <c r="A3956" s="80">
        <v>45772</v>
      </c>
      <c r="B3956">
        <v>3010200</v>
      </c>
      <c r="C3956">
        <v>5000</v>
      </c>
      <c r="E3956" s="80">
        <v>45747</v>
      </c>
      <c r="F3956">
        <v>3010111</v>
      </c>
      <c r="G3956">
        <v>1504</v>
      </c>
    </row>
    <row r="3957" spans="1:7" x14ac:dyDescent="0.3">
      <c r="A3957" s="80">
        <v>45771</v>
      </c>
      <c r="B3957">
        <v>3010200</v>
      </c>
      <c r="C3957">
        <v>5000</v>
      </c>
      <c r="E3957" s="80">
        <v>45747</v>
      </c>
      <c r="F3957">
        <v>3010111</v>
      </c>
      <c r="G3957">
        <v>0</v>
      </c>
    </row>
    <row r="3958" spans="1:7" x14ac:dyDescent="0.3">
      <c r="A3958" s="80">
        <v>45771</v>
      </c>
      <c r="B3958">
        <v>3010200</v>
      </c>
      <c r="C3958">
        <v>2630</v>
      </c>
      <c r="E3958" s="80">
        <v>45747</v>
      </c>
      <c r="F3958">
        <v>3010111</v>
      </c>
      <c r="G3958">
        <v>1504</v>
      </c>
    </row>
    <row r="3959" spans="1:7" x14ac:dyDescent="0.3">
      <c r="A3959" s="80">
        <v>45771</v>
      </c>
      <c r="B3959">
        <v>3010200</v>
      </c>
      <c r="C3959">
        <v>5000</v>
      </c>
      <c r="E3959" s="80">
        <v>45747</v>
      </c>
      <c r="F3959">
        <v>3010111</v>
      </c>
      <c r="G3959">
        <v>1504</v>
      </c>
    </row>
    <row r="3960" spans="1:7" x14ac:dyDescent="0.3">
      <c r="A3960" s="80">
        <v>45771</v>
      </c>
      <c r="B3960">
        <v>3010200</v>
      </c>
      <c r="C3960">
        <v>4500</v>
      </c>
      <c r="E3960" s="80">
        <v>45746</v>
      </c>
      <c r="F3960">
        <v>3010111</v>
      </c>
      <c r="G3960">
        <v>0</v>
      </c>
    </row>
    <row r="3961" spans="1:7" x14ac:dyDescent="0.3">
      <c r="A3961" s="80">
        <v>45771</v>
      </c>
      <c r="B3961">
        <v>3010200</v>
      </c>
      <c r="C3961">
        <v>4500</v>
      </c>
      <c r="E3961" s="80">
        <v>45746</v>
      </c>
      <c r="F3961">
        <v>3010111</v>
      </c>
      <c r="G3961">
        <v>1504</v>
      </c>
    </row>
    <row r="3962" spans="1:7" x14ac:dyDescent="0.3">
      <c r="A3962" s="80">
        <v>45771</v>
      </c>
      <c r="B3962">
        <v>3010200</v>
      </c>
      <c r="C3962">
        <v>5000</v>
      </c>
      <c r="E3962" s="80">
        <v>45746</v>
      </c>
      <c r="F3962">
        <v>3010111</v>
      </c>
      <c r="G3962">
        <v>2345</v>
      </c>
    </row>
    <row r="3963" spans="1:7" x14ac:dyDescent="0.3">
      <c r="A3963" s="80">
        <v>45771</v>
      </c>
      <c r="B3963">
        <v>3010200</v>
      </c>
      <c r="C3963">
        <v>5000</v>
      </c>
      <c r="E3963" s="80">
        <v>45746</v>
      </c>
      <c r="F3963">
        <v>3010111</v>
      </c>
      <c r="G3963">
        <v>1504</v>
      </c>
    </row>
    <row r="3964" spans="1:7" x14ac:dyDescent="0.3">
      <c r="A3964" s="80">
        <v>45771</v>
      </c>
      <c r="B3964">
        <v>3010200</v>
      </c>
      <c r="C3964">
        <v>5000</v>
      </c>
      <c r="E3964" s="80">
        <v>45746</v>
      </c>
      <c r="F3964">
        <v>3010111</v>
      </c>
      <c r="G3964">
        <v>0</v>
      </c>
    </row>
    <row r="3965" spans="1:7" x14ac:dyDescent="0.3">
      <c r="A3965" s="80">
        <v>45770</v>
      </c>
      <c r="B3965">
        <v>3010200</v>
      </c>
      <c r="C3965">
        <v>5000</v>
      </c>
      <c r="E3965" s="80">
        <v>45745</v>
      </c>
      <c r="F3965">
        <v>3010111</v>
      </c>
      <c r="G3965">
        <v>0</v>
      </c>
    </row>
    <row r="3966" spans="1:7" x14ac:dyDescent="0.3">
      <c r="A3966" s="80">
        <v>45770</v>
      </c>
      <c r="B3966">
        <v>3010200</v>
      </c>
      <c r="C3966">
        <v>5000</v>
      </c>
      <c r="E3966" s="80">
        <v>45745</v>
      </c>
      <c r="F3966">
        <v>3010111</v>
      </c>
      <c r="G3966">
        <v>0</v>
      </c>
    </row>
    <row r="3967" spans="1:7" x14ac:dyDescent="0.3">
      <c r="A3967" s="80">
        <v>45770</v>
      </c>
      <c r="B3967">
        <v>3010200</v>
      </c>
      <c r="C3967">
        <v>5000</v>
      </c>
      <c r="E3967" s="80">
        <v>45744</v>
      </c>
      <c r="F3967">
        <v>3010111</v>
      </c>
      <c r="G3967">
        <v>0</v>
      </c>
    </row>
    <row r="3968" spans="1:7" x14ac:dyDescent="0.3">
      <c r="A3968" s="80">
        <v>45770</v>
      </c>
      <c r="B3968">
        <v>3010200</v>
      </c>
      <c r="C3968">
        <v>4500</v>
      </c>
      <c r="E3968" s="80">
        <v>45744</v>
      </c>
      <c r="F3968">
        <v>3010111</v>
      </c>
      <c r="G3968">
        <v>0</v>
      </c>
    </row>
    <row r="3969" spans="1:7" x14ac:dyDescent="0.3">
      <c r="A3969" s="80">
        <v>45770</v>
      </c>
      <c r="B3969">
        <v>3010200</v>
      </c>
      <c r="C3969">
        <v>500</v>
      </c>
      <c r="E3969" s="80">
        <v>45744</v>
      </c>
      <c r="F3969">
        <v>3010111</v>
      </c>
      <c r="G3969">
        <v>0</v>
      </c>
    </row>
    <row r="3970" spans="1:7" x14ac:dyDescent="0.3">
      <c r="A3970" s="80">
        <v>45769</v>
      </c>
      <c r="B3970">
        <v>3010200</v>
      </c>
      <c r="C3970">
        <v>5000</v>
      </c>
      <c r="E3970" s="80">
        <v>45743</v>
      </c>
      <c r="F3970">
        <v>3010111</v>
      </c>
      <c r="G3970">
        <v>0</v>
      </c>
    </row>
    <row r="3971" spans="1:7" x14ac:dyDescent="0.3">
      <c r="A3971" s="80">
        <v>45769</v>
      </c>
      <c r="B3971">
        <v>3010200</v>
      </c>
      <c r="C3971">
        <v>5000</v>
      </c>
      <c r="E3971" s="80">
        <v>45743</v>
      </c>
      <c r="F3971">
        <v>3010111</v>
      </c>
      <c r="G3971">
        <v>0</v>
      </c>
    </row>
    <row r="3972" spans="1:7" x14ac:dyDescent="0.3">
      <c r="A3972" s="80">
        <v>45768</v>
      </c>
      <c r="B3972">
        <v>3010200</v>
      </c>
      <c r="C3972">
        <v>5000</v>
      </c>
      <c r="E3972" s="80">
        <v>45743</v>
      </c>
      <c r="F3972">
        <v>3010111</v>
      </c>
      <c r="G3972">
        <v>0</v>
      </c>
    </row>
    <row r="3973" spans="1:7" x14ac:dyDescent="0.3">
      <c r="A3973" s="80">
        <v>45768</v>
      </c>
      <c r="B3973">
        <v>3010200</v>
      </c>
      <c r="C3973">
        <v>5000</v>
      </c>
      <c r="E3973" s="80">
        <v>45743</v>
      </c>
      <c r="F3973">
        <v>3010111</v>
      </c>
      <c r="G3973">
        <v>0</v>
      </c>
    </row>
    <row r="3974" spans="1:7" x14ac:dyDescent="0.3">
      <c r="A3974" s="80">
        <v>45768</v>
      </c>
      <c r="B3974">
        <v>3010200</v>
      </c>
      <c r="C3974">
        <v>12630</v>
      </c>
      <c r="E3974" s="80">
        <v>45743</v>
      </c>
      <c r="F3974">
        <v>3010111</v>
      </c>
      <c r="G3974">
        <v>0</v>
      </c>
    </row>
    <row r="3975" spans="1:7" x14ac:dyDescent="0.3">
      <c r="A3975" s="80">
        <v>45768</v>
      </c>
      <c r="B3975">
        <v>3010200</v>
      </c>
      <c r="C3975">
        <v>5000</v>
      </c>
      <c r="E3975" s="80">
        <v>45743</v>
      </c>
      <c r="F3975">
        <v>3010111</v>
      </c>
      <c r="G3975">
        <v>0</v>
      </c>
    </row>
    <row r="3976" spans="1:7" x14ac:dyDescent="0.3">
      <c r="A3976" s="80">
        <v>45768</v>
      </c>
      <c r="B3976">
        <v>3010200</v>
      </c>
      <c r="C3976">
        <v>5000</v>
      </c>
      <c r="E3976" s="80">
        <v>45743</v>
      </c>
      <c r="F3976">
        <v>3010111</v>
      </c>
      <c r="G3976">
        <v>0</v>
      </c>
    </row>
    <row r="3977" spans="1:7" x14ac:dyDescent="0.3">
      <c r="A3977" s="80">
        <v>45768</v>
      </c>
      <c r="B3977">
        <v>3010200</v>
      </c>
      <c r="C3977">
        <v>5000</v>
      </c>
      <c r="E3977" s="80">
        <v>45740</v>
      </c>
      <c r="F3977">
        <v>3010111</v>
      </c>
      <c r="G3977">
        <v>0</v>
      </c>
    </row>
    <row r="3978" spans="1:7" x14ac:dyDescent="0.3">
      <c r="A3978" s="80">
        <v>45768</v>
      </c>
      <c r="B3978">
        <v>3010200</v>
      </c>
      <c r="C3978">
        <v>5000</v>
      </c>
      <c r="E3978" s="80">
        <v>45740</v>
      </c>
      <c r="F3978">
        <v>3010111</v>
      </c>
      <c r="G3978">
        <v>0</v>
      </c>
    </row>
    <row r="3979" spans="1:7" x14ac:dyDescent="0.3">
      <c r="A3979" s="80">
        <v>45766</v>
      </c>
      <c r="B3979">
        <v>3010200</v>
      </c>
      <c r="C3979">
        <v>5000</v>
      </c>
      <c r="E3979" s="80">
        <v>45739</v>
      </c>
      <c r="F3979">
        <v>3010111</v>
      </c>
      <c r="G3979">
        <v>0</v>
      </c>
    </row>
    <row r="3980" spans="1:7" x14ac:dyDescent="0.3">
      <c r="A3980" s="80">
        <v>45766</v>
      </c>
      <c r="B3980">
        <v>3010200</v>
      </c>
      <c r="C3980">
        <v>5000</v>
      </c>
      <c r="E3980" s="80">
        <v>45739</v>
      </c>
      <c r="F3980">
        <v>3010111</v>
      </c>
      <c r="G3980">
        <v>0</v>
      </c>
    </row>
    <row r="3981" spans="1:7" x14ac:dyDescent="0.3">
      <c r="A3981" s="80">
        <v>45766</v>
      </c>
      <c r="B3981">
        <v>3010200</v>
      </c>
      <c r="C3981">
        <v>5000</v>
      </c>
      <c r="E3981" s="80">
        <v>45739</v>
      </c>
      <c r="F3981">
        <v>3010111</v>
      </c>
      <c r="G3981">
        <v>0</v>
      </c>
    </row>
    <row r="3982" spans="1:7" x14ac:dyDescent="0.3">
      <c r="A3982" s="80">
        <v>45765</v>
      </c>
      <c r="B3982">
        <v>3010200</v>
      </c>
      <c r="C3982">
        <v>5000</v>
      </c>
      <c r="E3982" s="80">
        <v>45738</v>
      </c>
      <c r="F3982">
        <v>3010111</v>
      </c>
      <c r="G3982">
        <v>0</v>
      </c>
    </row>
    <row r="3983" spans="1:7" x14ac:dyDescent="0.3">
      <c r="A3983" s="80">
        <v>45765</v>
      </c>
      <c r="B3983">
        <v>3010200</v>
      </c>
      <c r="C3983">
        <v>5000</v>
      </c>
      <c r="E3983" s="80">
        <v>45738</v>
      </c>
      <c r="F3983">
        <v>3010111</v>
      </c>
      <c r="G3983">
        <v>3017</v>
      </c>
    </row>
    <row r="3984" spans="1:7" x14ac:dyDescent="0.3">
      <c r="A3984" s="80">
        <v>45765</v>
      </c>
      <c r="B3984">
        <v>3010200</v>
      </c>
      <c r="C3984">
        <v>5000</v>
      </c>
      <c r="E3984" s="80">
        <v>45737</v>
      </c>
      <c r="F3984">
        <v>3010111</v>
      </c>
      <c r="G3984">
        <v>0</v>
      </c>
    </row>
    <row r="3985" spans="1:7" x14ac:dyDescent="0.3">
      <c r="A3985" s="80">
        <v>45765</v>
      </c>
      <c r="B3985">
        <v>3010200</v>
      </c>
      <c r="C3985">
        <v>5000</v>
      </c>
      <c r="E3985" s="80">
        <v>45737</v>
      </c>
      <c r="F3985">
        <v>3010111</v>
      </c>
      <c r="G3985">
        <v>0</v>
      </c>
    </row>
    <row r="3986" spans="1:7" x14ac:dyDescent="0.3">
      <c r="A3986" s="80">
        <v>45765</v>
      </c>
      <c r="B3986">
        <v>3010200</v>
      </c>
      <c r="C3986">
        <v>5000</v>
      </c>
      <c r="E3986" s="80">
        <v>45736</v>
      </c>
      <c r="F3986">
        <v>3010111</v>
      </c>
      <c r="G3986">
        <v>1672</v>
      </c>
    </row>
    <row r="3987" spans="1:7" x14ac:dyDescent="0.3">
      <c r="A3987" s="80">
        <v>45765</v>
      </c>
      <c r="B3987">
        <v>3010200</v>
      </c>
      <c r="C3987">
        <v>5000</v>
      </c>
      <c r="E3987" s="80">
        <v>45736</v>
      </c>
      <c r="F3987">
        <v>3010111</v>
      </c>
      <c r="G3987">
        <v>1840</v>
      </c>
    </row>
    <row r="3988" spans="1:7" x14ac:dyDescent="0.3">
      <c r="A3988" s="80">
        <v>45765</v>
      </c>
      <c r="B3988">
        <v>3010200</v>
      </c>
      <c r="C3988">
        <v>5000</v>
      </c>
      <c r="E3988" s="80">
        <v>45736</v>
      </c>
      <c r="F3988">
        <v>3010111</v>
      </c>
      <c r="G3988">
        <v>0</v>
      </c>
    </row>
    <row r="3989" spans="1:7" x14ac:dyDescent="0.3">
      <c r="A3989" s="80">
        <v>45765</v>
      </c>
      <c r="B3989">
        <v>3010200</v>
      </c>
      <c r="C3989">
        <v>5000</v>
      </c>
      <c r="E3989" s="80">
        <v>45736</v>
      </c>
      <c r="F3989">
        <v>3010111</v>
      </c>
      <c r="G3989">
        <v>0</v>
      </c>
    </row>
    <row r="3990" spans="1:7" x14ac:dyDescent="0.3">
      <c r="A3990" s="80">
        <v>45765</v>
      </c>
      <c r="B3990">
        <v>3010200</v>
      </c>
      <c r="C3990">
        <v>5000</v>
      </c>
      <c r="E3990" s="80">
        <v>45736</v>
      </c>
      <c r="F3990">
        <v>3010111</v>
      </c>
      <c r="G3990">
        <v>0</v>
      </c>
    </row>
    <row r="3991" spans="1:7" x14ac:dyDescent="0.3">
      <c r="A3991" s="80">
        <v>45764</v>
      </c>
      <c r="B3991">
        <v>3010200</v>
      </c>
      <c r="C3991">
        <v>5000</v>
      </c>
      <c r="E3991" s="80">
        <v>45735</v>
      </c>
      <c r="F3991">
        <v>3010111</v>
      </c>
      <c r="G3991">
        <v>0</v>
      </c>
    </row>
    <row r="3992" spans="1:7" x14ac:dyDescent="0.3">
      <c r="A3992" s="80">
        <v>45763</v>
      </c>
      <c r="B3992">
        <v>3010200</v>
      </c>
      <c r="C3992">
        <v>5000</v>
      </c>
      <c r="E3992" s="80">
        <v>45735</v>
      </c>
      <c r="F3992">
        <v>3010111</v>
      </c>
      <c r="G3992">
        <v>0</v>
      </c>
    </row>
    <row r="3993" spans="1:7" x14ac:dyDescent="0.3">
      <c r="A3993" s="80">
        <v>45763</v>
      </c>
      <c r="B3993">
        <v>3010200</v>
      </c>
      <c r="C3993">
        <v>5000</v>
      </c>
      <c r="E3993" s="80">
        <v>45735</v>
      </c>
      <c r="F3993">
        <v>3010111</v>
      </c>
      <c r="G3993">
        <v>0</v>
      </c>
    </row>
    <row r="3994" spans="1:7" x14ac:dyDescent="0.3">
      <c r="A3994" s="80">
        <v>45763</v>
      </c>
      <c r="B3994">
        <v>3010200</v>
      </c>
      <c r="C3994">
        <v>5000</v>
      </c>
      <c r="E3994" s="80">
        <v>45734</v>
      </c>
      <c r="F3994">
        <v>3010111</v>
      </c>
      <c r="G3994">
        <v>2092</v>
      </c>
    </row>
    <row r="3995" spans="1:7" x14ac:dyDescent="0.3">
      <c r="A3995" s="80">
        <v>45763</v>
      </c>
      <c r="B3995">
        <v>3010200</v>
      </c>
      <c r="C3995">
        <v>5000</v>
      </c>
      <c r="E3995" s="80">
        <v>45734</v>
      </c>
      <c r="F3995">
        <v>3010111</v>
      </c>
      <c r="G3995">
        <v>1672</v>
      </c>
    </row>
    <row r="3996" spans="1:7" x14ac:dyDescent="0.3">
      <c r="A3996" s="80">
        <v>45760</v>
      </c>
      <c r="B3996">
        <v>3010200</v>
      </c>
      <c r="C3996">
        <v>5000</v>
      </c>
      <c r="E3996" s="80">
        <v>45734</v>
      </c>
      <c r="F3996">
        <v>3010111</v>
      </c>
      <c r="G3996">
        <v>0</v>
      </c>
    </row>
    <row r="3997" spans="1:7" x14ac:dyDescent="0.3">
      <c r="A3997" s="80">
        <v>45758</v>
      </c>
      <c r="B3997">
        <v>3010200</v>
      </c>
      <c r="C3997">
        <v>12630</v>
      </c>
      <c r="E3997" s="80">
        <v>45734</v>
      </c>
      <c r="F3997">
        <v>3010111</v>
      </c>
      <c r="G3997">
        <v>0</v>
      </c>
    </row>
    <row r="3998" spans="1:7" x14ac:dyDescent="0.3">
      <c r="A3998" s="80">
        <v>45757</v>
      </c>
      <c r="B3998">
        <v>3010200</v>
      </c>
      <c r="C3998">
        <v>5000</v>
      </c>
      <c r="E3998" s="80">
        <v>45734</v>
      </c>
      <c r="F3998">
        <v>3010111</v>
      </c>
      <c r="G3998">
        <v>0</v>
      </c>
    </row>
    <row r="3999" spans="1:7" x14ac:dyDescent="0.3">
      <c r="A3999" s="80">
        <v>45757</v>
      </c>
      <c r="B3999">
        <v>3010200</v>
      </c>
      <c r="C3999">
        <v>5000</v>
      </c>
      <c r="E3999" s="80">
        <v>45733</v>
      </c>
      <c r="F3999">
        <v>3010111</v>
      </c>
      <c r="G3999">
        <v>0</v>
      </c>
    </row>
    <row r="4000" spans="1:7" x14ac:dyDescent="0.3">
      <c r="A4000" s="80">
        <v>45757</v>
      </c>
      <c r="B4000">
        <v>3010200</v>
      </c>
      <c r="C4000">
        <v>5000</v>
      </c>
      <c r="E4000" s="80">
        <v>45733</v>
      </c>
      <c r="F4000">
        <v>3010111</v>
      </c>
      <c r="G4000">
        <v>3017</v>
      </c>
    </row>
    <row r="4001" spans="1:7" x14ac:dyDescent="0.3">
      <c r="A4001" s="80">
        <v>45756</v>
      </c>
      <c r="B4001">
        <v>3010200</v>
      </c>
      <c r="C4001">
        <v>5000</v>
      </c>
      <c r="E4001" s="80">
        <v>45733</v>
      </c>
      <c r="F4001">
        <v>3010111</v>
      </c>
      <c r="G4001">
        <v>2092</v>
      </c>
    </row>
    <row r="4002" spans="1:7" x14ac:dyDescent="0.3">
      <c r="A4002" s="80">
        <v>45756</v>
      </c>
      <c r="B4002">
        <v>3010200</v>
      </c>
      <c r="C4002">
        <v>5000</v>
      </c>
      <c r="E4002" s="80">
        <v>45733</v>
      </c>
      <c r="F4002">
        <v>3010111</v>
      </c>
      <c r="G4002">
        <v>2092</v>
      </c>
    </row>
    <row r="4003" spans="1:7" x14ac:dyDescent="0.3">
      <c r="A4003" s="80">
        <v>45755</v>
      </c>
      <c r="B4003">
        <v>3010200</v>
      </c>
      <c r="C4003">
        <v>12630</v>
      </c>
      <c r="E4003" s="80">
        <v>45733</v>
      </c>
      <c r="F4003">
        <v>3010111</v>
      </c>
      <c r="G4003">
        <v>1672</v>
      </c>
    </row>
    <row r="4004" spans="1:7" x14ac:dyDescent="0.3">
      <c r="A4004" s="80">
        <v>45755</v>
      </c>
      <c r="B4004">
        <v>3010200</v>
      </c>
      <c r="C4004">
        <v>5000</v>
      </c>
      <c r="E4004" s="80">
        <v>45733</v>
      </c>
      <c r="F4004">
        <v>3010111</v>
      </c>
      <c r="G4004">
        <v>0</v>
      </c>
    </row>
    <row r="4005" spans="1:7" x14ac:dyDescent="0.3">
      <c r="A4005" s="80">
        <v>45754</v>
      </c>
      <c r="B4005">
        <v>3010200</v>
      </c>
      <c r="C4005">
        <v>5000</v>
      </c>
      <c r="E4005" s="80">
        <v>45733</v>
      </c>
      <c r="F4005">
        <v>3010111</v>
      </c>
      <c r="G4005">
        <v>0</v>
      </c>
    </row>
    <row r="4006" spans="1:7" x14ac:dyDescent="0.3">
      <c r="A4006" s="80">
        <v>45754</v>
      </c>
      <c r="B4006">
        <v>3010200</v>
      </c>
      <c r="C4006">
        <v>5000</v>
      </c>
      <c r="E4006" s="80">
        <v>45733</v>
      </c>
      <c r="F4006">
        <v>3010111</v>
      </c>
      <c r="G4006">
        <v>0</v>
      </c>
    </row>
    <row r="4007" spans="1:7" x14ac:dyDescent="0.3">
      <c r="A4007" s="80">
        <v>45754</v>
      </c>
      <c r="B4007">
        <v>3010200</v>
      </c>
      <c r="C4007">
        <v>5000</v>
      </c>
      <c r="E4007" s="80">
        <v>45732</v>
      </c>
      <c r="F4007">
        <v>3010111</v>
      </c>
      <c r="G4007">
        <v>1672</v>
      </c>
    </row>
    <row r="4008" spans="1:7" x14ac:dyDescent="0.3">
      <c r="A4008" s="80">
        <v>45753</v>
      </c>
      <c r="B4008">
        <v>3010200</v>
      </c>
      <c r="C4008">
        <v>5000</v>
      </c>
      <c r="E4008" s="80">
        <v>45732</v>
      </c>
      <c r="F4008">
        <v>3010111</v>
      </c>
      <c r="G4008">
        <v>1672</v>
      </c>
    </row>
    <row r="4009" spans="1:7" x14ac:dyDescent="0.3">
      <c r="A4009" s="80">
        <v>45753</v>
      </c>
      <c r="B4009">
        <v>3010200</v>
      </c>
      <c r="C4009">
        <v>5000</v>
      </c>
      <c r="E4009" s="80">
        <v>45731</v>
      </c>
      <c r="F4009">
        <v>3010111</v>
      </c>
      <c r="G4009">
        <v>0</v>
      </c>
    </row>
    <row r="4010" spans="1:7" x14ac:dyDescent="0.3">
      <c r="A4010" s="80">
        <v>45753</v>
      </c>
      <c r="B4010">
        <v>3010200</v>
      </c>
      <c r="C4010">
        <v>5000</v>
      </c>
      <c r="E4010" s="80">
        <v>45731</v>
      </c>
      <c r="F4010">
        <v>3010111</v>
      </c>
      <c r="G4010">
        <v>0</v>
      </c>
    </row>
    <row r="4011" spans="1:7" x14ac:dyDescent="0.3">
      <c r="A4011" s="80">
        <v>45753</v>
      </c>
      <c r="B4011">
        <v>3010200</v>
      </c>
      <c r="C4011">
        <v>12630</v>
      </c>
      <c r="E4011" s="80">
        <v>45731</v>
      </c>
      <c r="F4011">
        <v>3010111</v>
      </c>
      <c r="G4011">
        <v>0</v>
      </c>
    </row>
    <row r="4012" spans="1:7" x14ac:dyDescent="0.3">
      <c r="A4012" s="80">
        <v>45753</v>
      </c>
      <c r="B4012">
        <v>3010200</v>
      </c>
      <c r="C4012">
        <v>5000</v>
      </c>
      <c r="E4012" s="80">
        <v>45730</v>
      </c>
      <c r="F4012">
        <v>3010111</v>
      </c>
      <c r="G4012">
        <v>0</v>
      </c>
    </row>
    <row r="4013" spans="1:7" x14ac:dyDescent="0.3">
      <c r="A4013" s="80">
        <v>45752</v>
      </c>
      <c r="B4013">
        <v>3010200</v>
      </c>
      <c r="C4013">
        <v>12630</v>
      </c>
      <c r="E4013" s="80">
        <v>45730</v>
      </c>
      <c r="F4013">
        <v>3010111</v>
      </c>
      <c r="G4013">
        <v>0</v>
      </c>
    </row>
    <row r="4014" spans="1:7" x14ac:dyDescent="0.3">
      <c r="A4014" s="80">
        <v>45752</v>
      </c>
      <c r="B4014">
        <v>3010200</v>
      </c>
      <c r="C4014">
        <v>8769</v>
      </c>
      <c r="E4014" s="80">
        <v>45730</v>
      </c>
      <c r="F4014">
        <v>3010111</v>
      </c>
      <c r="G4014">
        <v>0</v>
      </c>
    </row>
    <row r="4015" spans="1:7" x14ac:dyDescent="0.3">
      <c r="A4015" s="80">
        <v>45752</v>
      </c>
      <c r="B4015">
        <v>3010200</v>
      </c>
      <c r="C4015">
        <v>5000</v>
      </c>
      <c r="E4015" s="80">
        <v>45729</v>
      </c>
      <c r="F4015">
        <v>3010111</v>
      </c>
      <c r="G4015">
        <v>1840</v>
      </c>
    </row>
    <row r="4016" spans="1:7" x14ac:dyDescent="0.3">
      <c r="A4016" s="80">
        <v>45752</v>
      </c>
      <c r="B4016">
        <v>3010200</v>
      </c>
      <c r="C4016">
        <v>5000</v>
      </c>
      <c r="E4016" s="80">
        <v>45728</v>
      </c>
      <c r="F4016">
        <v>3010111</v>
      </c>
      <c r="G4016">
        <v>1672</v>
      </c>
    </row>
    <row r="4017" spans="1:7" x14ac:dyDescent="0.3">
      <c r="A4017" s="80">
        <v>45752</v>
      </c>
      <c r="B4017">
        <v>3010200</v>
      </c>
      <c r="C4017">
        <v>12630</v>
      </c>
      <c r="E4017" s="80">
        <v>45728</v>
      </c>
      <c r="F4017">
        <v>3010111</v>
      </c>
      <c r="G4017">
        <v>1672</v>
      </c>
    </row>
    <row r="4018" spans="1:7" x14ac:dyDescent="0.3">
      <c r="A4018" s="80">
        <v>45752</v>
      </c>
      <c r="B4018">
        <v>3010200</v>
      </c>
      <c r="C4018">
        <v>5000</v>
      </c>
      <c r="E4018" s="80">
        <v>45727</v>
      </c>
      <c r="F4018">
        <v>3010111</v>
      </c>
      <c r="G4018">
        <v>2345</v>
      </c>
    </row>
    <row r="4019" spans="1:7" x14ac:dyDescent="0.3">
      <c r="A4019" s="80">
        <v>45751</v>
      </c>
      <c r="B4019">
        <v>3010200</v>
      </c>
      <c r="C4019">
        <v>2630</v>
      </c>
      <c r="E4019" s="80">
        <v>45727</v>
      </c>
      <c r="F4019">
        <v>3010111</v>
      </c>
      <c r="G4019">
        <v>1672</v>
      </c>
    </row>
    <row r="4020" spans="1:7" x14ac:dyDescent="0.3">
      <c r="A4020" s="80">
        <v>45751</v>
      </c>
      <c r="B4020">
        <v>3010200</v>
      </c>
      <c r="C4020">
        <v>2630</v>
      </c>
      <c r="E4020" s="80">
        <v>45727</v>
      </c>
      <c r="F4020">
        <v>3010111</v>
      </c>
      <c r="G4020">
        <v>3838</v>
      </c>
    </row>
    <row r="4021" spans="1:7" x14ac:dyDescent="0.3">
      <c r="A4021" s="80">
        <v>45751</v>
      </c>
      <c r="B4021">
        <v>3010200</v>
      </c>
      <c r="C4021">
        <v>5000</v>
      </c>
      <c r="E4021" s="80">
        <v>45727</v>
      </c>
      <c r="F4021">
        <v>3010111</v>
      </c>
      <c r="G4021">
        <v>1672</v>
      </c>
    </row>
    <row r="4022" spans="1:7" x14ac:dyDescent="0.3">
      <c r="A4022" s="80">
        <v>45751</v>
      </c>
      <c r="B4022">
        <v>3010200</v>
      </c>
      <c r="C4022">
        <v>5000</v>
      </c>
      <c r="E4022" s="80">
        <v>45727</v>
      </c>
      <c r="F4022">
        <v>3010111</v>
      </c>
      <c r="G4022">
        <v>0</v>
      </c>
    </row>
    <row r="4023" spans="1:7" x14ac:dyDescent="0.3">
      <c r="A4023" s="80">
        <v>45751</v>
      </c>
      <c r="B4023">
        <v>3010200</v>
      </c>
      <c r="C4023">
        <v>5000</v>
      </c>
      <c r="E4023" s="80">
        <v>45726</v>
      </c>
      <c r="F4023">
        <v>3010111</v>
      </c>
      <c r="G4023">
        <v>1672</v>
      </c>
    </row>
    <row r="4024" spans="1:7" x14ac:dyDescent="0.3">
      <c r="A4024" s="80">
        <v>45751</v>
      </c>
      <c r="B4024">
        <v>3010200</v>
      </c>
      <c r="C4024">
        <v>5000</v>
      </c>
      <c r="E4024" s="80">
        <v>45726</v>
      </c>
      <c r="F4024">
        <v>3010111</v>
      </c>
      <c r="G4024">
        <v>0</v>
      </c>
    </row>
    <row r="4025" spans="1:7" x14ac:dyDescent="0.3">
      <c r="A4025" s="80">
        <v>45751</v>
      </c>
      <c r="B4025">
        <v>3010200</v>
      </c>
      <c r="C4025">
        <v>5000</v>
      </c>
      <c r="E4025" s="80">
        <v>45726</v>
      </c>
      <c r="F4025">
        <v>3010111</v>
      </c>
      <c r="G4025">
        <v>1672</v>
      </c>
    </row>
    <row r="4026" spans="1:7" x14ac:dyDescent="0.3">
      <c r="A4026" s="80">
        <v>45751</v>
      </c>
      <c r="B4026">
        <v>3010200</v>
      </c>
      <c r="C4026">
        <v>5000</v>
      </c>
      <c r="E4026" s="80">
        <v>45726</v>
      </c>
      <c r="F4026">
        <v>3010111</v>
      </c>
      <c r="G4026">
        <v>2008</v>
      </c>
    </row>
    <row r="4027" spans="1:7" x14ac:dyDescent="0.3">
      <c r="A4027" s="80">
        <v>45751</v>
      </c>
      <c r="B4027">
        <v>3010200</v>
      </c>
      <c r="C4027">
        <v>5000</v>
      </c>
      <c r="E4027" s="80">
        <v>45726</v>
      </c>
      <c r="F4027">
        <v>3010111</v>
      </c>
      <c r="G4027">
        <v>0</v>
      </c>
    </row>
    <row r="4028" spans="1:7" x14ac:dyDescent="0.3">
      <c r="A4028" s="80">
        <v>45750</v>
      </c>
      <c r="B4028">
        <v>3010200</v>
      </c>
      <c r="C4028">
        <v>5000</v>
      </c>
      <c r="E4028" s="80">
        <v>45725</v>
      </c>
      <c r="F4028">
        <v>3010111</v>
      </c>
      <c r="G4028">
        <v>0</v>
      </c>
    </row>
    <row r="4029" spans="1:7" x14ac:dyDescent="0.3">
      <c r="A4029" s="80">
        <v>45750</v>
      </c>
      <c r="B4029">
        <v>3010200</v>
      </c>
      <c r="C4029">
        <v>12630</v>
      </c>
      <c r="E4029" s="80">
        <v>45725</v>
      </c>
      <c r="F4029">
        <v>3010111</v>
      </c>
      <c r="G4029">
        <v>0</v>
      </c>
    </row>
    <row r="4030" spans="1:7" x14ac:dyDescent="0.3">
      <c r="A4030" s="80">
        <v>45750</v>
      </c>
      <c r="B4030">
        <v>3010200</v>
      </c>
      <c r="C4030">
        <v>5000</v>
      </c>
      <c r="E4030" s="80">
        <v>45725</v>
      </c>
      <c r="F4030">
        <v>3010111</v>
      </c>
      <c r="G4030">
        <v>0</v>
      </c>
    </row>
    <row r="4031" spans="1:7" x14ac:dyDescent="0.3">
      <c r="A4031" s="80">
        <v>45750</v>
      </c>
      <c r="B4031">
        <v>3010200</v>
      </c>
      <c r="C4031">
        <v>5000</v>
      </c>
      <c r="E4031" s="80">
        <v>45725</v>
      </c>
      <c r="F4031">
        <v>3010111</v>
      </c>
      <c r="G4031">
        <v>0</v>
      </c>
    </row>
    <row r="4032" spans="1:7" x14ac:dyDescent="0.3">
      <c r="A4032" s="80">
        <v>45750</v>
      </c>
      <c r="B4032">
        <v>3010200</v>
      </c>
      <c r="C4032">
        <v>5000</v>
      </c>
      <c r="E4032" s="80">
        <v>45725</v>
      </c>
      <c r="F4032">
        <v>3010111</v>
      </c>
      <c r="G4032">
        <v>0</v>
      </c>
    </row>
    <row r="4033" spans="1:7" x14ac:dyDescent="0.3">
      <c r="A4033" s="80">
        <v>45750</v>
      </c>
      <c r="B4033">
        <v>3010200</v>
      </c>
      <c r="C4033">
        <v>5000</v>
      </c>
      <c r="E4033" s="80">
        <v>45725</v>
      </c>
      <c r="F4033">
        <v>3010111</v>
      </c>
      <c r="G4033">
        <v>0</v>
      </c>
    </row>
    <row r="4034" spans="1:7" x14ac:dyDescent="0.3">
      <c r="A4034" s="80">
        <v>45749</v>
      </c>
      <c r="B4034">
        <v>3010200</v>
      </c>
      <c r="C4034">
        <v>5000</v>
      </c>
      <c r="E4034" s="80">
        <v>45725</v>
      </c>
      <c r="F4034">
        <v>3010111</v>
      </c>
      <c r="G4034">
        <v>0</v>
      </c>
    </row>
    <row r="4035" spans="1:7" x14ac:dyDescent="0.3">
      <c r="A4035" s="80">
        <v>45749</v>
      </c>
      <c r="B4035">
        <v>3010200</v>
      </c>
      <c r="C4035">
        <v>5000</v>
      </c>
      <c r="E4035" s="80">
        <v>45725</v>
      </c>
      <c r="F4035">
        <v>3010111</v>
      </c>
      <c r="G4035">
        <v>0</v>
      </c>
    </row>
    <row r="4036" spans="1:7" x14ac:dyDescent="0.3">
      <c r="A4036" s="80">
        <v>45749</v>
      </c>
      <c r="B4036">
        <v>3010200</v>
      </c>
      <c r="C4036">
        <v>5000</v>
      </c>
      <c r="E4036" s="80">
        <v>45725</v>
      </c>
      <c r="F4036">
        <v>3010111</v>
      </c>
      <c r="G4036">
        <v>1672</v>
      </c>
    </row>
    <row r="4037" spans="1:7" x14ac:dyDescent="0.3">
      <c r="A4037" s="80">
        <v>45749</v>
      </c>
      <c r="B4037">
        <v>3010200</v>
      </c>
      <c r="C4037">
        <v>5000</v>
      </c>
      <c r="E4037" s="80">
        <v>45725</v>
      </c>
      <c r="F4037">
        <v>3010111</v>
      </c>
      <c r="G4037">
        <v>0</v>
      </c>
    </row>
    <row r="4038" spans="1:7" x14ac:dyDescent="0.3">
      <c r="A4038" s="80">
        <v>45749</v>
      </c>
      <c r="B4038">
        <v>3010200</v>
      </c>
      <c r="C4038">
        <v>5000</v>
      </c>
      <c r="E4038" s="80">
        <v>45724</v>
      </c>
      <c r="F4038">
        <v>3010111</v>
      </c>
      <c r="G4038">
        <v>0</v>
      </c>
    </row>
    <row r="4039" spans="1:7" x14ac:dyDescent="0.3">
      <c r="A4039" s="80">
        <v>45749</v>
      </c>
      <c r="B4039">
        <v>3010200</v>
      </c>
      <c r="C4039">
        <v>5000</v>
      </c>
      <c r="E4039" s="80">
        <v>45724</v>
      </c>
      <c r="F4039">
        <v>3010111</v>
      </c>
      <c r="G4039">
        <v>3773</v>
      </c>
    </row>
    <row r="4040" spans="1:7" x14ac:dyDescent="0.3">
      <c r="A4040" s="80">
        <v>45749</v>
      </c>
      <c r="B4040">
        <v>3010200</v>
      </c>
      <c r="C4040">
        <v>12630</v>
      </c>
      <c r="E4040" s="80">
        <v>45723</v>
      </c>
      <c r="F4040">
        <v>3010111</v>
      </c>
      <c r="G4040">
        <v>0</v>
      </c>
    </row>
    <row r="4041" spans="1:7" x14ac:dyDescent="0.3">
      <c r="A4041" s="80">
        <v>45748</v>
      </c>
      <c r="B4041">
        <v>3010200</v>
      </c>
      <c r="C4041">
        <v>5000</v>
      </c>
      <c r="E4041" s="80">
        <v>45723</v>
      </c>
      <c r="F4041">
        <v>3010111</v>
      </c>
      <c r="G4041">
        <v>3353</v>
      </c>
    </row>
    <row r="4042" spans="1:7" x14ac:dyDescent="0.3">
      <c r="A4042" s="80">
        <v>45748</v>
      </c>
      <c r="B4042">
        <v>3010200</v>
      </c>
      <c r="C4042">
        <v>5000</v>
      </c>
      <c r="E4042" s="80">
        <v>45723</v>
      </c>
      <c r="F4042">
        <v>3010111</v>
      </c>
      <c r="G4042">
        <v>0</v>
      </c>
    </row>
    <row r="4043" spans="1:7" x14ac:dyDescent="0.3">
      <c r="A4043" s="80">
        <v>45748</v>
      </c>
      <c r="B4043">
        <v>3010200</v>
      </c>
      <c r="C4043">
        <v>8769</v>
      </c>
      <c r="E4043" s="80">
        <v>45723</v>
      </c>
      <c r="F4043">
        <v>3010111</v>
      </c>
      <c r="G4043">
        <v>0</v>
      </c>
    </row>
    <row r="4044" spans="1:7" x14ac:dyDescent="0.3">
      <c r="A4044" s="80">
        <v>45747</v>
      </c>
      <c r="B4044">
        <v>3010200</v>
      </c>
      <c r="C4044">
        <v>5000</v>
      </c>
      <c r="E4044" s="80">
        <v>45722</v>
      </c>
      <c r="F4044">
        <v>3010111</v>
      </c>
      <c r="G4044">
        <v>5202</v>
      </c>
    </row>
    <row r="4045" spans="1:7" x14ac:dyDescent="0.3">
      <c r="A4045" s="80">
        <v>45747</v>
      </c>
      <c r="B4045">
        <v>3010200</v>
      </c>
      <c r="C4045">
        <v>5000</v>
      </c>
      <c r="E4045" s="80">
        <v>45722</v>
      </c>
      <c r="F4045">
        <v>3010111</v>
      </c>
      <c r="G4045">
        <v>0</v>
      </c>
    </row>
    <row r="4046" spans="1:7" x14ac:dyDescent="0.3">
      <c r="A4046" s="80">
        <v>45747</v>
      </c>
      <c r="B4046">
        <v>3010200</v>
      </c>
      <c r="C4046">
        <v>5000</v>
      </c>
      <c r="E4046" s="80">
        <v>45722</v>
      </c>
      <c r="F4046">
        <v>3010111</v>
      </c>
      <c r="G4046">
        <v>0</v>
      </c>
    </row>
    <row r="4047" spans="1:7" x14ac:dyDescent="0.3">
      <c r="A4047" s="80">
        <v>45747</v>
      </c>
      <c r="B4047">
        <v>3010200</v>
      </c>
      <c r="C4047">
        <v>5000</v>
      </c>
      <c r="E4047" s="80">
        <v>45722</v>
      </c>
      <c r="F4047">
        <v>3010111</v>
      </c>
      <c r="G4047">
        <v>0</v>
      </c>
    </row>
    <row r="4048" spans="1:7" x14ac:dyDescent="0.3">
      <c r="A4048" s="80">
        <v>45747</v>
      </c>
      <c r="B4048">
        <v>3010200</v>
      </c>
      <c r="C4048">
        <v>5000</v>
      </c>
      <c r="E4048" s="80">
        <v>45721</v>
      </c>
      <c r="F4048">
        <v>3010111</v>
      </c>
      <c r="G4048">
        <v>5790</v>
      </c>
    </row>
    <row r="4049" spans="1:7" x14ac:dyDescent="0.3">
      <c r="A4049" s="80">
        <v>45747</v>
      </c>
      <c r="B4049">
        <v>3010200</v>
      </c>
      <c r="C4049">
        <v>5000</v>
      </c>
      <c r="E4049" s="80">
        <v>45721</v>
      </c>
      <c r="F4049">
        <v>3010111</v>
      </c>
      <c r="G4049">
        <v>1672</v>
      </c>
    </row>
    <row r="4050" spans="1:7" x14ac:dyDescent="0.3">
      <c r="A4050" s="80">
        <v>45747</v>
      </c>
      <c r="B4050">
        <v>3010200</v>
      </c>
      <c r="C4050">
        <v>5000</v>
      </c>
      <c r="E4050" s="80">
        <v>45721</v>
      </c>
      <c r="F4050">
        <v>3010111</v>
      </c>
      <c r="G4050">
        <v>1672</v>
      </c>
    </row>
    <row r="4051" spans="1:7" x14ac:dyDescent="0.3">
      <c r="A4051" s="80">
        <v>45747</v>
      </c>
      <c r="B4051">
        <v>3010200</v>
      </c>
      <c r="C4051">
        <v>5000</v>
      </c>
      <c r="E4051" s="80">
        <v>45720</v>
      </c>
      <c r="F4051">
        <v>3010111</v>
      </c>
      <c r="G4051">
        <v>1672</v>
      </c>
    </row>
    <row r="4052" spans="1:7" x14ac:dyDescent="0.3">
      <c r="A4052" s="80">
        <v>45746</v>
      </c>
      <c r="B4052">
        <v>3010200</v>
      </c>
      <c r="C4052">
        <v>12630</v>
      </c>
      <c r="E4052" s="80">
        <v>45720</v>
      </c>
      <c r="F4052">
        <v>3010111</v>
      </c>
      <c r="G4052">
        <v>1672</v>
      </c>
    </row>
    <row r="4053" spans="1:7" x14ac:dyDescent="0.3">
      <c r="A4053" s="80">
        <v>45746</v>
      </c>
      <c r="B4053">
        <v>3010200</v>
      </c>
      <c r="C4053">
        <v>5000</v>
      </c>
      <c r="E4053" s="80">
        <v>45720</v>
      </c>
      <c r="F4053">
        <v>3010111</v>
      </c>
      <c r="G4053">
        <v>1672</v>
      </c>
    </row>
    <row r="4054" spans="1:7" x14ac:dyDescent="0.3">
      <c r="A4054" s="80">
        <v>45746</v>
      </c>
      <c r="B4054">
        <v>3010200</v>
      </c>
      <c r="C4054">
        <v>5000</v>
      </c>
      <c r="E4054" s="80">
        <v>45720</v>
      </c>
      <c r="F4054">
        <v>3010111</v>
      </c>
      <c r="G4054">
        <v>2303</v>
      </c>
    </row>
    <row r="4055" spans="1:7" x14ac:dyDescent="0.3">
      <c r="A4055" s="80">
        <v>45746</v>
      </c>
      <c r="B4055">
        <v>3010200</v>
      </c>
      <c r="C4055">
        <v>5000</v>
      </c>
      <c r="E4055" s="80">
        <v>45719</v>
      </c>
      <c r="F4055">
        <v>3010111</v>
      </c>
      <c r="G4055">
        <v>2303</v>
      </c>
    </row>
    <row r="4056" spans="1:7" x14ac:dyDescent="0.3">
      <c r="A4056" s="80">
        <v>45746</v>
      </c>
      <c r="B4056">
        <v>3010200</v>
      </c>
      <c r="C4056">
        <v>12630</v>
      </c>
      <c r="E4056" s="80">
        <v>45719</v>
      </c>
      <c r="F4056">
        <v>3010111</v>
      </c>
      <c r="G4056">
        <v>0</v>
      </c>
    </row>
    <row r="4057" spans="1:7" x14ac:dyDescent="0.3">
      <c r="A4057" s="80">
        <v>45745</v>
      </c>
      <c r="B4057">
        <v>3010200</v>
      </c>
      <c r="C4057">
        <v>5000</v>
      </c>
      <c r="E4057" s="80">
        <v>45719</v>
      </c>
      <c r="F4057">
        <v>3010111</v>
      </c>
      <c r="G4057">
        <v>3983</v>
      </c>
    </row>
    <row r="4058" spans="1:7" x14ac:dyDescent="0.3">
      <c r="A4058" s="80">
        <v>45745</v>
      </c>
      <c r="B4058">
        <v>3010200</v>
      </c>
      <c r="C4058">
        <v>5000</v>
      </c>
      <c r="E4058" s="80">
        <v>45719</v>
      </c>
      <c r="F4058">
        <v>3010111</v>
      </c>
      <c r="G4058">
        <v>3353</v>
      </c>
    </row>
    <row r="4059" spans="1:7" x14ac:dyDescent="0.3">
      <c r="A4059" s="80">
        <v>45744</v>
      </c>
      <c r="B4059">
        <v>3010200</v>
      </c>
      <c r="C4059">
        <v>5000</v>
      </c>
      <c r="E4059" s="80">
        <v>45718</v>
      </c>
      <c r="F4059">
        <v>3010111</v>
      </c>
      <c r="G4059">
        <v>3647</v>
      </c>
    </row>
    <row r="4060" spans="1:7" x14ac:dyDescent="0.3">
      <c r="A4060" s="80">
        <v>45744</v>
      </c>
      <c r="B4060">
        <v>3010200</v>
      </c>
      <c r="C4060">
        <v>5000</v>
      </c>
      <c r="E4060" s="80">
        <v>45718</v>
      </c>
      <c r="F4060">
        <v>3010111</v>
      </c>
      <c r="G4060">
        <v>2303</v>
      </c>
    </row>
    <row r="4061" spans="1:7" x14ac:dyDescent="0.3">
      <c r="A4061" s="80">
        <v>45744</v>
      </c>
      <c r="B4061">
        <v>3010200</v>
      </c>
      <c r="C4061">
        <v>5000</v>
      </c>
      <c r="E4061" s="80">
        <v>45718</v>
      </c>
      <c r="F4061">
        <v>3010111</v>
      </c>
      <c r="G4061">
        <v>2303</v>
      </c>
    </row>
    <row r="4062" spans="1:7" x14ac:dyDescent="0.3">
      <c r="A4062" s="80">
        <v>45743</v>
      </c>
      <c r="B4062">
        <v>3010200</v>
      </c>
      <c r="C4062">
        <v>5000</v>
      </c>
      <c r="E4062" s="80">
        <v>45718</v>
      </c>
      <c r="F4062">
        <v>3010111</v>
      </c>
      <c r="G4062">
        <v>2303</v>
      </c>
    </row>
    <row r="4063" spans="1:7" x14ac:dyDescent="0.3">
      <c r="A4063" s="80">
        <v>45743</v>
      </c>
      <c r="B4063">
        <v>3010200</v>
      </c>
      <c r="C4063">
        <v>5000</v>
      </c>
      <c r="E4063" s="80">
        <v>45718</v>
      </c>
      <c r="F4063">
        <v>3010111</v>
      </c>
      <c r="G4063">
        <v>0</v>
      </c>
    </row>
    <row r="4064" spans="1:7" x14ac:dyDescent="0.3">
      <c r="A4064" s="80">
        <v>45743</v>
      </c>
      <c r="B4064">
        <v>3010200</v>
      </c>
      <c r="C4064">
        <v>500</v>
      </c>
      <c r="E4064" s="80">
        <v>45718</v>
      </c>
      <c r="F4064">
        <v>3010111</v>
      </c>
      <c r="G4064">
        <v>0</v>
      </c>
    </row>
    <row r="4065" spans="1:7" x14ac:dyDescent="0.3">
      <c r="A4065" s="80">
        <v>45743</v>
      </c>
      <c r="B4065">
        <v>3010200</v>
      </c>
      <c r="C4065">
        <v>8769</v>
      </c>
      <c r="E4065" s="80">
        <v>45718</v>
      </c>
      <c r="F4065">
        <v>3010111</v>
      </c>
      <c r="G4065">
        <v>2303</v>
      </c>
    </row>
    <row r="4066" spans="1:7" x14ac:dyDescent="0.3">
      <c r="A4066" s="80">
        <v>45743</v>
      </c>
      <c r="B4066">
        <v>3010200</v>
      </c>
      <c r="C4066">
        <v>5000</v>
      </c>
      <c r="E4066" s="80">
        <v>45718</v>
      </c>
      <c r="F4066">
        <v>3010111</v>
      </c>
      <c r="G4066">
        <v>2303</v>
      </c>
    </row>
    <row r="4067" spans="1:7" x14ac:dyDescent="0.3">
      <c r="A4067" s="80">
        <v>45743</v>
      </c>
      <c r="B4067">
        <v>3010200</v>
      </c>
      <c r="C4067">
        <v>5000</v>
      </c>
      <c r="E4067" s="80">
        <v>45718</v>
      </c>
      <c r="F4067">
        <v>3010111</v>
      </c>
      <c r="G4067">
        <v>0</v>
      </c>
    </row>
    <row r="4068" spans="1:7" x14ac:dyDescent="0.3">
      <c r="A4068" s="80">
        <v>45743</v>
      </c>
      <c r="B4068">
        <v>3010200</v>
      </c>
      <c r="C4068">
        <v>5000</v>
      </c>
      <c r="E4068" s="80">
        <v>45718</v>
      </c>
      <c r="F4068">
        <v>3010111</v>
      </c>
      <c r="G4068">
        <v>0</v>
      </c>
    </row>
    <row r="4069" spans="1:7" x14ac:dyDescent="0.3">
      <c r="A4069" s="80">
        <v>45740</v>
      </c>
      <c r="B4069">
        <v>3010200</v>
      </c>
      <c r="C4069">
        <v>12630</v>
      </c>
      <c r="E4069" s="80">
        <v>45717</v>
      </c>
      <c r="F4069">
        <v>3010111</v>
      </c>
      <c r="G4069">
        <v>0</v>
      </c>
    </row>
    <row r="4070" spans="1:7" x14ac:dyDescent="0.3">
      <c r="A4070" s="80">
        <v>45740</v>
      </c>
      <c r="B4070">
        <v>3010200</v>
      </c>
      <c r="C4070">
        <v>5000</v>
      </c>
      <c r="E4070" s="80">
        <v>45717</v>
      </c>
      <c r="F4070">
        <v>3010111</v>
      </c>
      <c r="G4070">
        <v>4613</v>
      </c>
    </row>
    <row r="4071" spans="1:7" x14ac:dyDescent="0.3">
      <c r="A4071" s="80">
        <v>45739</v>
      </c>
      <c r="B4071">
        <v>3010200</v>
      </c>
      <c r="C4071">
        <v>5000</v>
      </c>
      <c r="E4071" s="80">
        <v>45717</v>
      </c>
      <c r="F4071">
        <v>3010111</v>
      </c>
      <c r="G4071">
        <v>0</v>
      </c>
    </row>
    <row r="4072" spans="1:7" x14ac:dyDescent="0.3">
      <c r="A4072" s="80">
        <v>45739</v>
      </c>
      <c r="B4072">
        <v>3010200</v>
      </c>
      <c r="C4072">
        <v>3000</v>
      </c>
      <c r="E4072" s="80">
        <v>45717</v>
      </c>
      <c r="F4072">
        <v>3010111</v>
      </c>
      <c r="G4072">
        <v>2303</v>
      </c>
    </row>
    <row r="4073" spans="1:7" x14ac:dyDescent="0.3">
      <c r="A4073" s="80">
        <v>45739</v>
      </c>
      <c r="B4073">
        <v>3010200</v>
      </c>
      <c r="C4073">
        <v>5000</v>
      </c>
      <c r="E4073" s="80">
        <v>45717</v>
      </c>
      <c r="F4073">
        <v>3010111</v>
      </c>
      <c r="G4073">
        <v>0</v>
      </c>
    </row>
    <row r="4074" spans="1:7" x14ac:dyDescent="0.3">
      <c r="A4074" s="80">
        <v>45738</v>
      </c>
      <c r="B4074">
        <v>3010200</v>
      </c>
      <c r="C4074">
        <v>5000</v>
      </c>
      <c r="E4074" s="80">
        <v>45717</v>
      </c>
      <c r="F4074">
        <v>3010111</v>
      </c>
      <c r="G4074">
        <v>0</v>
      </c>
    </row>
    <row r="4075" spans="1:7" x14ac:dyDescent="0.3">
      <c r="A4075" s="80">
        <v>45738</v>
      </c>
      <c r="B4075">
        <v>3010200</v>
      </c>
      <c r="C4075">
        <v>5000</v>
      </c>
      <c r="E4075" s="80">
        <v>45717</v>
      </c>
      <c r="F4075">
        <v>3010111</v>
      </c>
      <c r="G4075">
        <v>0</v>
      </c>
    </row>
    <row r="4076" spans="1:7" x14ac:dyDescent="0.3">
      <c r="A4076" s="80">
        <v>45737</v>
      </c>
      <c r="B4076">
        <v>3010200</v>
      </c>
      <c r="C4076">
        <v>5000</v>
      </c>
      <c r="E4076" s="80">
        <v>45717</v>
      </c>
      <c r="F4076">
        <v>3010111</v>
      </c>
      <c r="G4076">
        <v>2303</v>
      </c>
    </row>
    <row r="4077" spans="1:7" x14ac:dyDescent="0.3">
      <c r="A4077" s="80">
        <v>45737</v>
      </c>
      <c r="B4077">
        <v>3010200</v>
      </c>
      <c r="C4077">
        <v>12630</v>
      </c>
      <c r="E4077" s="80">
        <v>45716</v>
      </c>
      <c r="F4077">
        <v>3010111</v>
      </c>
      <c r="G4077">
        <v>3773</v>
      </c>
    </row>
    <row r="4078" spans="1:7" x14ac:dyDescent="0.3">
      <c r="A4078" s="80">
        <v>45736</v>
      </c>
      <c r="B4078">
        <v>3010200</v>
      </c>
      <c r="C4078">
        <v>5000</v>
      </c>
      <c r="E4078" s="80">
        <v>45716</v>
      </c>
      <c r="F4078">
        <v>3010111</v>
      </c>
      <c r="G4078">
        <v>2303</v>
      </c>
    </row>
    <row r="4079" spans="1:7" x14ac:dyDescent="0.3">
      <c r="A4079" s="80">
        <v>45736</v>
      </c>
      <c r="B4079">
        <v>3010200</v>
      </c>
      <c r="C4079">
        <v>5000</v>
      </c>
      <c r="E4079" s="80">
        <v>45716</v>
      </c>
      <c r="F4079">
        <v>3010111</v>
      </c>
      <c r="G4079">
        <v>2303</v>
      </c>
    </row>
    <row r="4080" spans="1:7" x14ac:dyDescent="0.3">
      <c r="A4080" s="80">
        <v>45736</v>
      </c>
      <c r="B4080">
        <v>3010200</v>
      </c>
      <c r="C4080">
        <v>5000</v>
      </c>
      <c r="E4080" s="80">
        <v>45716</v>
      </c>
      <c r="F4080">
        <v>3010111</v>
      </c>
      <c r="G4080">
        <v>2303</v>
      </c>
    </row>
    <row r="4081" spans="1:7" x14ac:dyDescent="0.3">
      <c r="A4081" s="80">
        <v>45736</v>
      </c>
      <c r="B4081">
        <v>3010200</v>
      </c>
      <c r="C4081">
        <v>5000</v>
      </c>
      <c r="E4081" s="80">
        <v>45716</v>
      </c>
      <c r="F4081">
        <v>3010111</v>
      </c>
      <c r="G4081">
        <v>1672</v>
      </c>
    </row>
    <row r="4082" spans="1:7" x14ac:dyDescent="0.3">
      <c r="A4082" s="80">
        <v>45736</v>
      </c>
      <c r="B4082">
        <v>3010200</v>
      </c>
      <c r="C4082">
        <v>5000</v>
      </c>
      <c r="E4082" s="80">
        <v>45716</v>
      </c>
      <c r="F4082">
        <v>3010111</v>
      </c>
      <c r="G4082">
        <v>0</v>
      </c>
    </row>
    <row r="4083" spans="1:7" x14ac:dyDescent="0.3">
      <c r="A4083" s="80">
        <v>45735</v>
      </c>
      <c r="B4083">
        <v>3010200</v>
      </c>
      <c r="C4083">
        <v>5000</v>
      </c>
      <c r="E4083" s="80">
        <v>45716</v>
      </c>
      <c r="F4083">
        <v>3010111</v>
      </c>
      <c r="G4083">
        <v>0</v>
      </c>
    </row>
    <row r="4084" spans="1:7" x14ac:dyDescent="0.3">
      <c r="A4084" s="80">
        <v>45735</v>
      </c>
      <c r="B4084">
        <v>3010200</v>
      </c>
      <c r="C4084">
        <v>5000</v>
      </c>
      <c r="E4084" s="80">
        <v>45716</v>
      </c>
      <c r="F4084">
        <v>3010111</v>
      </c>
      <c r="G4084">
        <v>0</v>
      </c>
    </row>
    <row r="4085" spans="1:7" x14ac:dyDescent="0.3">
      <c r="A4085" s="80">
        <v>45735</v>
      </c>
      <c r="B4085">
        <v>3010200</v>
      </c>
      <c r="C4085">
        <v>5000</v>
      </c>
      <c r="E4085" s="80">
        <v>45715</v>
      </c>
      <c r="F4085">
        <v>3010111</v>
      </c>
      <c r="G4085">
        <v>1672</v>
      </c>
    </row>
    <row r="4086" spans="1:7" x14ac:dyDescent="0.3">
      <c r="A4086" s="80">
        <v>45734</v>
      </c>
      <c r="B4086">
        <v>3010200</v>
      </c>
      <c r="C4086">
        <v>8769</v>
      </c>
      <c r="E4086" s="80">
        <v>45715</v>
      </c>
      <c r="F4086">
        <v>3010111</v>
      </c>
      <c r="G4086">
        <v>3799</v>
      </c>
    </row>
    <row r="4087" spans="1:7" x14ac:dyDescent="0.3">
      <c r="A4087" s="80">
        <v>45734</v>
      </c>
      <c r="B4087">
        <v>3010200</v>
      </c>
      <c r="C4087">
        <v>5000</v>
      </c>
      <c r="E4087" s="80">
        <v>45715</v>
      </c>
      <c r="F4087">
        <v>3010111</v>
      </c>
      <c r="G4087">
        <v>1672</v>
      </c>
    </row>
    <row r="4088" spans="1:7" x14ac:dyDescent="0.3">
      <c r="A4088" s="80">
        <v>45734</v>
      </c>
      <c r="B4088">
        <v>3010200</v>
      </c>
      <c r="C4088">
        <v>5000</v>
      </c>
      <c r="E4088" s="80">
        <v>45715</v>
      </c>
      <c r="F4088">
        <v>3010111</v>
      </c>
      <c r="G4088">
        <v>0</v>
      </c>
    </row>
    <row r="4089" spans="1:7" x14ac:dyDescent="0.3">
      <c r="A4089" s="80">
        <v>45734</v>
      </c>
      <c r="B4089">
        <v>3010200</v>
      </c>
      <c r="C4089">
        <v>5000</v>
      </c>
      <c r="E4089" s="80">
        <v>45714</v>
      </c>
      <c r="F4089">
        <v>3010111</v>
      </c>
      <c r="G4089">
        <v>1672</v>
      </c>
    </row>
    <row r="4090" spans="1:7" x14ac:dyDescent="0.3">
      <c r="A4090" s="80">
        <v>45734</v>
      </c>
      <c r="B4090">
        <v>3010200</v>
      </c>
      <c r="C4090">
        <v>5000</v>
      </c>
      <c r="E4090" s="80">
        <v>45714</v>
      </c>
      <c r="F4090">
        <v>3010111</v>
      </c>
      <c r="G4090">
        <v>0</v>
      </c>
    </row>
    <row r="4091" spans="1:7" x14ac:dyDescent="0.3">
      <c r="A4091" s="80">
        <v>45733</v>
      </c>
      <c r="B4091">
        <v>3010200</v>
      </c>
      <c r="C4091">
        <v>5000</v>
      </c>
      <c r="E4091" s="80">
        <v>45714</v>
      </c>
      <c r="F4091">
        <v>3010111</v>
      </c>
      <c r="G4091">
        <v>1672</v>
      </c>
    </row>
    <row r="4092" spans="1:7" x14ac:dyDescent="0.3">
      <c r="A4092" s="80">
        <v>45733</v>
      </c>
      <c r="B4092">
        <v>3010200</v>
      </c>
      <c r="C4092">
        <v>5000</v>
      </c>
      <c r="E4092" s="80">
        <v>45714</v>
      </c>
      <c r="F4092">
        <v>3010111</v>
      </c>
      <c r="G4092">
        <v>1672</v>
      </c>
    </row>
    <row r="4093" spans="1:7" x14ac:dyDescent="0.3">
      <c r="A4093" s="80">
        <v>45733</v>
      </c>
      <c r="B4093">
        <v>3010200</v>
      </c>
      <c r="C4093">
        <v>5000</v>
      </c>
      <c r="E4093" s="80">
        <v>45713</v>
      </c>
      <c r="F4093">
        <v>3010111</v>
      </c>
      <c r="G4093">
        <v>1672</v>
      </c>
    </row>
    <row r="4094" spans="1:7" x14ac:dyDescent="0.3">
      <c r="A4094" s="80">
        <v>45733</v>
      </c>
      <c r="B4094">
        <v>3010200</v>
      </c>
      <c r="C4094">
        <v>5000</v>
      </c>
      <c r="E4094" s="80">
        <v>45713</v>
      </c>
      <c r="F4094">
        <v>3010111</v>
      </c>
      <c r="G4094">
        <v>1672</v>
      </c>
    </row>
    <row r="4095" spans="1:7" x14ac:dyDescent="0.3">
      <c r="A4095" s="80">
        <v>45733</v>
      </c>
      <c r="B4095">
        <v>3010200</v>
      </c>
      <c r="C4095">
        <v>5000</v>
      </c>
      <c r="E4095" s="80">
        <v>45713</v>
      </c>
      <c r="F4095">
        <v>3010111</v>
      </c>
      <c r="G4095">
        <v>3689</v>
      </c>
    </row>
    <row r="4096" spans="1:7" x14ac:dyDescent="0.3">
      <c r="A4096" s="80">
        <v>45733</v>
      </c>
      <c r="B4096">
        <v>3010200</v>
      </c>
      <c r="C4096">
        <v>5000</v>
      </c>
      <c r="E4096" s="80">
        <v>45713</v>
      </c>
      <c r="F4096">
        <v>3010111</v>
      </c>
      <c r="G4096">
        <v>1672</v>
      </c>
    </row>
    <row r="4097" spans="1:7" x14ac:dyDescent="0.3">
      <c r="A4097" s="80">
        <v>45733</v>
      </c>
      <c r="B4097">
        <v>3010200</v>
      </c>
      <c r="C4097">
        <v>5000</v>
      </c>
      <c r="E4097" s="80">
        <v>45712</v>
      </c>
      <c r="F4097">
        <v>3010111</v>
      </c>
      <c r="G4097">
        <v>3185</v>
      </c>
    </row>
    <row r="4098" spans="1:7" x14ac:dyDescent="0.3">
      <c r="A4098" s="80">
        <v>45733</v>
      </c>
      <c r="B4098">
        <v>3010200</v>
      </c>
      <c r="C4098">
        <v>5000</v>
      </c>
      <c r="E4098" s="80">
        <v>45712</v>
      </c>
      <c r="F4098">
        <v>3010111</v>
      </c>
      <c r="G4098">
        <v>3605</v>
      </c>
    </row>
    <row r="4099" spans="1:7" x14ac:dyDescent="0.3">
      <c r="A4099" s="80">
        <v>45732</v>
      </c>
      <c r="B4099">
        <v>3010200</v>
      </c>
      <c r="C4099">
        <v>5000</v>
      </c>
      <c r="E4099" s="80">
        <v>45712</v>
      </c>
      <c r="F4099">
        <v>3010111</v>
      </c>
      <c r="G4099">
        <v>1672</v>
      </c>
    </row>
    <row r="4100" spans="1:7" x14ac:dyDescent="0.3">
      <c r="A4100" s="80">
        <v>45732</v>
      </c>
      <c r="B4100">
        <v>3010200</v>
      </c>
      <c r="C4100">
        <v>5000</v>
      </c>
      <c r="E4100" s="80">
        <v>45712</v>
      </c>
      <c r="F4100">
        <v>3010111</v>
      </c>
      <c r="G4100">
        <v>2933</v>
      </c>
    </row>
    <row r="4101" spans="1:7" x14ac:dyDescent="0.3">
      <c r="A4101" s="80">
        <v>45731</v>
      </c>
      <c r="B4101">
        <v>3010200</v>
      </c>
      <c r="C4101">
        <v>5000</v>
      </c>
      <c r="E4101" s="80">
        <v>45712</v>
      </c>
      <c r="F4101">
        <v>3010111</v>
      </c>
      <c r="G4101">
        <v>4025</v>
      </c>
    </row>
    <row r="4102" spans="1:7" x14ac:dyDescent="0.3">
      <c r="A4102" s="80">
        <v>45731</v>
      </c>
      <c r="B4102">
        <v>3010200</v>
      </c>
      <c r="C4102">
        <v>2630</v>
      </c>
      <c r="E4102" s="80">
        <v>45711</v>
      </c>
      <c r="F4102">
        <v>3010111</v>
      </c>
      <c r="G4102">
        <v>1672</v>
      </c>
    </row>
    <row r="4103" spans="1:7" x14ac:dyDescent="0.3">
      <c r="A4103" s="80">
        <v>45731</v>
      </c>
      <c r="B4103">
        <v>3010200</v>
      </c>
      <c r="C4103">
        <v>5000</v>
      </c>
      <c r="E4103" s="80">
        <v>45711</v>
      </c>
      <c r="F4103">
        <v>3010111</v>
      </c>
      <c r="G4103">
        <v>3689</v>
      </c>
    </row>
    <row r="4104" spans="1:7" x14ac:dyDescent="0.3">
      <c r="A4104" s="80">
        <v>45730</v>
      </c>
      <c r="B4104">
        <v>3010200</v>
      </c>
      <c r="C4104">
        <v>5000</v>
      </c>
      <c r="E4104" s="80">
        <v>45710</v>
      </c>
      <c r="F4104">
        <v>3010111</v>
      </c>
      <c r="G4104">
        <v>5202</v>
      </c>
    </row>
    <row r="4105" spans="1:7" x14ac:dyDescent="0.3">
      <c r="A4105" s="80">
        <v>45730</v>
      </c>
      <c r="B4105">
        <v>3010200</v>
      </c>
      <c r="C4105">
        <v>5000</v>
      </c>
      <c r="E4105" s="80">
        <v>45710</v>
      </c>
      <c r="F4105">
        <v>3010111</v>
      </c>
      <c r="G4105">
        <v>1672</v>
      </c>
    </row>
    <row r="4106" spans="1:7" x14ac:dyDescent="0.3">
      <c r="A4106" s="80">
        <v>45730</v>
      </c>
      <c r="B4106">
        <v>3010200</v>
      </c>
      <c r="C4106">
        <v>5000</v>
      </c>
      <c r="E4106" s="80">
        <v>45710</v>
      </c>
      <c r="F4106">
        <v>3010111</v>
      </c>
      <c r="G4106">
        <v>1672</v>
      </c>
    </row>
    <row r="4107" spans="1:7" x14ac:dyDescent="0.3">
      <c r="A4107" s="80">
        <v>45729</v>
      </c>
      <c r="B4107">
        <v>3010200</v>
      </c>
      <c r="C4107">
        <v>5000</v>
      </c>
      <c r="E4107" s="80">
        <v>45710</v>
      </c>
      <c r="F4107">
        <v>3010111</v>
      </c>
      <c r="G4107">
        <v>4025</v>
      </c>
    </row>
    <row r="4108" spans="1:7" x14ac:dyDescent="0.3">
      <c r="A4108" s="80">
        <v>45728</v>
      </c>
      <c r="B4108">
        <v>3010200</v>
      </c>
      <c r="C4108">
        <v>5000</v>
      </c>
      <c r="E4108" s="80">
        <v>45710</v>
      </c>
      <c r="F4108">
        <v>3010111</v>
      </c>
      <c r="G4108">
        <v>3353</v>
      </c>
    </row>
    <row r="4109" spans="1:7" x14ac:dyDescent="0.3">
      <c r="A4109" s="80">
        <v>45728</v>
      </c>
      <c r="B4109">
        <v>3010200</v>
      </c>
      <c r="C4109">
        <v>5000</v>
      </c>
      <c r="E4109" s="80">
        <v>45710</v>
      </c>
      <c r="F4109">
        <v>3010111</v>
      </c>
      <c r="G4109">
        <v>3689</v>
      </c>
    </row>
    <row r="4110" spans="1:7" x14ac:dyDescent="0.3">
      <c r="A4110" s="80">
        <v>45727</v>
      </c>
      <c r="B4110">
        <v>3010200</v>
      </c>
      <c r="C4110">
        <v>5000</v>
      </c>
      <c r="E4110" s="80">
        <v>45710</v>
      </c>
      <c r="F4110">
        <v>3010111</v>
      </c>
      <c r="G4110">
        <v>4109</v>
      </c>
    </row>
    <row r="4111" spans="1:7" x14ac:dyDescent="0.3">
      <c r="A4111" s="80">
        <v>45727</v>
      </c>
      <c r="B4111">
        <v>3010200</v>
      </c>
      <c r="C4111">
        <v>5000</v>
      </c>
      <c r="E4111" s="80">
        <v>45710</v>
      </c>
      <c r="F4111">
        <v>3010111</v>
      </c>
      <c r="G4111">
        <v>0</v>
      </c>
    </row>
    <row r="4112" spans="1:7" x14ac:dyDescent="0.3">
      <c r="A4112" s="80">
        <v>45727</v>
      </c>
      <c r="B4112">
        <v>3010200</v>
      </c>
      <c r="C4112">
        <v>17538</v>
      </c>
      <c r="E4112" s="80">
        <v>45710</v>
      </c>
      <c r="F4112">
        <v>3010111</v>
      </c>
      <c r="G4112">
        <v>1672</v>
      </c>
    </row>
    <row r="4113" spans="1:7" x14ac:dyDescent="0.3">
      <c r="A4113" s="80">
        <v>45727</v>
      </c>
      <c r="B4113">
        <v>3010200</v>
      </c>
      <c r="C4113">
        <v>5000</v>
      </c>
      <c r="E4113" s="80">
        <v>45710</v>
      </c>
      <c r="F4113">
        <v>3010111</v>
      </c>
      <c r="G4113">
        <v>1672</v>
      </c>
    </row>
    <row r="4114" spans="1:7" x14ac:dyDescent="0.3">
      <c r="A4114" s="80">
        <v>45727</v>
      </c>
      <c r="B4114">
        <v>3010200</v>
      </c>
      <c r="C4114">
        <v>10000</v>
      </c>
      <c r="E4114" s="80">
        <v>45709</v>
      </c>
      <c r="F4114">
        <v>3010111</v>
      </c>
      <c r="G4114">
        <v>3269</v>
      </c>
    </row>
    <row r="4115" spans="1:7" x14ac:dyDescent="0.3">
      <c r="A4115" s="80">
        <v>45726</v>
      </c>
      <c r="B4115">
        <v>3010200</v>
      </c>
      <c r="C4115">
        <v>8769</v>
      </c>
      <c r="E4115" s="80">
        <v>45709</v>
      </c>
      <c r="F4115">
        <v>3010111</v>
      </c>
      <c r="G4115">
        <v>0</v>
      </c>
    </row>
    <row r="4116" spans="1:7" x14ac:dyDescent="0.3">
      <c r="A4116" s="80">
        <v>45726</v>
      </c>
      <c r="B4116">
        <v>3010200</v>
      </c>
      <c r="C4116">
        <v>5000</v>
      </c>
      <c r="E4116" s="80">
        <v>45709</v>
      </c>
      <c r="F4116">
        <v>3010111</v>
      </c>
      <c r="G4116">
        <v>0</v>
      </c>
    </row>
    <row r="4117" spans="1:7" x14ac:dyDescent="0.3">
      <c r="A4117" s="80">
        <v>45726</v>
      </c>
      <c r="B4117">
        <v>3010200</v>
      </c>
      <c r="C4117">
        <v>5000</v>
      </c>
      <c r="E4117" s="80">
        <v>45709</v>
      </c>
      <c r="F4117">
        <v>3010111</v>
      </c>
      <c r="G4117">
        <v>1672</v>
      </c>
    </row>
    <row r="4118" spans="1:7" x14ac:dyDescent="0.3">
      <c r="A4118" s="80">
        <v>45726</v>
      </c>
      <c r="B4118">
        <v>3010200</v>
      </c>
      <c r="C4118">
        <v>5000</v>
      </c>
      <c r="E4118" s="80">
        <v>45709</v>
      </c>
      <c r="F4118">
        <v>3010111</v>
      </c>
      <c r="G4118">
        <v>1672</v>
      </c>
    </row>
    <row r="4119" spans="1:7" x14ac:dyDescent="0.3">
      <c r="A4119" s="80">
        <v>45726</v>
      </c>
      <c r="B4119">
        <v>3010200</v>
      </c>
      <c r="C4119">
        <v>5000</v>
      </c>
      <c r="E4119" s="80">
        <v>45709</v>
      </c>
      <c r="F4119">
        <v>3010111</v>
      </c>
      <c r="G4119">
        <v>1672</v>
      </c>
    </row>
    <row r="4120" spans="1:7" x14ac:dyDescent="0.3">
      <c r="A4120" s="80">
        <v>45725</v>
      </c>
      <c r="B4120">
        <v>3010200</v>
      </c>
      <c r="C4120">
        <v>5000</v>
      </c>
      <c r="E4120" s="80">
        <v>45709</v>
      </c>
      <c r="F4120">
        <v>3010111</v>
      </c>
      <c r="G4120">
        <v>5034</v>
      </c>
    </row>
    <row r="4121" spans="1:7" x14ac:dyDescent="0.3">
      <c r="A4121" s="80">
        <v>45725</v>
      </c>
      <c r="B4121">
        <v>3010200</v>
      </c>
      <c r="C4121">
        <v>5000</v>
      </c>
      <c r="E4121" s="80">
        <v>45709</v>
      </c>
      <c r="F4121">
        <v>3010111</v>
      </c>
      <c r="G4121">
        <v>0</v>
      </c>
    </row>
    <row r="4122" spans="1:7" x14ac:dyDescent="0.3">
      <c r="A4122" s="80">
        <v>45725</v>
      </c>
      <c r="B4122">
        <v>3010200</v>
      </c>
      <c r="C4122">
        <v>5000</v>
      </c>
      <c r="E4122" s="80">
        <v>45709</v>
      </c>
      <c r="F4122">
        <v>3010111</v>
      </c>
      <c r="G4122">
        <v>0</v>
      </c>
    </row>
    <row r="4123" spans="1:7" x14ac:dyDescent="0.3">
      <c r="A4123" s="80">
        <v>45725</v>
      </c>
      <c r="B4123">
        <v>3010200</v>
      </c>
      <c r="C4123">
        <v>2630</v>
      </c>
      <c r="E4123" s="80">
        <v>45709</v>
      </c>
      <c r="F4123">
        <v>3010111</v>
      </c>
      <c r="G4123">
        <v>1672</v>
      </c>
    </row>
    <row r="4124" spans="1:7" x14ac:dyDescent="0.3">
      <c r="A4124" s="80">
        <v>45725</v>
      </c>
      <c r="B4124">
        <v>3010200</v>
      </c>
      <c r="C4124">
        <v>5000</v>
      </c>
      <c r="E4124" s="80">
        <v>45709</v>
      </c>
      <c r="F4124">
        <v>3010111</v>
      </c>
      <c r="G4124">
        <v>3353</v>
      </c>
    </row>
    <row r="4125" spans="1:7" x14ac:dyDescent="0.3">
      <c r="A4125" s="80">
        <v>45725</v>
      </c>
      <c r="B4125">
        <v>3010200</v>
      </c>
      <c r="C4125">
        <v>5000</v>
      </c>
      <c r="E4125" s="80">
        <v>45709</v>
      </c>
      <c r="F4125">
        <v>3010111</v>
      </c>
      <c r="G4125">
        <v>1672</v>
      </c>
    </row>
    <row r="4126" spans="1:7" x14ac:dyDescent="0.3">
      <c r="A4126" s="80">
        <v>45725</v>
      </c>
      <c r="B4126">
        <v>3010200</v>
      </c>
      <c r="C4126">
        <v>5000</v>
      </c>
      <c r="E4126" s="80">
        <v>45708</v>
      </c>
      <c r="F4126">
        <v>3010111</v>
      </c>
      <c r="G4126">
        <v>3353</v>
      </c>
    </row>
    <row r="4127" spans="1:7" x14ac:dyDescent="0.3">
      <c r="A4127" s="80">
        <v>45725</v>
      </c>
      <c r="B4127">
        <v>3010200</v>
      </c>
      <c r="C4127">
        <v>5000</v>
      </c>
      <c r="E4127" s="80">
        <v>45708</v>
      </c>
      <c r="F4127">
        <v>3010111</v>
      </c>
      <c r="G4127">
        <v>1672</v>
      </c>
    </row>
    <row r="4128" spans="1:7" x14ac:dyDescent="0.3">
      <c r="A4128" s="80">
        <v>45725</v>
      </c>
      <c r="B4128">
        <v>3010200</v>
      </c>
      <c r="C4128">
        <v>5000</v>
      </c>
      <c r="E4128" s="80">
        <v>45708</v>
      </c>
      <c r="F4128">
        <v>3010111</v>
      </c>
      <c r="G4128">
        <v>4109</v>
      </c>
    </row>
    <row r="4129" spans="1:7" x14ac:dyDescent="0.3">
      <c r="A4129" s="80">
        <v>45725</v>
      </c>
      <c r="B4129">
        <v>3010200</v>
      </c>
      <c r="C4129">
        <v>5000</v>
      </c>
      <c r="E4129" s="80">
        <v>45708</v>
      </c>
      <c r="F4129">
        <v>3010111</v>
      </c>
      <c r="G4129">
        <v>1672</v>
      </c>
    </row>
    <row r="4130" spans="1:7" x14ac:dyDescent="0.3">
      <c r="A4130" s="80">
        <v>45724</v>
      </c>
      <c r="B4130">
        <v>3010200</v>
      </c>
      <c r="C4130">
        <v>5000</v>
      </c>
      <c r="E4130" s="80">
        <v>45708</v>
      </c>
      <c r="F4130">
        <v>3010111</v>
      </c>
      <c r="G4130">
        <v>1672</v>
      </c>
    </row>
    <row r="4131" spans="1:7" x14ac:dyDescent="0.3">
      <c r="A4131" s="80">
        <v>45724</v>
      </c>
      <c r="B4131">
        <v>3010200</v>
      </c>
      <c r="C4131">
        <v>5000</v>
      </c>
      <c r="E4131" s="80">
        <v>45708</v>
      </c>
      <c r="F4131">
        <v>3010111</v>
      </c>
      <c r="G4131">
        <v>0</v>
      </c>
    </row>
    <row r="4132" spans="1:7" x14ac:dyDescent="0.3">
      <c r="A4132" s="80">
        <v>45723</v>
      </c>
      <c r="B4132">
        <v>3010200</v>
      </c>
      <c r="C4132">
        <v>5000</v>
      </c>
      <c r="E4132" s="80">
        <v>45708</v>
      </c>
      <c r="F4132">
        <v>3010111</v>
      </c>
      <c r="G4132">
        <v>0</v>
      </c>
    </row>
    <row r="4133" spans="1:7" x14ac:dyDescent="0.3">
      <c r="A4133" s="80">
        <v>45723</v>
      </c>
      <c r="B4133">
        <v>3010200</v>
      </c>
      <c r="C4133">
        <v>5000</v>
      </c>
      <c r="E4133" s="80">
        <v>45707</v>
      </c>
      <c r="F4133">
        <v>3010111</v>
      </c>
      <c r="G4133">
        <v>1672</v>
      </c>
    </row>
    <row r="4134" spans="1:7" x14ac:dyDescent="0.3">
      <c r="A4134" s="80">
        <v>45723</v>
      </c>
      <c r="B4134">
        <v>3010200</v>
      </c>
      <c r="C4134">
        <v>5000</v>
      </c>
      <c r="E4134" s="80">
        <v>45705</v>
      </c>
      <c r="F4134">
        <v>3010111</v>
      </c>
      <c r="G4134">
        <v>0</v>
      </c>
    </row>
    <row r="4135" spans="1:7" x14ac:dyDescent="0.3">
      <c r="A4135" s="80">
        <v>45723</v>
      </c>
      <c r="B4135">
        <v>3010200</v>
      </c>
      <c r="C4135">
        <v>5000</v>
      </c>
      <c r="E4135" s="80">
        <v>45705</v>
      </c>
      <c r="F4135">
        <v>3010111</v>
      </c>
      <c r="G4135">
        <v>3605</v>
      </c>
    </row>
    <row r="4136" spans="1:7" x14ac:dyDescent="0.3">
      <c r="A4136" s="80">
        <v>45722</v>
      </c>
      <c r="B4136">
        <v>3010200</v>
      </c>
      <c r="C4136">
        <v>5000</v>
      </c>
      <c r="E4136" s="80">
        <v>45705</v>
      </c>
      <c r="F4136">
        <v>3010111</v>
      </c>
      <c r="G4136">
        <v>0</v>
      </c>
    </row>
    <row r="4137" spans="1:7" x14ac:dyDescent="0.3">
      <c r="A4137" s="80">
        <v>45722</v>
      </c>
      <c r="B4137">
        <v>3010200</v>
      </c>
      <c r="C4137">
        <v>5000</v>
      </c>
      <c r="E4137" s="80">
        <v>45704</v>
      </c>
      <c r="F4137">
        <v>3010111</v>
      </c>
      <c r="G4137">
        <v>3353</v>
      </c>
    </row>
    <row r="4138" spans="1:7" x14ac:dyDescent="0.3">
      <c r="A4138" s="80">
        <v>45722</v>
      </c>
      <c r="B4138">
        <v>3010200</v>
      </c>
      <c r="C4138">
        <v>5000</v>
      </c>
      <c r="E4138" s="80">
        <v>45704</v>
      </c>
      <c r="F4138">
        <v>3010111</v>
      </c>
      <c r="G4138">
        <v>0</v>
      </c>
    </row>
    <row r="4139" spans="1:7" x14ac:dyDescent="0.3">
      <c r="A4139" s="80">
        <v>45722</v>
      </c>
      <c r="B4139">
        <v>3010200</v>
      </c>
      <c r="C4139">
        <v>5000</v>
      </c>
      <c r="E4139" s="80">
        <v>45704</v>
      </c>
      <c r="F4139">
        <v>3010111</v>
      </c>
      <c r="G4139">
        <v>3101</v>
      </c>
    </row>
    <row r="4140" spans="1:7" x14ac:dyDescent="0.3">
      <c r="A4140" s="80">
        <v>45721</v>
      </c>
      <c r="B4140">
        <v>3010200</v>
      </c>
      <c r="C4140">
        <v>5000</v>
      </c>
      <c r="E4140" s="80">
        <v>45703</v>
      </c>
      <c r="F4140">
        <v>3010111</v>
      </c>
      <c r="G4140">
        <v>1672</v>
      </c>
    </row>
    <row r="4141" spans="1:7" x14ac:dyDescent="0.3">
      <c r="A4141" s="80">
        <v>45721</v>
      </c>
      <c r="B4141">
        <v>3010200</v>
      </c>
      <c r="C4141">
        <v>5000</v>
      </c>
      <c r="E4141" s="80">
        <v>45703</v>
      </c>
      <c r="F4141">
        <v>3010111</v>
      </c>
      <c r="G4141">
        <v>3353</v>
      </c>
    </row>
    <row r="4142" spans="1:7" x14ac:dyDescent="0.3">
      <c r="A4142" s="80">
        <v>45721</v>
      </c>
      <c r="B4142">
        <v>3010200</v>
      </c>
      <c r="C4142">
        <v>5000</v>
      </c>
      <c r="E4142" s="80">
        <v>45703</v>
      </c>
      <c r="F4142">
        <v>3010111</v>
      </c>
      <c r="G4142">
        <v>1672</v>
      </c>
    </row>
    <row r="4143" spans="1:7" x14ac:dyDescent="0.3">
      <c r="A4143" s="80">
        <v>45720</v>
      </c>
      <c r="B4143">
        <v>3010200</v>
      </c>
      <c r="C4143">
        <v>5000</v>
      </c>
      <c r="E4143" s="80">
        <v>45703</v>
      </c>
      <c r="F4143">
        <v>3010111</v>
      </c>
      <c r="G4143">
        <v>1672</v>
      </c>
    </row>
    <row r="4144" spans="1:7" x14ac:dyDescent="0.3">
      <c r="A4144" s="80">
        <v>45720</v>
      </c>
      <c r="B4144">
        <v>3010200</v>
      </c>
      <c r="C4144">
        <v>5000</v>
      </c>
      <c r="E4144" s="80">
        <v>45702</v>
      </c>
      <c r="F4144">
        <v>3010111</v>
      </c>
      <c r="G4144">
        <v>0</v>
      </c>
    </row>
    <row r="4145" spans="1:7" x14ac:dyDescent="0.3">
      <c r="A4145" s="80">
        <v>45720</v>
      </c>
      <c r="B4145">
        <v>3010200</v>
      </c>
      <c r="C4145">
        <v>8769</v>
      </c>
      <c r="E4145" s="80">
        <v>45702</v>
      </c>
      <c r="F4145">
        <v>3010111</v>
      </c>
      <c r="G4145">
        <v>0</v>
      </c>
    </row>
    <row r="4146" spans="1:7" x14ac:dyDescent="0.3">
      <c r="A4146" s="80">
        <v>45720</v>
      </c>
      <c r="B4146">
        <v>3010200</v>
      </c>
      <c r="C4146">
        <v>5000</v>
      </c>
      <c r="E4146" s="80">
        <v>45701</v>
      </c>
      <c r="F4146">
        <v>3010111</v>
      </c>
      <c r="G4146">
        <v>3689</v>
      </c>
    </row>
    <row r="4147" spans="1:7" x14ac:dyDescent="0.3">
      <c r="A4147" s="80">
        <v>45719</v>
      </c>
      <c r="B4147">
        <v>3010200</v>
      </c>
      <c r="C4147">
        <v>5000</v>
      </c>
      <c r="E4147" s="80">
        <v>45701</v>
      </c>
      <c r="F4147">
        <v>3010111</v>
      </c>
      <c r="G4147">
        <v>3605</v>
      </c>
    </row>
    <row r="4148" spans="1:7" x14ac:dyDescent="0.3">
      <c r="A4148" s="80">
        <v>45719</v>
      </c>
      <c r="B4148">
        <v>3010200</v>
      </c>
      <c r="C4148">
        <v>10000</v>
      </c>
      <c r="E4148" s="80">
        <v>45701</v>
      </c>
      <c r="F4148">
        <v>3010111</v>
      </c>
      <c r="G4148">
        <v>1672</v>
      </c>
    </row>
    <row r="4149" spans="1:7" x14ac:dyDescent="0.3">
      <c r="A4149" s="80">
        <v>45719</v>
      </c>
      <c r="B4149">
        <v>3010200</v>
      </c>
      <c r="C4149">
        <v>5000</v>
      </c>
      <c r="E4149" s="80">
        <v>45699</v>
      </c>
      <c r="F4149">
        <v>3010111</v>
      </c>
      <c r="G4149">
        <v>0</v>
      </c>
    </row>
    <row r="4150" spans="1:7" x14ac:dyDescent="0.3">
      <c r="A4150" s="80">
        <v>45719</v>
      </c>
      <c r="B4150">
        <v>3010200</v>
      </c>
      <c r="C4150">
        <v>5000</v>
      </c>
      <c r="E4150" s="80">
        <v>45699</v>
      </c>
      <c r="F4150">
        <v>3010111</v>
      </c>
      <c r="G4150">
        <v>2933</v>
      </c>
    </row>
    <row r="4151" spans="1:7" x14ac:dyDescent="0.3">
      <c r="A4151" s="80">
        <v>45718</v>
      </c>
      <c r="B4151">
        <v>3010200</v>
      </c>
      <c r="C4151">
        <v>5000</v>
      </c>
      <c r="E4151" s="80">
        <v>45699</v>
      </c>
      <c r="F4151">
        <v>3010111</v>
      </c>
      <c r="G4151">
        <v>0</v>
      </c>
    </row>
    <row r="4152" spans="1:7" x14ac:dyDescent="0.3">
      <c r="A4152" s="80">
        <v>45718</v>
      </c>
      <c r="B4152">
        <v>3010200</v>
      </c>
      <c r="C4152">
        <v>5000</v>
      </c>
      <c r="E4152" s="80">
        <v>45699</v>
      </c>
      <c r="F4152">
        <v>3010111</v>
      </c>
      <c r="G4152">
        <v>3773</v>
      </c>
    </row>
    <row r="4153" spans="1:7" x14ac:dyDescent="0.3">
      <c r="A4153" s="80">
        <v>45718</v>
      </c>
      <c r="B4153">
        <v>3010200</v>
      </c>
      <c r="C4153">
        <v>5000</v>
      </c>
      <c r="E4153" s="80">
        <v>45698</v>
      </c>
      <c r="F4153">
        <v>3010111</v>
      </c>
      <c r="G4153">
        <v>0</v>
      </c>
    </row>
    <row r="4154" spans="1:7" x14ac:dyDescent="0.3">
      <c r="A4154" s="80">
        <v>45718</v>
      </c>
      <c r="B4154">
        <v>3010200</v>
      </c>
      <c r="C4154">
        <v>8769</v>
      </c>
      <c r="E4154" s="80">
        <v>45698</v>
      </c>
      <c r="F4154">
        <v>3010111</v>
      </c>
      <c r="G4154">
        <v>1672</v>
      </c>
    </row>
    <row r="4155" spans="1:7" x14ac:dyDescent="0.3">
      <c r="A4155" s="80">
        <v>45718</v>
      </c>
      <c r="B4155">
        <v>3010200</v>
      </c>
      <c r="C4155">
        <v>5000</v>
      </c>
      <c r="E4155" s="80">
        <v>45698</v>
      </c>
      <c r="F4155">
        <v>3010111</v>
      </c>
      <c r="G4155">
        <v>1672</v>
      </c>
    </row>
    <row r="4156" spans="1:7" x14ac:dyDescent="0.3">
      <c r="A4156" s="80">
        <v>45718</v>
      </c>
      <c r="B4156">
        <v>3010200</v>
      </c>
      <c r="C4156">
        <v>5000</v>
      </c>
      <c r="E4156" s="80">
        <v>45698</v>
      </c>
      <c r="F4156">
        <v>3010111</v>
      </c>
      <c r="G4156">
        <v>3941</v>
      </c>
    </row>
    <row r="4157" spans="1:7" x14ac:dyDescent="0.3">
      <c r="A4157" s="80">
        <v>45718</v>
      </c>
      <c r="B4157">
        <v>3010200</v>
      </c>
      <c r="C4157">
        <v>8769</v>
      </c>
      <c r="E4157" s="80">
        <v>45698</v>
      </c>
      <c r="F4157">
        <v>3010111</v>
      </c>
      <c r="G4157">
        <v>0</v>
      </c>
    </row>
    <row r="4158" spans="1:7" x14ac:dyDescent="0.3">
      <c r="A4158" s="80">
        <v>45718</v>
      </c>
      <c r="B4158">
        <v>3010200</v>
      </c>
      <c r="C4158">
        <v>5000</v>
      </c>
      <c r="E4158" s="80">
        <v>45698</v>
      </c>
      <c r="F4158">
        <v>3010111</v>
      </c>
      <c r="G4158">
        <v>0</v>
      </c>
    </row>
    <row r="4159" spans="1:7" x14ac:dyDescent="0.3">
      <c r="A4159" s="80">
        <v>45718</v>
      </c>
      <c r="B4159">
        <v>3010200</v>
      </c>
      <c r="C4159">
        <v>2630</v>
      </c>
      <c r="E4159" s="80">
        <v>45697</v>
      </c>
      <c r="F4159">
        <v>3010111</v>
      </c>
      <c r="G4159">
        <v>0</v>
      </c>
    </row>
    <row r="4160" spans="1:7" x14ac:dyDescent="0.3">
      <c r="A4160" s="80">
        <v>45718</v>
      </c>
      <c r="B4160">
        <v>3010200</v>
      </c>
      <c r="C4160">
        <v>5000</v>
      </c>
      <c r="E4160" s="80">
        <v>45697</v>
      </c>
      <c r="F4160">
        <v>3010111</v>
      </c>
      <c r="G4160">
        <v>0</v>
      </c>
    </row>
    <row r="4161" spans="1:7" x14ac:dyDescent="0.3">
      <c r="A4161" s="80">
        <v>45717</v>
      </c>
      <c r="B4161">
        <v>3010200</v>
      </c>
      <c r="C4161">
        <v>5000</v>
      </c>
      <c r="E4161" s="80">
        <v>45696</v>
      </c>
      <c r="F4161">
        <v>3010111</v>
      </c>
      <c r="G4161">
        <v>0</v>
      </c>
    </row>
    <row r="4162" spans="1:7" x14ac:dyDescent="0.3">
      <c r="A4162" s="80">
        <v>45717</v>
      </c>
      <c r="B4162">
        <v>3010200</v>
      </c>
      <c r="C4162">
        <v>5000</v>
      </c>
      <c r="E4162" s="80">
        <v>45696</v>
      </c>
      <c r="F4162">
        <v>3010111</v>
      </c>
      <c r="G4162">
        <v>0</v>
      </c>
    </row>
    <row r="4163" spans="1:7" x14ac:dyDescent="0.3">
      <c r="A4163" s="80">
        <v>45717</v>
      </c>
      <c r="B4163">
        <v>3010200</v>
      </c>
      <c r="C4163">
        <v>5000</v>
      </c>
      <c r="E4163" s="80">
        <v>45696</v>
      </c>
      <c r="F4163">
        <v>3010111</v>
      </c>
      <c r="G4163">
        <v>3353</v>
      </c>
    </row>
    <row r="4164" spans="1:7" x14ac:dyDescent="0.3">
      <c r="A4164" s="80">
        <v>45717</v>
      </c>
      <c r="B4164">
        <v>3010200</v>
      </c>
      <c r="C4164">
        <v>5000</v>
      </c>
      <c r="E4164" s="80">
        <v>45696</v>
      </c>
      <c r="F4164">
        <v>3010111</v>
      </c>
      <c r="G4164">
        <v>1672</v>
      </c>
    </row>
    <row r="4165" spans="1:7" x14ac:dyDescent="0.3">
      <c r="A4165" s="80">
        <v>45717</v>
      </c>
      <c r="B4165">
        <v>3010200</v>
      </c>
      <c r="C4165">
        <v>5000</v>
      </c>
      <c r="E4165" s="80">
        <v>45696</v>
      </c>
      <c r="F4165">
        <v>3010111</v>
      </c>
      <c r="G4165">
        <v>4109</v>
      </c>
    </row>
    <row r="4166" spans="1:7" x14ac:dyDescent="0.3">
      <c r="A4166" s="80">
        <v>45717</v>
      </c>
      <c r="B4166">
        <v>3010200</v>
      </c>
      <c r="C4166">
        <v>5000</v>
      </c>
      <c r="E4166" s="80">
        <v>45695</v>
      </c>
      <c r="F4166">
        <v>3010111</v>
      </c>
      <c r="G4166">
        <v>5034</v>
      </c>
    </row>
    <row r="4167" spans="1:7" x14ac:dyDescent="0.3">
      <c r="A4167" s="80">
        <v>45717</v>
      </c>
      <c r="B4167">
        <v>3010200</v>
      </c>
      <c r="C4167">
        <v>5000</v>
      </c>
      <c r="E4167" s="80">
        <v>45695</v>
      </c>
      <c r="F4167">
        <v>3010111</v>
      </c>
      <c r="G4167">
        <v>1672</v>
      </c>
    </row>
    <row r="4168" spans="1:7" x14ac:dyDescent="0.3">
      <c r="A4168" s="80">
        <v>45717</v>
      </c>
      <c r="B4168">
        <v>3010200</v>
      </c>
      <c r="C4168">
        <v>5000</v>
      </c>
      <c r="E4168" s="80">
        <v>45695</v>
      </c>
      <c r="F4168">
        <v>3010111</v>
      </c>
      <c r="G4168">
        <v>0</v>
      </c>
    </row>
    <row r="4169" spans="1:7" x14ac:dyDescent="0.3">
      <c r="A4169" s="80">
        <v>45716</v>
      </c>
      <c r="B4169">
        <v>3010200</v>
      </c>
      <c r="C4169">
        <v>5000</v>
      </c>
      <c r="E4169" s="80">
        <v>45695</v>
      </c>
      <c r="F4169">
        <v>3010111</v>
      </c>
      <c r="G4169">
        <v>3017</v>
      </c>
    </row>
    <row r="4170" spans="1:7" x14ac:dyDescent="0.3">
      <c r="A4170" s="80">
        <v>45716</v>
      </c>
      <c r="B4170">
        <v>3010200</v>
      </c>
      <c r="C4170">
        <v>5000</v>
      </c>
      <c r="E4170" s="80">
        <v>45695</v>
      </c>
      <c r="F4170">
        <v>3010111</v>
      </c>
      <c r="G4170">
        <v>1672</v>
      </c>
    </row>
    <row r="4171" spans="1:7" x14ac:dyDescent="0.3">
      <c r="A4171" s="80">
        <v>45716</v>
      </c>
      <c r="B4171">
        <v>3010200</v>
      </c>
      <c r="C4171">
        <v>8769</v>
      </c>
      <c r="E4171" s="80">
        <v>45695</v>
      </c>
      <c r="F4171">
        <v>3010111</v>
      </c>
      <c r="G4171">
        <v>0</v>
      </c>
    </row>
    <row r="4172" spans="1:7" x14ac:dyDescent="0.3">
      <c r="A4172" s="80">
        <v>45716</v>
      </c>
      <c r="B4172">
        <v>3010200</v>
      </c>
      <c r="C4172">
        <v>5000</v>
      </c>
      <c r="E4172" s="80">
        <v>45694</v>
      </c>
      <c r="F4172">
        <v>3010111</v>
      </c>
      <c r="G4172">
        <v>3101</v>
      </c>
    </row>
    <row r="4173" spans="1:7" x14ac:dyDescent="0.3">
      <c r="A4173" s="80">
        <v>45716</v>
      </c>
      <c r="B4173">
        <v>3010200</v>
      </c>
      <c r="C4173">
        <v>5000</v>
      </c>
      <c r="E4173" s="80">
        <v>45694</v>
      </c>
      <c r="F4173">
        <v>3010111</v>
      </c>
      <c r="G4173">
        <v>3605</v>
      </c>
    </row>
    <row r="4174" spans="1:7" x14ac:dyDescent="0.3">
      <c r="A4174" s="80">
        <v>45716</v>
      </c>
      <c r="B4174">
        <v>3010200</v>
      </c>
      <c r="C4174">
        <v>500</v>
      </c>
      <c r="E4174" s="80">
        <v>45694</v>
      </c>
      <c r="F4174">
        <v>3010111</v>
      </c>
      <c r="G4174">
        <v>1672</v>
      </c>
    </row>
    <row r="4175" spans="1:7" x14ac:dyDescent="0.3">
      <c r="A4175" s="80">
        <v>45716</v>
      </c>
      <c r="B4175">
        <v>3010200</v>
      </c>
      <c r="C4175">
        <v>5000</v>
      </c>
      <c r="E4175" s="80">
        <v>45694</v>
      </c>
      <c r="F4175">
        <v>3010111</v>
      </c>
      <c r="G4175">
        <v>1672</v>
      </c>
    </row>
    <row r="4176" spans="1:7" x14ac:dyDescent="0.3">
      <c r="A4176" s="80">
        <v>45716</v>
      </c>
      <c r="B4176">
        <v>3010200</v>
      </c>
      <c r="C4176">
        <v>5000</v>
      </c>
      <c r="E4176" s="80">
        <v>45694</v>
      </c>
      <c r="F4176">
        <v>3010111</v>
      </c>
      <c r="G4176">
        <v>1672</v>
      </c>
    </row>
    <row r="4177" spans="1:7" x14ac:dyDescent="0.3">
      <c r="A4177" s="80">
        <v>45715</v>
      </c>
      <c r="B4177">
        <v>3010200</v>
      </c>
      <c r="C4177">
        <v>8769</v>
      </c>
      <c r="E4177" s="80">
        <v>45694</v>
      </c>
      <c r="F4177">
        <v>3010111</v>
      </c>
      <c r="G4177">
        <v>0</v>
      </c>
    </row>
    <row r="4178" spans="1:7" x14ac:dyDescent="0.3">
      <c r="A4178" s="80">
        <v>45715</v>
      </c>
      <c r="B4178">
        <v>3010200</v>
      </c>
      <c r="C4178">
        <v>5000</v>
      </c>
      <c r="E4178" s="80">
        <v>45694</v>
      </c>
      <c r="F4178">
        <v>3010111</v>
      </c>
      <c r="G4178">
        <v>3605</v>
      </c>
    </row>
    <row r="4179" spans="1:7" x14ac:dyDescent="0.3">
      <c r="A4179" s="80">
        <v>45715</v>
      </c>
      <c r="B4179">
        <v>3010200</v>
      </c>
      <c r="C4179">
        <v>5000</v>
      </c>
      <c r="E4179" s="80">
        <v>45694</v>
      </c>
      <c r="F4179">
        <v>3010111</v>
      </c>
      <c r="G4179">
        <v>0</v>
      </c>
    </row>
    <row r="4180" spans="1:7" x14ac:dyDescent="0.3">
      <c r="A4180" s="80">
        <v>45715</v>
      </c>
      <c r="B4180">
        <v>3010200</v>
      </c>
      <c r="C4180">
        <v>5000</v>
      </c>
      <c r="E4180" s="80">
        <v>45694</v>
      </c>
      <c r="F4180">
        <v>3010111</v>
      </c>
      <c r="G4180">
        <v>0</v>
      </c>
    </row>
    <row r="4181" spans="1:7" x14ac:dyDescent="0.3">
      <c r="A4181" s="80">
        <v>45714</v>
      </c>
      <c r="B4181">
        <v>3010200</v>
      </c>
      <c r="C4181">
        <v>5000</v>
      </c>
      <c r="E4181" s="80">
        <v>45694</v>
      </c>
      <c r="F4181">
        <v>3010111</v>
      </c>
      <c r="G4181">
        <v>0</v>
      </c>
    </row>
    <row r="4182" spans="1:7" x14ac:dyDescent="0.3">
      <c r="A4182" s="80">
        <v>45714</v>
      </c>
      <c r="B4182">
        <v>3010200</v>
      </c>
      <c r="C4182">
        <v>500</v>
      </c>
      <c r="E4182" s="80">
        <v>45694</v>
      </c>
      <c r="F4182">
        <v>3010111</v>
      </c>
      <c r="G4182">
        <v>1672</v>
      </c>
    </row>
    <row r="4183" spans="1:7" x14ac:dyDescent="0.3">
      <c r="A4183" s="80">
        <v>45714</v>
      </c>
      <c r="B4183">
        <v>3010200</v>
      </c>
      <c r="C4183">
        <v>5000</v>
      </c>
      <c r="E4183" s="80">
        <v>45693</v>
      </c>
      <c r="F4183">
        <v>3010111</v>
      </c>
      <c r="G4183">
        <v>3353</v>
      </c>
    </row>
    <row r="4184" spans="1:7" x14ac:dyDescent="0.3">
      <c r="A4184" s="80">
        <v>45714</v>
      </c>
      <c r="B4184">
        <v>3010200</v>
      </c>
      <c r="C4184">
        <v>5000</v>
      </c>
      <c r="E4184" s="80">
        <v>45693</v>
      </c>
      <c r="F4184">
        <v>3010111</v>
      </c>
      <c r="G4184">
        <v>3101</v>
      </c>
    </row>
    <row r="4185" spans="1:7" x14ac:dyDescent="0.3">
      <c r="A4185" s="80">
        <v>45713</v>
      </c>
      <c r="B4185">
        <v>3010200</v>
      </c>
      <c r="C4185">
        <v>5000</v>
      </c>
      <c r="E4185" s="80">
        <v>45693</v>
      </c>
      <c r="F4185">
        <v>3010111</v>
      </c>
      <c r="G4185">
        <v>5454</v>
      </c>
    </row>
    <row r="4186" spans="1:7" x14ac:dyDescent="0.3">
      <c r="A4186" s="80">
        <v>45713</v>
      </c>
      <c r="B4186">
        <v>3010200</v>
      </c>
      <c r="C4186">
        <v>5000</v>
      </c>
      <c r="E4186" s="80">
        <v>45693</v>
      </c>
      <c r="F4186">
        <v>3010111</v>
      </c>
      <c r="G4186">
        <v>0</v>
      </c>
    </row>
    <row r="4187" spans="1:7" x14ac:dyDescent="0.3">
      <c r="A4187" s="80">
        <v>45713</v>
      </c>
      <c r="B4187">
        <v>3010200</v>
      </c>
      <c r="C4187">
        <v>5000</v>
      </c>
      <c r="E4187" s="80">
        <v>45693</v>
      </c>
      <c r="F4187">
        <v>3010111</v>
      </c>
      <c r="G4187">
        <v>3101</v>
      </c>
    </row>
    <row r="4188" spans="1:7" x14ac:dyDescent="0.3">
      <c r="A4188" s="80">
        <v>45713</v>
      </c>
      <c r="B4188">
        <v>3010200</v>
      </c>
      <c r="C4188">
        <v>5000</v>
      </c>
      <c r="E4188" s="80">
        <v>45693</v>
      </c>
      <c r="F4188">
        <v>3010111</v>
      </c>
      <c r="G4188">
        <v>0</v>
      </c>
    </row>
    <row r="4189" spans="1:7" x14ac:dyDescent="0.3">
      <c r="A4189" s="80">
        <v>45712</v>
      </c>
      <c r="B4189">
        <v>3010200</v>
      </c>
      <c r="C4189">
        <v>5000</v>
      </c>
      <c r="E4189" s="80">
        <v>45693</v>
      </c>
      <c r="F4189">
        <v>3010111</v>
      </c>
      <c r="G4189">
        <v>4025</v>
      </c>
    </row>
    <row r="4190" spans="1:7" x14ac:dyDescent="0.3">
      <c r="A4190" s="80">
        <v>45712</v>
      </c>
      <c r="B4190">
        <v>3010200</v>
      </c>
      <c r="C4190">
        <v>5000</v>
      </c>
      <c r="E4190" s="80">
        <v>45693</v>
      </c>
      <c r="F4190">
        <v>3010111</v>
      </c>
      <c r="G4190">
        <v>3605</v>
      </c>
    </row>
    <row r="4191" spans="1:7" x14ac:dyDescent="0.3">
      <c r="A4191" s="80">
        <v>45712</v>
      </c>
      <c r="B4191">
        <v>3010200</v>
      </c>
      <c r="C4191">
        <v>5000</v>
      </c>
      <c r="E4191" s="80">
        <v>45693</v>
      </c>
      <c r="F4191">
        <v>3010111</v>
      </c>
      <c r="G4191">
        <v>1672</v>
      </c>
    </row>
    <row r="4192" spans="1:7" x14ac:dyDescent="0.3">
      <c r="A4192" s="80">
        <v>45712</v>
      </c>
      <c r="B4192">
        <v>3010200</v>
      </c>
      <c r="C4192">
        <v>8769</v>
      </c>
      <c r="E4192" s="80">
        <v>45693</v>
      </c>
      <c r="F4192">
        <v>3010111</v>
      </c>
      <c r="G4192">
        <v>3605</v>
      </c>
    </row>
    <row r="4193" spans="1:7" x14ac:dyDescent="0.3">
      <c r="A4193" s="80">
        <v>45712</v>
      </c>
      <c r="B4193">
        <v>3010200</v>
      </c>
      <c r="C4193">
        <v>5000</v>
      </c>
      <c r="E4193" s="80">
        <v>45693</v>
      </c>
      <c r="F4193">
        <v>3010111</v>
      </c>
      <c r="G4193">
        <v>0</v>
      </c>
    </row>
    <row r="4194" spans="1:7" x14ac:dyDescent="0.3">
      <c r="A4194" s="80">
        <v>45711</v>
      </c>
      <c r="B4194">
        <v>3010200</v>
      </c>
      <c r="C4194">
        <v>5000</v>
      </c>
      <c r="E4194" s="80">
        <v>45692</v>
      </c>
      <c r="F4194">
        <v>3010111</v>
      </c>
      <c r="G4194">
        <v>1672</v>
      </c>
    </row>
    <row r="4195" spans="1:7" x14ac:dyDescent="0.3">
      <c r="A4195" s="80">
        <v>45711</v>
      </c>
      <c r="B4195">
        <v>3010200</v>
      </c>
      <c r="C4195">
        <v>5000</v>
      </c>
      <c r="E4195" s="80">
        <v>45692</v>
      </c>
      <c r="F4195">
        <v>3010111</v>
      </c>
      <c r="G4195">
        <v>0</v>
      </c>
    </row>
    <row r="4196" spans="1:7" x14ac:dyDescent="0.3">
      <c r="A4196" s="80">
        <v>45710</v>
      </c>
      <c r="B4196">
        <v>3010200</v>
      </c>
      <c r="C4196">
        <v>5000</v>
      </c>
      <c r="E4196" s="80">
        <v>45692</v>
      </c>
      <c r="F4196">
        <v>3010111</v>
      </c>
      <c r="G4196">
        <v>1672</v>
      </c>
    </row>
    <row r="4197" spans="1:7" x14ac:dyDescent="0.3">
      <c r="A4197" s="80">
        <v>45710</v>
      </c>
      <c r="B4197">
        <v>3010200</v>
      </c>
      <c r="C4197">
        <v>5000</v>
      </c>
      <c r="E4197" s="80">
        <v>45692</v>
      </c>
      <c r="F4197">
        <v>3010111</v>
      </c>
      <c r="G4197">
        <v>8479</v>
      </c>
    </row>
    <row r="4198" spans="1:7" x14ac:dyDescent="0.3">
      <c r="A4198" s="80">
        <v>45710</v>
      </c>
      <c r="B4198">
        <v>3010200</v>
      </c>
      <c r="C4198">
        <v>5000</v>
      </c>
      <c r="E4198" s="80">
        <v>45692</v>
      </c>
      <c r="F4198">
        <v>3010111</v>
      </c>
      <c r="G4198">
        <v>1672</v>
      </c>
    </row>
    <row r="4199" spans="1:7" x14ac:dyDescent="0.3">
      <c r="A4199" s="80">
        <v>45710</v>
      </c>
      <c r="B4199">
        <v>3010200</v>
      </c>
      <c r="C4199">
        <v>5000</v>
      </c>
      <c r="E4199" s="80">
        <v>45692</v>
      </c>
      <c r="F4199">
        <v>3010111</v>
      </c>
      <c r="G4199">
        <v>1672</v>
      </c>
    </row>
    <row r="4200" spans="1:7" x14ac:dyDescent="0.3">
      <c r="A4200" s="80">
        <v>45710</v>
      </c>
      <c r="B4200">
        <v>3010200</v>
      </c>
      <c r="C4200">
        <v>5000</v>
      </c>
      <c r="E4200" s="80">
        <v>45692</v>
      </c>
      <c r="F4200">
        <v>3010111</v>
      </c>
      <c r="G4200">
        <v>3017</v>
      </c>
    </row>
    <row r="4201" spans="1:7" x14ac:dyDescent="0.3">
      <c r="A4201" s="80">
        <v>45710</v>
      </c>
      <c r="B4201">
        <v>3010200</v>
      </c>
      <c r="C4201">
        <v>5000</v>
      </c>
      <c r="E4201" s="80">
        <v>45692</v>
      </c>
      <c r="F4201">
        <v>3010111</v>
      </c>
      <c r="G4201">
        <v>3605</v>
      </c>
    </row>
    <row r="4202" spans="1:7" x14ac:dyDescent="0.3">
      <c r="A4202" s="80">
        <v>45710</v>
      </c>
      <c r="B4202">
        <v>3010200</v>
      </c>
      <c r="C4202">
        <v>5000</v>
      </c>
      <c r="E4202" s="80">
        <v>45691</v>
      </c>
      <c r="F4202">
        <v>3010111</v>
      </c>
      <c r="G4202">
        <v>3017</v>
      </c>
    </row>
    <row r="4203" spans="1:7" x14ac:dyDescent="0.3">
      <c r="A4203" s="80">
        <v>45710</v>
      </c>
      <c r="B4203">
        <v>3010200</v>
      </c>
      <c r="C4203">
        <v>4500</v>
      </c>
      <c r="E4203" s="80">
        <v>45691</v>
      </c>
      <c r="F4203">
        <v>3010111</v>
      </c>
      <c r="G4203">
        <v>1672</v>
      </c>
    </row>
    <row r="4204" spans="1:7" x14ac:dyDescent="0.3">
      <c r="A4204" s="80">
        <v>45710</v>
      </c>
      <c r="B4204">
        <v>3010200</v>
      </c>
      <c r="C4204">
        <v>5000</v>
      </c>
      <c r="E4204" s="80">
        <v>45691</v>
      </c>
      <c r="F4204">
        <v>3010111</v>
      </c>
      <c r="G4204">
        <v>0</v>
      </c>
    </row>
    <row r="4205" spans="1:7" x14ac:dyDescent="0.3">
      <c r="A4205" s="80">
        <v>45710</v>
      </c>
      <c r="B4205">
        <v>3010200</v>
      </c>
      <c r="C4205">
        <v>5000</v>
      </c>
      <c r="E4205" s="80">
        <v>45691</v>
      </c>
      <c r="F4205">
        <v>3010111</v>
      </c>
      <c r="G4205">
        <v>0</v>
      </c>
    </row>
    <row r="4206" spans="1:7" x14ac:dyDescent="0.3">
      <c r="A4206" s="80">
        <v>45709</v>
      </c>
      <c r="B4206">
        <v>3010200</v>
      </c>
      <c r="C4206">
        <v>5000</v>
      </c>
      <c r="E4206" s="80">
        <v>45691</v>
      </c>
      <c r="F4206">
        <v>3010111</v>
      </c>
      <c r="G4206">
        <v>1672</v>
      </c>
    </row>
    <row r="4207" spans="1:7" x14ac:dyDescent="0.3">
      <c r="A4207" s="80">
        <v>45709</v>
      </c>
      <c r="B4207">
        <v>3010200</v>
      </c>
      <c r="C4207">
        <v>5000</v>
      </c>
      <c r="E4207" s="80">
        <v>45691</v>
      </c>
      <c r="F4207">
        <v>3010111</v>
      </c>
      <c r="G4207">
        <v>3605</v>
      </c>
    </row>
    <row r="4208" spans="1:7" x14ac:dyDescent="0.3">
      <c r="A4208" s="80">
        <v>45709</v>
      </c>
      <c r="B4208">
        <v>3010200</v>
      </c>
      <c r="C4208">
        <v>3000</v>
      </c>
      <c r="E4208" s="80">
        <v>45690</v>
      </c>
      <c r="F4208">
        <v>3010111</v>
      </c>
      <c r="G4208">
        <v>3941</v>
      </c>
    </row>
    <row r="4209" spans="1:7" x14ac:dyDescent="0.3">
      <c r="A4209" s="80">
        <v>45709</v>
      </c>
      <c r="B4209">
        <v>3010200</v>
      </c>
      <c r="C4209">
        <v>5000</v>
      </c>
      <c r="E4209" s="80">
        <v>45690</v>
      </c>
      <c r="F4209">
        <v>3010111</v>
      </c>
      <c r="G4209">
        <v>0</v>
      </c>
    </row>
    <row r="4210" spans="1:7" x14ac:dyDescent="0.3">
      <c r="A4210" s="80">
        <v>45709</v>
      </c>
      <c r="B4210">
        <v>3010200</v>
      </c>
      <c r="C4210">
        <v>5000</v>
      </c>
      <c r="E4210" s="80">
        <v>45690</v>
      </c>
      <c r="F4210">
        <v>3010111</v>
      </c>
      <c r="G4210">
        <v>1672</v>
      </c>
    </row>
    <row r="4211" spans="1:7" x14ac:dyDescent="0.3">
      <c r="A4211" s="80">
        <v>45709</v>
      </c>
      <c r="B4211">
        <v>3010200</v>
      </c>
      <c r="C4211">
        <v>5000</v>
      </c>
      <c r="E4211" s="80">
        <v>45690</v>
      </c>
      <c r="F4211">
        <v>3010111</v>
      </c>
      <c r="G4211">
        <v>3773</v>
      </c>
    </row>
    <row r="4212" spans="1:7" x14ac:dyDescent="0.3">
      <c r="A4212" s="80">
        <v>45709</v>
      </c>
      <c r="B4212">
        <v>3010200</v>
      </c>
      <c r="C4212">
        <v>5000</v>
      </c>
      <c r="E4212" s="80">
        <v>45690</v>
      </c>
      <c r="F4212">
        <v>3010111</v>
      </c>
      <c r="G4212">
        <v>3353</v>
      </c>
    </row>
    <row r="4213" spans="1:7" x14ac:dyDescent="0.3">
      <c r="A4213" s="80">
        <v>45709</v>
      </c>
      <c r="B4213">
        <v>3010200</v>
      </c>
      <c r="C4213">
        <v>5000</v>
      </c>
      <c r="E4213" s="80">
        <v>45690</v>
      </c>
      <c r="F4213">
        <v>3010111</v>
      </c>
      <c r="G4213">
        <v>1672</v>
      </c>
    </row>
    <row r="4214" spans="1:7" x14ac:dyDescent="0.3">
      <c r="A4214" s="80">
        <v>45709</v>
      </c>
      <c r="B4214">
        <v>3010200</v>
      </c>
      <c r="C4214">
        <v>5000</v>
      </c>
      <c r="E4214" s="80">
        <v>45690</v>
      </c>
      <c r="F4214">
        <v>3010111</v>
      </c>
      <c r="G4214">
        <v>3017</v>
      </c>
    </row>
    <row r="4215" spans="1:7" x14ac:dyDescent="0.3">
      <c r="A4215" s="80">
        <v>45709</v>
      </c>
      <c r="B4215">
        <v>3010200</v>
      </c>
      <c r="C4215">
        <v>5000</v>
      </c>
      <c r="E4215" s="80">
        <v>45690</v>
      </c>
      <c r="F4215">
        <v>3010111</v>
      </c>
      <c r="G4215">
        <v>1672</v>
      </c>
    </row>
    <row r="4216" spans="1:7" x14ac:dyDescent="0.3">
      <c r="A4216" s="80">
        <v>45709</v>
      </c>
      <c r="B4216">
        <v>3010200</v>
      </c>
      <c r="C4216">
        <v>5000</v>
      </c>
      <c r="E4216" s="80">
        <v>45690</v>
      </c>
      <c r="F4216">
        <v>3010111</v>
      </c>
      <c r="G4216">
        <v>1672</v>
      </c>
    </row>
    <row r="4217" spans="1:7" x14ac:dyDescent="0.3">
      <c r="A4217" s="80">
        <v>45709</v>
      </c>
      <c r="B4217">
        <v>3010200</v>
      </c>
      <c r="C4217">
        <v>5000</v>
      </c>
      <c r="E4217" s="80">
        <v>45690</v>
      </c>
      <c r="F4217">
        <v>3010111</v>
      </c>
      <c r="G4217">
        <v>0</v>
      </c>
    </row>
    <row r="4218" spans="1:7" x14ac:dyDescent="0.3">
      <c r="A4218" s="80">
        <v>45708</v>
      </c>
      <c r="B4218">
        <v>3010200</v>
      </c>
      <c r="C4218">
        <v>5000</v>
      </c>
      <c r="E4218" s="80">
        <v>45690</v>
      </c>
      <c r="F4218">
        <v>3010111</v>
      </c>
      <c r="G4218">
        <v>1672</v>
      </c>
    </row>
    <row r="4219" spans="1:7" x14ac:dyDescent="0.3">
      <c r="A4219" s="80">
        <v>45708</v>
      </c>
      <c r="B4219">
        <v>3010200</v>
      </c>
      <c r="C4219">
        <v>5000</v>
      </c>
      <c r="E4219" s="80">
        <v>45690</v>
      </c>
      <c r="F4219">
        <v>3010111</v>
      </c>
      <c r="G4219">
        <v>3185</v>
      </c>
    </row>
    <row r="4220" spans="1:7" x14ac:dyDescent="0.3">
      <c r="A4220" s="80">
        <v>45708</v>
      </c>
      <c r="B4220">
        <v>3010200</v>
      </c>
      <c r="C4220">
        <v>5000</v>
      </c>
      <c r="E4220" s="80">
        <v>45690</v>
      </c>
      <c r="F4220">
        <v>3010111</v>
      </c>
      <c r="G4220">
        <v>3605</v>
      </c>
    </row>
    <row r="4221" spans="1:7" x14ac:dyDescent="0.3">
      <c r="A4221" s="80">
        <v>45708</v>
      </c>
      <c r="B4221">
        <v>3010200</v>
      </c>
      <c r="C4221">
        <v>8769</v>
      </c>
      <c r="E4221" s="80">
        <v>45690</v>
      </c>
      <c r="F4221">
        <v>3010111</v>
      </c>
      <c r="G4221">
        <v>1672</v>
      </c>
    </row>
    <row r="4222" spans="1:7" x14ac:dyDescent="0.3">
      <c r="A4222" s="80">
        <v>45708</v>
      </c>
      <c r="B4222">
        <v>3010200</v>
      </c>
      <c r="C4222">
        <v>5000</v>
      </c>
      <c r="E4222" s="80">
        <v>45690</v>
      </c>
      <c r="F4222">
        <v>3010111</v>
      </c>
      <c r="G4222">
        <v>4613</v>
      </c>
    </row>
    <row r="4223" spans="1:7" x14ac:dyDescent="0.3">
      <c r="A4223" s="80">
        <v>45708</v>
      </c>
      <c r="B4223">
        <v>3010200</v>
      </c>
      <c r="C4223">
        <v>8769</v>
      </c>
      <c r="E4223" s="80">
        <v>45690</v>
      </c>
      <c r="F4223">
        <v>3010111</v>
      </c>
      <c r="G4223">
        <v>0</v>
      </c>
    </row>
    <row r="4224" spans="1:7" x14ac:dyDescent="0.3">
      <c r="A4224" s="80">
        <v>45708</v>
      </c>
      <c r="B4224">
        <v>3010200</v>
      </c>
      <c r="C4224">
        <v>5000</v>
      </c>
      <c r="E4224" s="80">
        <v>45690</v>
      </c>
      <c r="F4224">
        <v>3010111</v>
      </c>
      <c r="G4224">
        <v>0</v>
      </c>
    </row>
    <row r="4225" spans="1:7" x14ac:dyDescent="0.3">
      <c r="A4225" s="80">
        <v>45707</v>
      </c>
      <c r="B4225">
        <v>3010200</v>
      </c>
      <c r="C4225">
        <v>8769</v>
      </c>
      <c r="E4225" s="80">
        <v>45690</v>
      </c>
      <c r="F4225">
        <v>3010111</v>
      </c>
      <c r="G4225">
        <v>0</v>
      </c>
    </row>
    <row r="4226" spans="1:7" x14ac:dyDescent="0.3">
      <c r="A4226" s="80">
        <v>45705</v>
      </c>
      <c r="B4226">
        <v>3010200</v>
      </c>
      <c r="C4226">
        <v>8769</v>
      </c>
      <c r="E4226" s="80">
        <v>45690</v>
      </c>
      <c r="F4226">
        <v>3010111</v>
      </c>
      <c r="G4226">
        <v>0</v>
      </c>
    </row>
    <row r="4227" spans="1:7" x14ac:dyDescent="0.3">
      <c r="A4227" s="80">
        <v>45705</v>
      </c>
      <c r="B4227">
        <v>3010200</v>
      </c>
      <c r="C4227">
        <v>5000</v>
      </c>
      <c r="E4227" s="80">
        <v>45690</v>
      </c>
      <c r="F4227">
        <v>3010111</v>
      </c>
      <c r="G4227">
        <v>0</v>
      </c>
    </row>
    <row r="4228" spans="1:7" x14ac:dyDescent="0.3">
      <c r="A4228" s="80">
        <v>45705</v>
      </c>
      <c r="B4228">
        <v>3010200</v>
      </c>
      <c r="C4228">
        <v>8769</v>
      </c>
      <c r="E4228" s="80">
        <v>45690</v>
      </c>
      <c r="F4228">
        <v>3010111</v>
      </c>
      <c r="G4228">
        <v>0</v>
      </c>
    </row>
    <row r="4229" spans="1:7" x14ac:dyDescent="0.3">
      <c r="A4229" s="80">
        <v>45704</v>
      </c>
      <c r="B4229">
        <v>3010200</v>
      </c>
      <c r="C4229">
        <v>8769</v>
      </c>
      <c r="E4229" s="80">
        <v>45690</v>
      </c>
      <c r="F4229">
        <v>3010111</v>
      </c>
      <c r="G4229">
        <v>0</v>
      </c>
    </row>
    <row r="4230" spans="1:7" x14ac:dyDescent="0.3">
      <c r="A4230" s="80">
        <v>45704</v>
      </c>
      <c r="B4230">
        <v>3010200</v>
      </c>
      <c r="C4230">
        <v>8769</v>
      </c>
      <c r="E4230" s="80">
        <v>45689</v>
      </c>
      <c r="F4230">
        <v>3010111</v>
      </c>
      <c r="G4230">
        <v>0</v>
      </c>
    </row>
    <row r="4231" spans="1:7" x14ac:dyDescent="0.3">
      <c r="A4231" s="80">
        <v>45704</v>
      </c>
      <c r="B4231">
        <v>3010200</v>
      </c>
      <c r="C4231">
        <v>5000</v>
      </c>
      <c r="E4231" s="80">
        <v>45689</v>
      </c>
      <c r="F4231">
        <v>3010111</v>
      </c>
      <c r="G4231">
        <v>3353</v>
      </c>
    </row>
    <row r="4232" spans="1:7" x14ac:dyDescent="0.3">
      <c r="A4232" s="80">
        <v>45703</v>
      </c>
      <c r="B4232">
        <v>3010200</v>
      </c>
      <c r="C4232">
        <v>8769</v>
      </c>
      <c r="E4232" s="80">
        <v>45689</v>
      </c>
      <c r="F4232">
        <v>3010111</v>
      </c>
      <c r="G4232">
        <v>0</v>
      </c>
    </row>
    <row r="4233" spans="1:7" x14ac:dyDescent="0.3">
      <c r="A4233" s="80">
        <v>45703</v>
      </c>
      <c r="B4233">
        <v>3010200</v>
      </c>
      <c r="C4233">
        <v>5000</v>
      </c>
      <c r="E4233" s="80">
        <v>45689</v>
      </c>
      <c r="F4233">
        <v>3010111</v>
      </c>
      <c r="G4233">
        <v>1672</v>
      </c>
    </row>
    <row r="4234" spans="1:7" x14ac:dyDescent="0.3">
      <c r="A4234" s="80">
        <v>45703</v>
      </c>
      <c r="B4234">
        <v>3010200</v>
      </c>
      <c r="C4234">
        <v>5000</v>
      </c>
      <c r="E4234" s="80">
        <v>45689</v>
      </c>
      <c r="F4234">
        <v>3010111</v>
      </c>
      <c r="G4234">
        <v>1672</v>
      </c>
    </row>
    <row r="4235" spans="1:7" x14ac:dyDescent="0.3">
      <c r="A4235" s="80">
        <v>45703</v>
      </c>
      <c r="B4235">
        <v>3010200</v>
      </c>
      <c r="C4235">
        <v>5000</v>
      </c>
      <c r="E4235" s="80">
        <v>45689</v>
      </c>
      <c r="F4235">
        <v>3010111</v>
      </c>
      <c r="G4235">
        <v>1672</v>
      </c>
    </row>
    <row r="4236" spans="1:7" x14ac:dyDescent="0.3">
      <c r="A4236" s="80">
        <v>45702</v>
      </c>
      <c r="B4236">
        <v>3010200</v>
      </c>
      <c r="C4236">
        <v>5000</v>
      </c>
      <c r="E4236" s="80">
        <v>45688</v>
      </c>
      <c r="F4236">
        <v>3010111</v>
      </c>
      <c r="G4236">
        <v>0</v>
      </c>
    </row>
    <row r="4237" spans="1:7" x14ac:dyDescent="0.3">
      <c r="A4237" s="80">
        <v>45702</v>
      </c>
      <c r="B4237">
        <v>3010200</v>
      </c>
      <c r="C4237">
        <v>8769</v>
      </c>
      <c r="E4237" s="80">
        <v>45688</v>
      </c>
      <c r="F4237">
        <v>3010111</v>
      </c>
      <c r="G4237">
        <v>1672</v>
      </c>
    </row>
    <row r="4238" spans="1:7" x14ac:dyDescent="0.3">
      <c r="A4238" s="80">
        <v>45701</v>
      </c>
      <c r="B4238">
        <v>3010200</v>
      </c>
      <c r="C4238">
        <v>8769</v>
      </c>
      <c r="E4238" s="80">
        <v>45688</v>
      </c>
      <c r="F4238">
        <v>3010111</v>
      </c>
      <c r="G4238">
        <v>3799</v>
      </c>
    </row>
    <row r="4239" spans="1:7" x14ac:dyDescent="0.3">
      <c r="A4239" s="80">
        <v>45701</v>
      </c>
      <c r="B4239">
        <v>3010200</v>
      </c>
      <c r="C4239">
        <v>8769</v>
      </c>
      <c r="E4239" s="80">
        <v>45688</v>
      </c>
      <c r="F4239">
        <v>3010111</v>
      </c>
      <c r="G4239">
        <v>0</v>
      </c>
    </row>
    <row r="4240" spans="1:7" x14ac:dyDescent="0.3">
      <c r="A4240" s="80">
        <v>45701</v>
      </c>
      <c r="B4240">
        <v>3010200</v>
      </c>
      <c r="C4240">
        <v>8769</v>
      </c>
      <c r="E4240" s="80">
        <v>45688</v>
      </c>
      <c r="F4240">
        <v>3010111</v>
      </c>
      <c r="G4240">
        <v>0</v>
      </c>
    </row>
    <row r="4241" spans="1:7" x14ac:dyDescent="0.3">
      <c r="A4241" s="80">
        <v>45699</v>
      </c>
      <c r="B4241">
        <v>3010200</v>
      </c>
      <c r="C4241">
        <v>5000</v>
      </c>
      <c r="E4241" s="80">
        <v>45688</v>
      </c>
      <c r="F4241">
        <v>3010111</v>
      </c>
      <c r="G4241">
        <v>1672</v>
      </c>
    </row>
    <row r="4242" spans="1:7" x14ac:dyDescent="0.3">
      <c r="A4242" s="80">
        <v>45699</v>
      </c>
      <c r="B4242">
        <v>3010200</v>
      </c>
      <c r="C4242">
        <v>8769</v>
      </c>
      <c r="E4242" s="80">
        <v>45687</v>
      </c>
      <c r="F4242">
        <v>3010111</v>
      </c>
      <c r="G4242">
        <v>1672</v>
      </c>
    </row>
    <row r="4243" spans="1:7" x14ac:dyDescent="0.3">
      <c r="A4243" s="80">
        <v>45699</v>
      </c>
      <c r="B4243">
        <v>3010200</v>
      </c>
      <c r="C4243">
        <v>8769</v>
      </c>
      <c r="E4243" s="80">
        <v>45687</v>
      </c>
      <c r="F4243">
        <v>3010111</v>
      </c>
      <c r="G4243">
        <v>3017</v>
      </c>
    </row>
    <row r="4244" spans="1:7" x14ac:dyDescent="0.3">
      <c r="A4244" s="80">
        <v>45699</v>
      </c>
      <c r="B4244">
        <v>3010200</v>
      </c>
      <c r="C4244">
        <v>2630</v>
      </c>
      <c r="E4244" s="80">
        <v>45687</v>
      </c>
      <c r="F4244">
        <v>3010111</v>
      </c>
      <c r="G4244">
        <v>1672</v>
      </c>
    </row>
    <row r="4245" spans="1:7" x14ac:dyDescent="0.3">
      <c r="A4245" s="80">
        <v>45698</v>
      </c>
      <c r="B4245">
        <v>3010200</v>
      </c>
      <c r="C4245">
        <v>8769</v>
      </c>
      <c r="E4245" s="80">
        <v>45687</v>
      </c>
      <c r="F4245">
        <v>3010111</v>
      </c>
      <c r="G4245">
        <v>1672</v>
      </c>
    </row>
    <row r="4246" spans="1:7" x14ac:dyDescent="0.3">
      <c r="A4246" s="80">
        <v>45698</v>
      </c>
      <c r="B4246">
        <v>3010200</v>
      </c>
      <c r="C4246">
        <v>6400</v>
      </c>
      <c r="E4246" s="80">
        <v>45687</v>
      </c>
      <c r="F4246">
        <v>3010111</v>
      </c>
      <c r="G4246">
        <v>2176</v>
      </c>
    </row>
    <row r="4247" spans="1:7" x14ac:dyDescent="0.3">
      <c r="A4247" s="80">
        <v>45698</v>
      </c>
      <c r="B4247">
        <v>3010200</v>
      </c>
      <c r="C4247">
        <v>8769</v>
      </c>
      <c r="E4247" s="80">
        <v>45687</v>
      </c>
      <c r="F4247">
        <v>3010111</v>
      </c>
      <c r="G4247">
        <v>1672</v>
      </c>
    </row>
    <row r="4248" spans="1:7" x14ac:dyDescent="0.3">
      <c r="A4248" s="80">
        <v>45698</v>
      </c>
      <c r="B4248">
        <v>3010200</v>
      </c>
      <c r="C4248">
        <v>8769</v>
      </c>
      <c r="E4248" s="80">
        <v>45687</v>
      </c>
      <c r="F4248">
        <v>3010111</v>
      </c>
      <c r="G4248">
        <v>0</v>
      </c>
    </row>
    <row r="4249" spans="1:7" x14ac:dyDescent="0.3">
      <c r="A4249" s="80">
        <v>45698</v>
      </c>
      <c r="B4249">
        <v>3010200</v>
      </c>
      <c r="C4249">
        <v>8769</v>
      </c>
      <c r="E4249" s="80">
        <v>45687</v>
      </c>
      <c r="F4249">
        <v>3010111</v>
      </c>
      <c r="G4249">
        <v>0</v>
      </c>
    </row>
    <row r="4250" spans="1:7" x14ac:dyDescent="0.3">
      <c r="A4250" s="80">
        <v>45698</v>
      </c>
      <c r="B4250">
        <v>3010200</v>
      </c>
      <c r="C4250">
        <v>6400</v>
      </c>
      <c r="E4250" s="80">
        <v>45687</v>
      </c>
      <c r="F4250">
        <v>3010111</v>
      </c>
      <c r="G4250">
        <v>0</v>
      </c>
    </row>
    <row r="4251" spans="1:7" x14ac:dyDescent="0.3">
      <c r="A4251" s="80">
        <v>45697</v>
      </c>
      <c r="B4251">
        <v>3010200</v>
      </c>
      <c r="C4251">
        <v>8769</v>
      </c>
      <c r="E4251" s="80">
        <v>45687</v>
      </c>
      <c r="F4251">
        <v>3010111</v>
      </c>
      <c r="G4251">
        <v>0</v>
      </c>
    </row>
    <row r="4252" spans="1:7" x14ac:dyDescent="0.3">
      <c r="A4252" s="80">
        <v>45697</v>
      </c>
      <c r="B4252">
        <v>3010200</v>
      </c>
      <c r="C4252">
        <v>5000</v>
      </c>
      <c r="E4252" s="80">
        <v>45687</v>
      </c>
      <c r="F4252">
        <v>3010111</v>
      </c>
      <c r="G4252">
        <v>3185</v>
      </c>
    </row>
    <row r="4253" spans="1:7" x14ac:dyDescent="0.3">
      <c r="A4253" s="80">
        <v>45696</v>
      </c>
      <c r="B4253">
        <v>3010200</v>
      </c>
      <c r="C4253">
        <v>6400</v>
      </c>
      <c r="E4253" s="80">
        <v>45687</v>
      </c>
      <c r="F4253">
        <v>3010111</v>
      </c>
      <c r="G4253">
        <v>1672</v>
      </c>
    </row>
    <row r="4254" spans="1:7" x14ac:dyDescent="0.3">
      <c r="A4254" s="80">
        <v>45696</v>
      </c>
      <c r="B4254">
        <v>3010200</v>
      </c>
      <c r="C4254">
        <v>5000</v>
      </c>
      <c r="E4254" s="80">
        <v>45687</v>
      </c>
      <c r="F4254">
        <v>3010111</v>
      </c>
      <c r="G4254">
        <v>1672</v>
      </c>
    </row>
    <row r="4255" spans="1:7" x14ac:dyDescent="0.3">
      <c r="A4255" s="80">
        <v>45696</v>
      </c>
      <c r="B4255">
        <v>3010200</v>
      </c>
      <c r="C4255">
        <v>5000</v>
      </c>
      <c r="E4255" s="80">
        <v>45687</v>
      </c>
      <c r="F4255">
        <v>3010111</v>
      </c>
      <c r="G4255">
        <v>1672</v>
      </c>
    </row>
    <row r="4256" spans="1:7" x14ac:dyDescent="0.3">
      <c r="A4256" s="80">
        <v>45696</v>
      </c>
      <c r="B4256">
        <v>3010200</v>
      </c>
      <c r="C4256">
        <v>8769</v>
      </c>
      <c r="E4256" s="80">
        <v>45687</v>
      </c>
      <c r="F4256">
        <v>3010111</v>
      </c>
      <c r="G4256">
        <v>0</v>
      </c>
    </row>
    <row r="4257" spans="1:7" x14ac:dyDescent="0.3">
      <c r="A4257" s="80">
        <v>45696</v>
      </c>
      <c r="B4257">
        <v>3010200</v>
      </c>
      <c r="C4257">
        <v>5000</v>
      </c>
      <c r="E4257" s="80">
        <v>45687</v>
      </c>
      <c r="F4257">
        <v>3010111</v>
      </c>
      <c r="G4257">
        <v>1672</v>
      </c>
    </row>
    <row r="4258" spans="1:7" x14ac:dyDescent="0.3">
      <c r="A4258" s="80">
        <v>45695</v>
      </c>
      <c r="B4258">
        <v>3010200</v>
      </c>
      <c r="C4258">
        <v>5000</v>
      </c>
      <c r="E4258" s="80">
        <v>45687</v>
      </c>
      <c r="F4258">
        <v>3010111</v>
      </c>
      <c r="G4258">
        <v>0</v>
      </c>
    </row>
    <row r="4259" spans="1:7" x14ac:dyDescent="0.3">
      <c r="A4259" s="80">
        <v>45695</v>
      </c>
      <c r="B4259">
        <v>3010200</v>
      </c>
      <c r="C4259">
        <v>5000</v>
      </c>
      <c r="E4259" s="80">
        <v>45686</v>
      </c>
      <c r="F4259">
        <v>3010111</v>
      </c>
      <c r="G4259">
        <v>0</v>
      </c>
    </row>
    <row r="4260" spans="1:7" x14ac:dyDescent="0.3">
      <c r="A4260" s="80">
        <v>45695</v>
      </c>
      <c r="B4260">
        <v>3010200</v>
      </c>
      <c r="C4260">
        <v>5000</v>
      </c>
      <c r="E4260" s="80">
        <v>45686</v>
      </c>
      <c r="F4260">
        <v>3010111</v>
      </c>
      <c r="G4260">
        <v>1672</v>
      </c>
    </row>
    <row r="4261" spans="1:7" x14ac:dyDescent="0.3">
      <c r="A4261" s="80">
        <v>45695</v>
      </c>
      <c r="B4261">
        <v>3010200</v>
      </c>
      <c r="C4261">
        <v>5000</v>
      </c>
      <c r="E4261" s="80">
        <v>45686</v>
      </c>
      <c r="F4261">
        <v>3010111</v>
      </c>
      <c r="G4261">
        <v>3353</v>
      </c>
    </row>
    <row r="4262" spans="1:7" x14ac:dyDescent="0.3">
      <c r="A4262" s="80">
        <v>45695</v>
      </c>
      <c r="B4262">
        <v>3010200</v>
      </c>
      <c r="C4262">
        <v>5000</v>
      </c>
      <c r="E4262" s="80">
        <v>45686</v>
      </c>
      <c r="F4262">
        <v>3010111</v>
      </c>
      <c r="G4262">
        <v>1672</v>
      </c>
    </row>
    <row r="4263" spans="1:7" x14ac:dyDescent="0.3">
      <c r="A4263" s="80">
        <v>45695</v>
      </c>
      <c r="B4263">
        <v>3010200</v>
      </c>
      <c r="C4263">
        <v>5000</v>
      </c>
      <c r="E4263" s="80">
        <v>45686</v>
      </c>
      <c r="F4263">
        <v>3010111</v>
      </c>
      <c r="G4263">
        <v>3689</v>
      </c>
    </row>
    <row r="4264" spans="1:7" x14ac:dyDescent="0.3">
      <c r="A4264" s="80">
        <v>45694</v>
      </c>
      <c r="B4264">
        <v>3010200</v>
      </c>
      <c r="C4264">
        <v>5000</v>
      </c>
      <c r="E4264" s="80">
        <v>45686</v>
      </c>
      <c r="F4264">
        <v>3010111</v>
      </c>
      <c r="G4264">
        <v>3017</v>
      </c>
    </row>
    <row r="4265" spans="1:7" x14ac:dyDescent="0.3">
      <c r="A4265" s="80">
        <v>45694</v>
      </c>
      <c r="B4265">
        <v>3010200</v>
      </c>
      <c r="C4265">
        <v>5000</v>
      </c>
      <c r="E4265" s="80">
        <v>45686</v>
      </c>
      <c r="F4265">
        <v>3010111</v>
      </c>
      <c r="G4265">
        <v>0</v>
      </c>
    </row>
    <row r="4266" spans="1:7" x14ac:dyDescent="0.3">
      <c r="A4266" s="80">
        <v>45694</v>
      </c>
      <c r="B4266">
        <v>3010200</v>
      </c>
      <c r="C4266">
        <v>5000</v>
      </c>
      <c r="E4266" s="80">
        <v>45686</v>
      </c>
      <c r="F4266">
        <v>3010111</v>
      </c>
      <c r="G4266">
        <v>1672</v>
      </c>
    </row>
    <row r="4267" spans="1:7" x14ac:dyDescent="0.3">
      <c r="A4267" s="80">
        <v>45694</v>
      </c>
      <c r="B4267">
        <v>3010200</v>
      </c>
      <c r="C4267">
        <v>8769</v>
      </c>
      <c r="E4267" s="80">
        <v>45686</v>
      </c>
      <c r="F4267">
        <v>3010111</v>
      </c>
      <c r="G4267">
        <v>4445</v>
      </c>
    </row>
    <row r="4268" spans="1:7" x14ac:dyDescent="0.3">
      <c r="A4268" s="80">
        <v>45694</v>
      </c>
      <c r="B4268">
        <v>3010200</v>
      </c>
      <c r="C4268">
        <v>5000</v>
      </c>
      <c r="E4268" s="80">
        <v>45686</v>
      </c>
      <c r="F4268">
        <v>3010111</v>
      </c>
      <c r="G4268">
        <v>4025</v>
      </c>
    </row>
    <row r="4269" spans="1:7" x14ac:dyDescent="0.3">
      <c r="A4269" s="80">
        <v>45694</v>
      </c>
      <c r="B4269">
        <v>3010200</v>
      </c>
      <c r="C4269">
        <v>500</v>
      </c>
      <c r="E4269" s="80">
        <v>45686</v>
      </c>
      <c r="F4269">
        <v>3010111</v>
      </c>
      <c r="G4269">
        <v>1672</v>
      </c>
    </row>
    <row r="4270" spans="1:7" x14ac:dyDescent="0.3">
      <c r="A4270" s="80">
        <v>45694</v>
      </c>
      <c r="B4270">
        <v>3010200</v>
      </c>
      <c r="C4270">
        <v>5000</v>
      </c>
      <c r="E4270" s="80">
        <v>45686</v>
      </c>
      <c r="F4270">
        <v>3010111</v>
      </c>
      <c r="G4270">
        <v>1672</v>
      </c>
    </row>
    <row r="4271" spans="1:7" x14ac:dyDescent="0.3">
      <c r="A4271" s="80">
        <v>45694</v>
      </c>
      <c r="B4271">
        <v>3010200</v>
      </c>
      <c r="C4271">
        <v>17538</v>
      </c>
      <c r="E4271" s="80">
        <v>45685</v>
      </c>
      <c r="F4271">
        <v>3010111</v>
      </c>
      <c r="G4271">
        <v>0</v>
      </c>
    </row>
    <row r="4272" spans="1:7" x14ac:dyDescent="0.3">
      <c r="A4272" s="80">
        <v>45694</v>
      </c>
      <c r="B4272">
        <v>3010200</v>
      </c>
      <c r="C4272">
        <v>5000</v>
      </c>
      <c r="E4272" s="80">
        <v>45685</v>
      </c>
      <c r="F4272">
        <v>3010111</v>
      </c>
      <c r="G4272">
        <v>1672</v>
      </c>
    </row>
    <row r="4273" spans="1:7" x14ac:dyDescent="0.3">
      <c r="A4273" s="80">
        <v>45694</v>
      </c>
      <c r="B4273">
        <v>3010200</v>
      </c>
      <c r="C4273">
        <v>5000</v>
      </c>
      <c r="E4273" s="80">
        <v>45685</v>
      </c>
      <c r="F4273">
        <v>3010111</v>
      </c>
      <c r="G4273">
        <v>1672</v>
      </c>
    </row>
    <row r="4274" spans="1:7" x14ac:dyDescent="0.3">
      <c r="A4274" s="80">
        <v>45694</v>
      </c>
      <c r="B4274">
        <v>3010200</v>
      </c>
      <c r="C4274">
        <v>5000</v>
      </c>
      <c r="E4274" s="80">
        <v>45685</v>
      </c>
      <c r="F4274">
        <v>3010111</v>
      </c>
      <c r="G4274">
        <v>3185</v>
      </c>
    </row>
    <row r="4275" spans="1:7" x14ac:dyDescent="0.3">
      <c r="A4275" s="80">
        <v>45693</v>
      </c>
      <c r="B4275">
        <v>3010200</v>
      </c>
      <c r="C4275">
        <v>5000</v>
      </c>
      <c r="E4275" s="80">
        <v>45685</v>
      </c>
      <c r="F4275">
        <v>3010111</v>
      </c>
      <c r="G4275">
        <v>1672</v>
      </c>
    </row>
    <row r="4276" spans="1:7" x14ac:dyDescent="0.3">
      <c r="A4276" s="80">
        <v>45693</v>
      </c>
      <c r="B4276">
        <v>3010200</v>
      </c>
      <c r="C4276">
        <v>5000</v>
      </c>
      <c r="E4276" s="80">
        <v>45685</v>
      </c>
      <c r="F4276">
        <v>3010111</v>
      </c>
      <c r="G4276">
        <v>1672</v>
      </c>
    </row>
    <row r="4277" spans="1:7" x14ac:dyDescent="0.3">
      <c r="A4277" s="80">
        <v>45693</v>
      </c>
      <c r="B4277">
        <v>3010200</v>
      </c>
      <c r="C4277">
        <v>5000</v>
      </c>
      <c r="E4277" s="80">
        <v>45685</v>
      </c>
      <c r="F4277">
        <v>3010111</v>
      </c>
      <c r="G4277">
        <v>3353</v>
      </c>
    </row>
    <row r="4278" spans="1:7" x14ac:dyDescent="0.3">
      <c r="A4278" s="80">
        <v>45693</v>
      </c>
      <c r="B4278">
        <v>3010200</v>
      </c>
      <c r="C4278">
        <v>8769</v>
      </c>
      <c r="E4278" s="80">
        <v>45685</v>
      </c>
      <c r="F4278">
        <v>3010111</v>
      </c>
      <c r="G4278">
        <v>1672</v>
      </c>
    </row>
    <row r="4279" spans="1:7" x14ac:dyDescent="0.3">
      <c r="A4279" s="80">
        <v>45693</v>
      </c>
      <c r="B4279">
        <v>3010200</v>
      </c>
      <c r="C4279">
        <v>8769</v>
      </c>
      <c r="E4279" s="80">
        <v>45684</v>
      </c>
      <c r="F4279">
        <v>3010111</v>
      </c>
      <c r="G4279">
        <v>1672</v>
      </c>
    </row>
    <row r="4280" spans="1:7" x14ac:dyDescent="0.3">
      <c r="A4280" s="80">
        <v>45693</v>
      </c>
      <c r="B4280">
        <v>3010200</v>
      </c>
      <c r="C4280">
        <v>8769</v>
      </c>
      <c r="E4280" s="80">
        <v>45684</v>
      </c>
      <c r="F4280">
        <v>3010111</v>
      </c>
      <c r="G4280">
        <v>1672</v>
      </c>
    </row>
    <row r="4281" spans="1:7" x14ac:dyDescent="0.3">
      <c r="A4281" s="80">
        <v>45693</v>
      </c>
      <c r="B4281">
        <v>3010200</v>
      </c>
      <c r="C4281">
        <v>5000</v>
      </c>
      <c r="E4281" s="80">
        <v>45684</v>
      </c>
      <c r="F4281">
        <v>3010111</v>
      </c>
      <c r="G4281">
        <v>0</v>
      </c>
    </row>
    <row r="4282" spans="1:7" x14ac:dyDescent="0.3">
      <c r="A4282" s="80">
        <v>45693</v>
      </c>
      <c r="B4282">
        <v>3010200</v>
      </c>
      <c r="C4282">
        <v>5000</v>
      </c>
      <c r="E4282" s="80">
        <v>45684</v>
      </c>
      <c r="F4282">
        <v>3010111</v>
      </c>
      <c r="G4282">
        <v>1672</v>
      </c>
    </row>
    <row r="4283" spans="1:7" x14ac:dyDescent="0.3">
      <c r="A4283" s="80">
        <v>45693</v>
      </c>
      <c r="B4283">
        <v>3010200</v>
      </c>
      <c r="C4283">
        <v>5000</v>
      </c>
      <c r="E4283" s="80">
        <v>45684</v>
      </c>
      <c r="F4283">
        <v>3010111</v>
      </c>
      <c r="G4283">
        <v>3521</v>
      </c>
    </row>
    <row r="4284" spans="1:7" x14ac:dyDescent="0.3">
      <c r="A4284" s="80">
        <v>45693</v>
      </c>
      <c r="B4284">
        <v>3010200</v>
      </c>
      <c r="C4284">
        <v>5000</v>
      </c>
      <c r="E4284" s="80">
        <v>45684</v>
      </c>
      <c r="F4284">
        <v>3010111</v>
      </c>
      <c r="G4284">
        <v>3521</v>
      </c>
    </row>
    <row r="4285" spans="1:7" x14ac:dyDescent="0.3">
      <c r="A4285" s="80">
        <v>45693</v>
      </c>
      <c r="B4285">
        <v>3010200</v>
      </c>
      <c r="C4285">
        <v>8769</v>
      </c>
      <c r="E4285" s="80">
        <v>45684</v>
      </c>
      <c r="F4285">
        <v>3010111</v>
      </c>
      <c r="G4285">
        <v>0</v>
      </c>
    </row>
    <row r="4286" spans="1:7" x14ac:dyDescent="0.3">
      <c r="A4286" s="80">
        <v>45692</v>
      </c>
      <c r="B4286">
        <v>3010200</v>
      </c>
      <c r="C4286">
        <v>8769</v>
      </c>
      <c r="E4286" s="80">
        <v>45684</v>
      </c>
      <c r="F4286">
        <v>3010111</v>
      </c>
      <c r="G4286">
        <v>0</v>
      </c>
    </row>
    <row r="4287" spans="1:7" x14ac:dyDescent="0.3">
      <c r="A4287" s="80">
        <v>45692</v>
      </c>
      <c r="B4287">
        <v>3010200</v>
      </c>
      <c r="C4287">
        <v>8769</v>
      </c>
      <c r="E4287" s="80">
        <v>45683</v>
      </c>
      <c r="F4287">
        <v>3010111</v>
      </c>
      <c r="G4287">
        <v>3017</v>
      </c>
    </row>
    <row r="4288" spans="1:7" x14ac:dyDescent="0.3">
      <c r="A4288" s="80">
        <v>45692</v>
      </c>
      <c r="B4288">
        <v>3010200</v>
      </c>
      <c r="C4288">
        <v>8769</v>
      </c>
      <c r="E4288" s="80">
        <v>45683</v>
      </c>
      <c r="F4288">
        <v>3010111</v>
      </c>
      <c r="G4288">
        <v>3185</v>
      </c>
    </row>
    <row r="4289" spans="1:7" x14ac:dyDescent="0.3">
      <c r="A4289" s="80">
        <v>45692</v>
      </c>
      <c r="B4289">
        <v>3010200</v>
      </c>
      <c r="C4289">
        <v>5000</v>
      </c>
      <c r="E4289" s="80">
        <v>45683</v>
      </c>
      <c r="F4289">
        <v>3010111</v>
      </c>
      <c r="G4289">
        <v>1672</v>
      </c>
    </row>
    <row r="4290" spans="1:7" x14ac:dyDescent="0.3">
      <c r="A4290" s="80">
        <v>45692</v>
      </c>
      <c r="B4290">
        <v>3010200</v>
      </c>
      <c r="C4290">
        <v>5000</v>
      </c>
      <c r="E4290" s="80">
        <v>45683</v>
      </c>
      <c r="F4290">
        <v>3010111</v>
      </c>
      <c r="G4290">
        <v>0</v>
      </c>
    </row>
    <row r="4291" spans="1:7" x14ac:dyDescent="0.3">
      <c r="A4291" s="80">
        <v>45692</v>
      </c>
      <c r="B4291">
        <v>3010200</v>
      </c>
      <c r="C4291">
        <v>5000</v>
      </c>
      <c r="E4291" s="80">
        <v>45683</v>
      </c>
      <c r="F4291">
        <v>3010111</v>
      </c>
      <c r="G4291">
        <v>3017</v>
      </c>
    </row>
    <row r="4292" spans="1:7" x14ac:dyDescent="0.3">
      <c r="A4292" s="80">
        <v>45692</v>
      </c>
      <c r="B4292">
        <v>3010200</v>
      </c>
      <c r="C4292">
        <v>5000</v>
      </c>
      <c r="E4292" s="80">
        <v>45683</v>
      </c>
      <c r="F4292">
        <v>3010111</v>
      </c>
      <c r="G4292">
        <v>1672</v>
      </c>
    </row>
    <row r="4293" spans="1:7" x14ac:dyDescent="0.3">
      <c r="A4293" s="80">
        <v>45692</v>
      </c>
      <c r="B4293">
        <v>3010200</v>
      </c>
      <c r="C4293">
        <v>5000</v>
      </c>
      <c r="E4293" s="80">
        <v>45683</v>
      </c>
      <c r="F4293">
        <v>3010111</v>
      </c>
      <c r="G4293">
        <v>1672</v>
      </c>
    </row>
    <row r="4294" spans="1:7" x14ac:dyDescent="0.3">
      <c r="A4294" s="80">
        <v>45691</v>
      </c>
      <c r="B4294">
        <v>3010200</v>
      </c>
      <c r="C4294">
        <v>8769</v>
      </c>
      <c r="E4294" s="80">
        <v>45683</v>
      </c>
      <c r="F4294">
        <v>3010111</v>
      </c>
      <c r="G4294">
        <v>1672</v>
      </c>
    </row>
    <row r="4295" spans="1:7" x14ac:dyDescent="0.3">
      <c r="A4295" s="80">
        <v>45691</v>
      </c>
      <c r="B4295">
        <v>3010200</v>
      </c>
      <c r="C4295">
        <v>5000</v>
      </c>
      <c r="E4295" s="80">
        <v>45682</v>
      </c>
      <c r="F4295">
        <v>3010111</v>
      </c>
      <c r="G4295">
        <v>2933</v>
      </c>
    </row>
    <row r="4296" spans="1:7" x14ac:dyDescent="0.3">
      <c r="A4296" s="80">
        <v>45691</v>
      </c>
      <c r="B4296">
        <v>3010200</v>
      </c>
      <c r="C4296">
        <v>8769</v>
      </c>
      <c r="E4296" s="80">
        <v>45682</v>
      </c>
      <c r="F4296">
        <v>3010111</v>
      </c>
      <c r="G4296">
        <v>5034</v>
      </c>
    </row>
    <row r="4297" spans="1:7" x14ac:dyDescent="0.3">
      <c r="A4297" s="80">
        <v>45691</v>
      </c>
      <c r="B4297">
        <v>3010200</v>
      </c>
      <c r="C4297">
        <v>5000</v>
      </c>
      <c r="E4297" s="80">
        <v>45682</v>
      </c>
      <c r="F4297">
        <v>3010111</v>
      </c>
      <c r="G4297">
        <v>0</v>
      </c>
    </row>
    <row r="4298" spans="1:7" x14ac:dyDescent="0.3">
      <c r="A4298" s="80">
        <v>45691</v>
      </c>
      <c r="B4298">
        <v>3010200</v>
      </c>
      <c r="C4298">
        <v>8769</v>
      </c>
      <c r="E4298" s="80">
        <v>45682</v>
      </c>
      <c r="F4298">
        <v>3010111</v>
      </c>
      <c r="G4298">
        <v>3605</v>
      </c>
    </row>
    <row r="4299" spans="1:7" x14ac:dyDescent="0.3">
      <c r="A4299" s="80">
        <v>45691</v>
      </c>
      <c r="B4299">
        <v>3010200</v>
      </c>
      <c r="C4299">
        <v>5000</v>
      </c>
      <c r="E4299" s="80">
        <v>45682</v>
      </c>
      <c r="F4299">
        <v>3010111</v>
      </c>
      <c r="G4299">
        <v>1672</v>
      </c>
    </row>
    <row r="4300" spans="1:7" x14ac:dyDescent="0.3">
      <c r="A4300" s="80">
        <v>45690</v>
      </c>
      <c r="B4300">
        <v>3010200</v>
      </c>
      <c r="C4300">
        <v>5000</v>
      </c>
      <c r="E4300" s="80">
        <v>45682</v>
      </c>
      <c r="F4300">
        <v>3010111</v>
      </c>
      <c r="G4300">
        <v>0</v>
      </c>
    </row>
    <row r="4301" spans="1:7" x14ac:dyDescent="0.3">
      <c r="A4301" s="80">
        <v>45690</v>
      </c>
      <c r="B4301">
        <v>3010200</v>
      </c>
      <c r="C4301">
        <v>5000</v>
      </c>
      <c r="E4301" s="80">
        <v>45682</v>
      </c>
      <c r="F4301">
        <v>3010111</v>
      </c>
      <c r="G4301">
        <v>3689</v>
      </c>
    </row>
    <row r="4302" spans="1:7" x14ac:dyDescent="0.3">
      <c r="A4302" s="80">
        <v>45690</v>
      </c>
      <c r="B4302">
        <v>3010200</v>
      </c>
      <c r="C4302">
        <v>8769</v>
      </c>
      <c r="E4302" s="80">
        <v>45682</v>
      </c>
      <c r="F4302">
        <v>3010111</v>
      </c>
      <c r="G4302">
        <v>3941</v>
      </c>
    </row>
    <row r="4303" spans="1:7" x14ac:dyDescent="0.3">
      <c r="A4303" s="80">
        <v>45690</v>
      </c>
      <c r="B4303">
        <v>3010200</v>
      </c>
      <c r="C4303">
        <v>5000</v>
      </c>
      <c r="E4303" s="80">
        <v>45682</v>
      </c>
      <c r="F4303">
        <v>3010111</v>
      </c>
      <c r="G4303">
        <v>3689</v>
      </c>
    </row>
    <row r="4304" spans="1:7" x14ac:dyDescent="0.3">
      <c r="A4304" s="80">
        <v>45690</v>
      </c>
      <c r="B4304">
        <v>3010200</v>
      </c>
      <c r="C4304">
        <v>5000</v>
      </c>
      <c r="E4304" s="80">
        <v>45682</v>
      </c>
      <c r="F4304">
        <v>3010111</v>
      </c>
      <c r="G4304">
        <v>0</v>
      </c>
    </row>
    <row r="4305" spans="1:7" x14ac:dyDescent="0.3">
      <c r="A4305" s="80">
        <v>45690</v>
      </c>
      <c r="B4305">
        <v>3010200</v>
      </c>
      <c r="C4305">
        <v>5000</v>
      </c>
      <c r="E4305" s="80">
        <v>45682</v>
      </c>
      <c r="F4305">
        <v>3010111</v>
      </c>
      <c r="G4305">
        <v>0</v>
      </c>
    </row>
    <row r="4306" spans="1:7" x14ac:dyDescent="0.3">
      <c r="A4306" s="80">
        <v>45690</v>
      </c>
      <c r="B4306">
        <v>3010200</v>
      </c>
      <c r="C4306">
        <v>5000</v>
      </c>
      <c r="E4306" s="80">
        <v>45682</v>
      </c>
      <c r="F4306">
        <v>3010111</v>
      </c>
      <c r="G4306">
        <v>0</v>
      </c>
    </row>
    <row r="4307" spans="1:7" x14ac:dyDescent="0.3">
      <c r="A4307" s="80">
        <v>45690</v>
      </c>
      <c r="B4307">
        <v>3010200</v>
      </c>
      <c r="C4307">
        <v>5000</v>
      </c>
      <c r="E4307" s="80">
        <v>45682</v>
      </c>
      <c r="F4307">
        <v>3010111</v>
      </c>
      <c r="G4307">
        <v>1672</v>
      </c>
    </row>
    <row r="4308" spans="1:7" x14ac:dyDescent="0.3">
      <c r="A4308" s="80">
        <v>45690</v>
      </c>
      <c r="B4308">
        <v>3010200</v>
      </c>
      <c r="C4308">
        <v>5000</v>
      </c>
      <c r="E4308" s="80">
        <v>45682</v>
      </c>
      <c r="F4308">
        <v>3010111</v>
      </c>
      <c r="G4308">
        <v>3605</v>
      </c>
    </row>
    <row r="4309" spans="1:7" x14ac:dyDescent="0.3">
      <c r="A4309" s="80">
        <v>45690</v>
      </c>
      <c r="B4309">
        <v>3010200</v>
      </c>
      <c r="C4309">
        <v>5000</v>
      </c>
      <c r="E4309" s="80">
        <v>45682</v>
      </c>
      <c r="F4309">
        <v>3010111</v>
      </c>
      <c r="G4309">
        <v>1672</v>
      </c>
    </row>
    <row r="4310" spans="1:7" x14ac:dyDescent="0.3">
      <c r="A4310" s="80">
        <v>45690</v>
      </c>
      <c r="B4310">
        <v>3010200</v>
      </c>
      <c r="C4310">
        <v>5000</v>
      </c>
      <c r="E4310" s="80">
        <v>45681</v>
      </c>
      <c r="F4310">
        <v>3010111</v>
      </c>
      <c r="G4310">
        <v>1672</v>
      </c>
    </row>
    <row r="4311" spans="1:7" x14ac:dyDescent="0.3">
      <c r="A4311" s="80">
        <v>45690</v>
      </c>
      <c r="B4311">
        <v>3010200</v>
      </c>
      <c r="C4311">
        <v>5000</v>
      </c>
      <c r="E4311" s="80">
        <v>45681</v>
      </c>
      <c r="F4311">
        <v>3010111</v>
      </c>
      <c r="G4311">
        <v>0</v>
      </c>
    </row>
    <row r="4312" spans="1:7" x14ac:dyDescent="0.3">
      <c r="A4312" s="80">
        <v>45690</v>
      </c>
      <c r="B4312">
        <v>3010200</v>
      </c>
      <c r="C4312">
        <v>5000</v>
      </c>
      <c r="E4312" s="80">
        <v>45681</v>
      </c>
      <c r="F4312">
        <v>3010111</v>
      </c>
      <c r="G4312">
        <v>3185</v>
      </c>
    </row>
    <row r="4313" spans="1:7" x14ac:dyDescent="0.3">
      <c r="A4313" s="80">
        <v>45690</v>
      </c>
      <c r="B4313">
        <v>3010200</v>
      </c>
      <c r="C4313">
        <v>5000</v>
      </c>
      <c r="E4313" s="80">
        <v>45681</v>
      </c>
      <c r="F4313">
        <v>3010111</v>
      </c>
      <c r="G4313">
        <v>3521</v>
      </c>
    </row>
    <row r="4314" spans="1:7" x14ac:dyDescent="0.3">
      <c r="A4314" s="80">
        <v>45690</v>
      </c>
      <c r="B4314">
        <v>3010200</v>
      </c>
      <c r="C4314">
        <v>5000</v>
      </c>
      <c r="E4314" s="80">
        <v>45681</v>
      </c>
      <c r="F4314">
        <v>3010111</v>
      </c>
      <c r="G4314">
        <v>0</v>
      </c>
    </row>
    <row r="4315" spans="1:7" x14ac:dyDescent="0.3">
      <c r="A4315" s="80">
        <v>45690</v>
      </c>
      <c r="B4315">
        <v>3010200</v>
      </c>
      <c r="C4315">
        <v>8769</v>
      </c>
      <c r="E4315" s="80">
        <v>45681</v>
      </c>
      <c r="F4315">
        <v>3010111</v>
      </c>
      <c r="G4315">
        <v>5034</v>
      </c>
    </row>
    <row r="4316" spans="1:7" x14ac:dyDescent="0.3">
      <c r="A4316" s="80">
        <v>45690</v>
      </c>
      <c r="B4316">
        <v>3010200</v>
      </c>
      <c r="C4316">
        <v>5000</v>
      </c>
      <c r="E4316" s="80">
        <v>45681</v>
      </c>
      <c r="F4316">
        <v>3010111</v>
      </c>
      <c r="G4316">
        <v>1672</v>
      </c>
    </row>
    <row r="4317" spans="1:7" x14ac:dyDescent="0.3">
      <c r="A4317" s="80">
        <v>45690</v>
      </c>
      <c r="B4317">
        <v>3010200</v>
      </c>
      <c r="C4317">
        <v>2630</v>
      </c>
      <c r="E4317" s="80">
        <v>45681</v>
      </c>
      <c r="F4317">
        <v>3010111</v>
      </c>
      <c r="G4317">
        <v>0</v>
      </c>
    </row>
    <row r="4318" spans="1:7" x14ac:dyDescent="0.3">
      <c r="A4318" s="80">
        <v>45690</v>
      </c>
      <c r="B4318">
        <v>3010200</v>
      </c>
      <c r="C4318">
        <v>10000</v>
      </c>
      <c r="E4318" s="80">
        <v>45680</v>
      </c>
      <c r="F4318">
        <v>3010111</v>
      </c>
      <c r="G4318">
        <v>3017</v>
      </c>
    </row>
    <row r="4319" spans="1:7" x14ac:dyDescent="0.3">
      <c r="A4319" s="80">
        <v>45690</v>
      </c>
      <c r="B4319">
        <v>3010200</v>
      </c>
      <c r="C4319">
        <v>5000</v>
      </c>
      <c r="E4319" s="80">
        <v>45680</v>
      </c>
      <c r="F4319">
        <v>3010111</v>
      </c>
      <c r="G4319">
        <v>0</v>
      </c>
    </row>
    <row r="4320" spans="1:7" x14ac:dyDescent="0.3">
      <c r="A4320" s="80">
        <v>45690</v>
      </c>
      <c r="B4320">
        <v>3010200</v>
      </c>
      <c r="C4320">
        <v>5000</v>
      </c>
      <c r="E4320" s="80">
        <v>45680</v>
      </c>
      <c r="F4320">
        <v>3010111</v>
      </c>
      <c r="G4320">
        <v>1672</v>
      </c>
    </row>
    <row r="4321" spans="1:7" x14ac:dyDescent="0.3">
      <c r="A4321" s="80">
        <v>45690</v>
      </c>
      <c r="B4321">
        <v>3010200</v>
      </c>
      <c r="C4321">
        <v>5000</v>
      </c>
      <c r="E4321" s="80">
        <v>45680</v>
      </c>
      <c r="F4321">
        <v>3010111</v>
      </c>
      <c r="G4321">
        <v>3773</v>
      </c>
    </row>
    <row r="4322" spans="1:7" x14ac:dyDescent="0.3">
      <c r="A4322" s="80">
        <v>45689</v>
      </c>
      <c r="B4322">
        <v>3010200</v>
      </c>
      <c r="C4322">
        <v>5000</v>
      </c>
      <c r="E4322" s="80">
        <v>45680</v>
      </c>
      <c r="F4322">
        <v>3010111</v>
      </c>
      <c r="G4322">
        <v>3521</v>
      </c>
    </row>
    <row r="4323" spans="1:7" x14ac:dyDescent="0.3">
      <c r="A4323" s="80">
        <v>45689</v>
      </c>
      <c r="B4323">
        <v>3010200</v>
      </c>
      <c r="C4323">
        <v>5000</v>
      </c>
      <c r="E4323" s="80">
        <v>45680</v>
      </c>
      <c r="F4323">
        <v>3010111</v>
      </c>
      <c r="G4323">
        <v>1672</v>
      </c>
    </row>
    <row r="4324" spans="1:7" x14ac:dyDescent="0.3">
      <c r="A4324" s="80">
        <v>45689</v>
      </c>
      <c r="B4324">
        <v>3010200</v>
      </c>
      <c r="C4324">
        <v>5000</v>
      </c>
      <c r="E4324" s="80">
        <v>45680</v>
      </c>
      <c r="F4324">
        <v>3010111</v>
      </c>
      <c r="G4324">
        <v>0</v>
      </c>
    </row>
    <row r="4325" spans="1:7" x14ac:dyDescent="0.3">
      <c r="A4325" s="80">
        <v>45689</v>
      </c>
      <c r="B4325">
        <v>3010200</v>
      </c>
      <c r="C4325">
        <v>8769</v>
      </c>
      <c r="E4325" s="80">
        <v>45679</v>
      </c>
      <c r="F4325">
        <v>3010111</v>
      </c>
      <c r="G4325">
        <v>5118</v>
      </c>
    </row>
    <row r="4326" spans="1:7" x14ac:dyDescent="0.3">
      <c r="A4326" s="80">
        <v>45689</v>
      </c>
      <c r="B4326">
        <v>3010200</v>
      </c>
      <c r="C4326">
        <v>5000</v>
      </c>
      <c r="E4326" s="80">
        <v>45679</v>
      </c>
      <c r="F4326">
        <v>3010111</v>
      </c>
      <c r="G4326">
        <v>1672</v>
      </c>
    </row>
    <row r="4327" spans="1:7" x14ac:dyDescent="0.3">
      <c r="A4327" s="80">
        <v>45689</v>
      </c>
      <c r="B4327">
        <v>3010200</v>
      </c>
      <c r="C4327">
        <v>5000</v>
      </c>
      <c r="E4327" s="80">
        <v>45679</v>
      </c>
      <c r="F4327">
        <v>3010111</v>
      </c>
      <c r="G4327">
        <v>1672</v>
      </c>
    </row>
    <row r="4328" spans="1:7" x14ac:dyDescent="0.3">
      <c r="A4328" s="80">
        <v>45688</v>
      </c>
      <c r="B4328">
        <v>3010200</v>
      </c>
      <c r="C4328">
        <v>10000</v>
      </c>
      <c r="E4328" s="80">
        <v>45679</v>
      </c>
      <c r="F4328">
        <v>3010111</v>
      </c>
      <c r="G4328">
        <v>0</v>
      </c>
    </row>
    <row r="4329" spans="1:7" x14ac:dyDescent="0.3">
      <c r="A4329" s="80">
        <v>45688</v>
      </c>
      <c r="B4329">
        <v>3010200</v>
      </c>
      <c r="C4329">
        <v>5000</v>
      </c>
      <c r="E4329" s="80">
        <v>45679</v>
      </c>
      <c r="F4329">
        <v>3010111</v>
      </c>
      <c r="G4329">
        <v>0</v>
      </c>
    </row>
    <row r="4330" spans="1:7" x14ac:dyDescent="0.3">
      <c r="A4330" s="80">
        <v>45688</v>
      </c>
      <c r="B4330">
        <v>3010200</v>
      </c>
      <c r="C4330">
        <v>5000</v>
      </c>
      <c r="E4330" s="80">
        <v>45679</v>
      </c>
      <c r="F4330">
        <v>3010111</v>
      </c>
      <c r="G4330">
        <v>1672</v>
      </c>
    </row>
    <row r="4331" spans="1:7" x14ac:dyDescent="0.3">
      <c r="A4331" s="80">
        <v>45688</v>
      </c>
      <c r="B4331">
        <v>3010200</v>
      </c>
      <c r="C4331">
        <v>8769</v>
      </c>
      <c r="E4331" s="80">
        <v>45679</v>
      </c>
      <c r="F4331">
        <v>3010111</v>
      </c>
      <c r="G4331">
        <v>0</v>
      </c>
    </row>
    <row r="4332" spans="1:7" x14ac:dyDescent="0.3">
      <c r="A4332" s="80">
        <v>45688</v>
      </c>
      <c r="B4332">
        <v>3010200</v>
      </c>
      <c r="C4332">
        <v>5000</v>
      </c>
      <c r="E4332" s="80">
        <v>45679</v>
      </c>
      <c r="F4332">
        <v>3010111</v>
      </c>
      <c r="G4332">
        <v>1672</v>
      </c>
    </row>
    <row r="4333" spans="1:7" x14ac:dyDescent="0.3">
      <c r="A4333" s="80">
        <v>45688</v>
      </c>
      <c r="B4333">
        <v>3010200</v>
      </c>
      <c r="C4333">
        <v>5000</v>
      </c>
      <c r="E4333" s="80">
        <v>45679</v>
      </c>
      <c r="F4333">
        <v>3010111</v>
      </c>
      <c r="G4333">
        <v>1672</v>
      </c>
    </row>
    <row r="4334" spans="1:7" x14ac:dyDescent="0.3">
      <c r="A4334" s="80">
        <v>45687</v>
      </c>
      <c r="B4334">
        <v>3010200</v>
      </c>
      <c r="C4334">
        <v>5000</v>
      </c>
      <c r="E4334" s="80">
        <v>45678</v>
      </c>
      <c r="F4334">
        <v>3010111</v>
      </c>
      <c r="G4334">
        <v>1672</v>
      </c>
    </row>
    <row r="4335" spans="1:7" x14ac:dyDescent="0.3">
      <c r="A4335" s="80">
        <v>45687</v>
      </c>
      <c r="B4335">
        <v>3010200</v>
      </c>
      <c r="C4335">
        <v>8769</v>
      </c>
      <c r="E4335" s="80">
        <v>45678</v>
      </c>
      <c r="F4335">
        <v>3010111</v>
      </c>
      <c r="G4335">
        <v>3353</v>
      </c>
    </row>
    <row r="4336" spans="1:7" x14ac:dyDescent="0.3">
      <c r="A4336" s="80">
        <v>45687</v>
      </c>
      <c r="B4336">
        <v>3010200</v>
      </c>
      <c r="C4336">
        <v>5000</v>
      </c>
      <c r="E4336" s="80">
        <v>45678</v>
      </c>
      <c r="F4336">
        <v>3010111</v>
      </c>
      <c r="G4336">
        <v>0</v>
      </c>
    </row>
    <row r="4337" spans="1:7" x14ac:dyDescent="0.3">
      <c r="A4337" s="80">
        <v>45687</v>
      </c>
      <c r="B4337">
        <v>3010200</v>
      </c>
      <c r="C4337">
        <v>5000</v>
      </c>
      <c r="E4337" s="80">
        <v>45678</v>
      </c>
      <c r="F4337">
        <v>3010111</v>
      </c>
      <c r="G4337">
        <v>3941</v>
      </c>
    </row>
    <row r="4338" spans="1:7" x14ac:dyDescent="0.3">
      <c r="A4338" s="80">
        <v>45687</v>
      </c>
      <c r="B4338">
        <v>3010200</v>
      </c>
      <c r="C4338">
        <v>8769</v>
      </c>
      <c r="E4338" s="80">
        <v>45678</v>
      </c>
      <c r="F4338">
        <v>3010111</v>
      </c>
      <c r="G4338">
        <v>1672</v>
      </c>
    </row>
    <row r="4339" spans="1:7" x14ac:dyDescent="0.3">
      <c r="A4339" s="80">
        <v>45687</v>
      </c>
      <c r="B4339">
        <v>3010200</v>
      </c>
      <c r="C4339">
        <v>8769</v>
      </c>
      <c r="E4339" s="80">
        <v>45678</v>
      </c>
      <c r="F4339">
        <v>3010111</v>
      </c>
      <c r="G4339">
        <v>1672</v>
      </c>
    </row>
    <row r="4340" spans="1:7" x14ac:dyDescent="0.3">
      <c r="A4340" s="80">
        <v>45687</v>
      </c>
      <c r="B4340">
        <v>3010200</v>
      </c>
      <c r="C4340">
        <v>5000</v>
      </c>
      <c r="E4340" s="80">
        <v>45678</v>
      </c>
      <c r="F4340">
        <v>3010111</v>
      </c>
      <c r="G4340">
        <v>1672</v>
      </c>
    </row>
    <row r="4341" spans="1:7" x14ac:dyDescent="0.3">
      <c r="A4341" s="80">
        <v>45687</v>
      </c>
      <c r="B4341">
        <v>3010200</v>
      </c>
      <c r="C4341">
        <v>8769</v>
      </c>
      <c r="E4341" s="80">
        <v>45678</v>
      </c>
      <c r="F4341">
        <v>3010111</v>
      </c>
      <c r="G4341">
        <v>1672</v>
      </c>
    </row>
    <row r="4342" spans="1:7" x14ac:dyDescent="0.3">
      <c r="A4342" s="80">
        <v>45687</v>
      </c>
      <c r="B4342">
        <v>3010200</v>
      </c>
      <c r="C4342">
        <v>5000</v>
      </c>
      <c r="E4342" s="80">
        <v>45678</v>
      </c>
      <c r="F4342">
        <v>3010111</v>
      </c>
      <c r="G4342">
        <v>1672</v>
      </c>
    </row>
    <row r="4343" spans="1:7" x14ac:dyDescent="0.3">
      <c r="A4343" s="80">
        <v>45687</v>
      </c>
      <c r="B4343">
        <v>3010200</v>
      </c>
      <c r="C4343">
        <v>5000</v>
      </c>
      <c r="E4343" s="80">
        <v>45678</v>
      </c>
      <c r="F4343">
        <v>3010111</v>
      </c>
      <c r="G4343">
        <v>3521</v>
      </c>
    </row>
    <row r="4344" spans="1:7" x14ac:dyDescent="0.3">
      <c r="A4344" s="80">
        <v>45687</v>
      </c>
      <c r="B4344">
        <v>3010200</v>
      </c>
      <c r="C4344">
        <v>8769</v>
      </c>
      <c r="E4344" s="80">
        <v>45678</v>
      </c>
      <c r="F4344">
        <v>3010111</v>
      </c>
      <c r="G4344">
        <v>1672</v>
      </c>
    </row>
    <row r="4345" spans="1:7" x14ac:dyDescent="0.3">
      <c r="A4345" s="80">
        <v>45687</v>
      </c>
      <c r="B4345">
        <v>3010200</v>
      </c>
      <c r="C4345">
        <v>8769</v>
      </c>
      <c r="E4345" s="80">
        <v>45678</v>
      </c>
      <c r="F4345">
        <v>3010111</v>
      </c>
      <c r="G4345">
        <v>1672</v>
      </c>
    </row>
    <row r="4346" spans="1:7" x14ac:dyDescent="0.3">
      <c r="A4346" s="80">
        <v>45687</v>
      </c>
      <c r="B4346">
        <v>3010200</v>
      </c>
      <c r="C4346">
        <v>5000</v>
      </c>
      <c r="E4346" s="80">
        <v>45678</v>
      </c>
      <c r="F4346">
        <v>3010111</v>
      </c>
      <c r="G4346">
        <v>1672</v>
      </c>
    </row>
    <row r="4347" spans="1:7" x14ac:dyDescent="0.3">
      <c r="A4347" s="80">
        <v>45687</v>
      </c>
      <c r="B4347">
        <v>3010200</v>
      </c>
      <c r="C4347">
        <v>5000</v>
      </c>
      <c r="E4347" s="80">
        <v>45678</v>
      </c>
      <c r="F4347">
        <v>3010111</v>
      </c>
      <c r="G4347">
        <v>3185</v>
      </c>
    </row>
    <row r="4348" spans="1:7" x14ac:dyDescent="0.3">
      <c r="A4348" s="80">
        <v>45687</v>
      </c>
      <c r="B4348">
        <v>3010200</v>
      </c>
      <c r="C4348">
        <v>5000</v>
      </c>
      <c r="E4348" s="80">
        <v>45677</v>
      </c>
      <c r="F4348">
        <v>3010111</v>
      </c>
      <c r="G4348">
        <v>1672</v>
      </c>
    </row>
    <row r="4349" spans="1:7" x14ac:dyDescent="0.3">
      <c r="A4349" s="80">
        <v>45687</v>
      </c>
      <c r="B4349">
        <v>3010200</v>
      </c>
      <c r="C4349">
        <v>5000</v>
      </c>
      <c r="E4349" s="80">
        <v>45677</v>
      </c>
      <c r="F4349">
        <v>3010111</v>
      </c>
      <c r="G4349">
        <v>4025</v>
      </c>
    </row>
    <row r="4350" spans="1:7" x14ac:dyDescent="0.3">
      <c r="A4350" s="80">
        <v>45687</v>
      </c>
      <c r="B4350">
        <v>3010200</v>
      </c>
      <c r="C4350">
        <v>5000</v>
      </c>
      <c r="E4350" s="80">
        <v>45677</v>
      </c>
      <c r="F4350">
        <v>3010111</v>
      </c>
      <c r="G4350">
        <v>1672</v>
      </c>
    </row>
    <row r="4351" spans="1:7" x14ac:dyDescent="0.3">
      <c r="A4351" s="80">
        <v>45686</v>
      </c>
      <c r="B4351">
        <v>3010200</v>
      </c>
      <c r="C4351">
        <v>10000</v>
      </c>
      <c r="E4351" s="80">
        <v>45677</v>
      </c>
      <c r="F4351">
        <v>3010111</v>
      </c>
      <c r="G4351">
        <v>0</v>
      </c>
    </row>
    <row r="4352" spans="1:7" x14ac:dyDescent="0.3">
      <c r="A4352" s="80">
        <v>45686</v>
      </c>
      <c r="B4352">
        <v>3010200</v>
      </c>
      <c r="C4352">
        <v>5000</v>
      </c>
      <c r="E4352" s="80">
        <v>45677</v>
      </c>
      <c r="F4352">
        <v>3010111</v>
      </c>
      <c r="G4352">
        <v>1672</v>
      </c>
    </row>
    <row r="4353" spans="1:7" x14ac:dyDescent="0.3">
      <c r="A4353" s="80">
        <v>45686</v>
      </c>
      <c r="B4353">
        <v>3010200</v>
      </c>
      <c r="C4353">
        <v>5000</v>
      </c>
      <c r="E4353" s="80">
        <v>45677</v>
      </c>
      <c r="F4353">
        <v>3010111</v>
      </c>
      <c r="G4353">
        <v>1672</v>
      </c>
    </row>
    <row r="4354" spans="1:7" x14ac:dyDescent="0.3">
      <c r="A4354" s="80">
        <v>45686</v>
      </c>
      <c r="B4354">
        <v>3010200</v>
      </c>
      <c r="C4354">
        <v>5000</v>
      </c>
      <c r="E4354" s="80">
        <v>45676</v>
      </c>
      <c r="F4354">
        <v>3010111</v>
      </c>
      <c r="G4354">
        <v>1672</v>
      </c>
    </row>
    <row r="4355" spans="1:7" x14ac:dyDescent="0.3">
      <c r="A4355" s="80">
        <v>45686</v>
      </c>
      <c r="B4355">
        <v>3010200</v>
      </c>
      <c r="C4355">
        <v>5000</v>
      </c>
      <c r="E4355" s="80">
        <v>45676</v>
      </c>
      <c r="F4355">
        <v>3010111</v>
      </c>
      <c r="G4355">
        <v>5790</v>
      </c>
    </row>
    <row r="4356" spans="1:7" x14ac:dyDescent="0.3">
      <c r="A4356" s="80">
        <v>45686</v>
      </c>
      <c r="B4356">
        <v>3010200</v>
      </c>
      <c r="C4356">
        <v>5000</v>
      </c>
      <c r="E4356" s="80">
        <v>45676</v>
      </c>
      <c r="F4356">
        <v>3010111</v>
      </c>
      <c r="G4356">
        <v>0</v>
      </c>
    </row>
    <row r="4357" spans="1:7" x14ac:dyDescent="0.3">
      <c r="A4357" s="80">
        <v>45686</v>
      </c>
      <c r="B4357">
        <v>3010200</v>
      </c>
      <c r="C4357">
        <v>5000</v>
      </c>
      <c r="E4357" s="80">
        <v>45676</v>
      </c>
      <c r="F4357">
        <v>3010111</v>
      </c>
      <c r="G4357">
        <v>1672</v>
      </c>
    </row>
    <row r="4358" spans="1:7" x14ac:dyDescent="0.3">
      <c r="A4358" s="80">
        <v>45686</v>
      </c>
      <c r="B4358">
        <v>3010200</v>
      </c>
      <c r="C4358">
        <v>5000</v>
      </c>
      <c r="E4358" s="80">
        <v>45676</v>
      </c>
      <c r="F4358">
        <v>3010111</v>
      </c>
      <c r="G4358">
        <v>1672</v>
      </c>
    </row>
    <row r="4359" spans="1:7" x14ac:dyDescent="0.3">
      <c r="A4359" s="80">
        <v>45686</v>
      </c>
      <c r="B4359">
        <v>3010200</v>
      </c>
      <c r="C4359">
        <v>5000</v>
      </c>
      <c r="E4359" s="80">
        <v>45676</v>
      </c>
      <c r="F4359">
        <v>3010111</v>
      </c>
      <c r="G4359">
        <v>3689</v>
      </c>
    </row>
    <row r="4360" spans="1:7" x14ac:dyDescent="0.3">
      <c r="A4360" s="80">
        <v>45686</v>
      </c>
      <c r="B4360">
        <v>3010200</v>
      </c>
      <c r="C4360">
        <v>5000</v>
      </c>
      <c r="E4360" s="80">
        <v>45676</v>
      </c>
      <c r="F4360">
        <v>3010111</v>
      </c>
      <c r="G4360">
        <v>3521</v>
      </c>
    </row>
    <row r="4361" spans="1:7" x14ac:dyDescent="0.3">
      <c r="A4361" s="80">
        <v>45686</v>
      </c>
      <c r="B4361">
        <v>3010200</v>
      </c>
      <c r="C4361">
        <v>5000</v>
      </c>
      <c r="E4361" s="80">
        <v>45676</v>
      </c>
      <c r="F4361">
        <v>3010111</v>
      </c>
      <c r="G4361">
        <v>1672</v>
      </c>
    </row>
    <row r="4362" spans="1:7" x14ac:dyDescent="0.3">
      <c r="A4362" s="80">
        <v>45686</v>
      </c>
      <c r="B4362">
        <v>3010200</v>
      </c>
      <c r="C4362">
        <v>5000</v>
      </c>
      <c r="E4362" s="80">
        <v>45676</v>
      </c>
      <c r="F4362">
        <v>3010111</v>
      </c>
      <c r="G4362">
        <v>0</v>
      </c>
    </row>
    <row r="4363" spans="1:7" x14ac:dyDescent="0.3">
      <c r="A4363" s="80">
        <v>45685</v>
      </c>
      <c r="B4363">
        <v>3010200</v>
      </c>
      <c r="C4363">
        <v>5000</v>
      </c>
      <c r="E4363" s="80">
        <v>45676</v>
      </c>
      <c r="F4363">
        <v>3010111</v>
      </c>
      <c r="G4363">
        <v>1672</v>
      </c>
    </row>
    <row r="4364" spans="1:7" x14ac:dyDescent="0.3">
      <c r="A4364" s="80">
        <v>45685</v>
      </c>
      <c r="B4364">
        <v>3010200</v>
      </c>
      <c r="C4364">
        <v>5000</v>
      </c>
      <c r="E4364" s="80">
        <v>45676</v>
      </c>
      <c r="F4364">
        <v>3010111</v>
      </c>
      <c r="G4364">
        <v>0</v>
      </c>
    </row>
    <row r="4365" spans="1:7" x14ac:dyDescent="0.3">
      <c r="A4365" s="80">
        <v>45685</v>
      </c>
      <c r="B4365">
        <v>3010200</v>
      </c>
      <c r="C4365">
        <v>5000</v>
      </c>
      <c r="E4365" s="80">
        <v>45676</v>
      </c>
      <c r="F4365">
        <v>3010111</v>
      </c>
      <c r="G4365">
        <v>0</v>
      </c>
    </row>
    <row r="4366" spans="1:7" x14ac:dyDescent="0.3">
      <c r="A4366" s="80">
        <v>45685</v>
      </c>
      <c r="B4366">
        <v>3010200</v>
      </c>
      <c r="C4366">
        <v>5000</v>
      </c>
      <c r="E4366" s="80">
        <v>45676</v>
      </c>
      <c r="F4366">
        <v>3010111</v>
      </c>
      <c r="G4366">
        <v>0</v>
      </c>
    </row>
    <row r="4367" spans="1:7" x14ac:dyDescent="0.3">
      <c r="A4367" s="80">
        <v>45685</v>
      </c>
      <c r="B4367">
        <v>3010200</v>
      </c>
      <c r="C4367">
        <v>5000</v>
      </c>
      <c r="E4367" s="80">
        <v>45676</v>
      </c>
      <c r="F4367">
        <v>3010111</v>
      </c>
      <c r="G4367">
        <v>1672</v>
      </c>
    </row>
    <row r="4368" spans="1:7" x14ac:dyDescent="0.3">
      <c r="A4368" s="80">
        <v>45685</v>
      </c>
      <c r="B4368">
        <v>3010200</v>
      </c>
      <c r="C4368">
        <v>5000</v>
      </c>
      <c r="E4368" s="80">
        <v>45676</v>
      </c>
      <c r="F4368">
        <v>3010111</v>
      </c>
      <c r="G4368">
        <v>3941</v>
      </c>
    </row>
    <row r="4369" spans="1:7" x14ac:dyDescent="0.3">
      <c r="A4369" s="80">
        <v>45685</v>
      </c>
      <c r="B4369">
        <v>3010200</v>
      </c>
      <c r="C4369">
        <v>5000</v>
      </c>
      <c r="E4369" s="80">
        <v>45676</v>
      </c>
      <c r="F4369">
        <v>3010111</v>
      </c>
      <c r="G4369">
        <v>1672</v>
      </c>
    </row>
    <row r="4370" spans="1:7" x14ac:dyDescent="0.3">
      <c r="A4370" s="80">
        <v>45685</v>
      </c>
      <c r="B4370">
        <v>3010200</v>
      </c>
      <c r="C4370">
        <v>5000</v>
      </c>
      <c r="E4370" s="80">
        <v>45676</v>
      </c>
      <c r="F4370">
        <v>3010111</v>
      </c>
      <c r="G4370">
        <v>3353</v>
      </c>
    </row>
    <row r="4371" spans="1:7" x14ac:dyDescent="0.3">
      <c r="A4371" s="80">
        <v>45684</v>
      </c>
      <c r="B4371">
        <v>3010200</v>
      </c>
      <c r="C4371">
        <v>5000</v>
      </c>
      <c r="E4371" s="80">
        <v>45676</v>
      </c>
      <c r="F4371">
        <v>3010111</v>
      </c>
      <c r="G4371">
        <v>1672</v>
      </c>
    </row>
    <row r="4372" spans="1:7" x14ac:dyDescent="0.3">
      <c r="A4372" s="80">
        <v>45684</v>
      </c>
      <c r="B4372">
        <v>3010200</v>
      </c>
      <c r="C4372">
        <v>5000</v>
      </c>
      <c r="E4372" s="80">
        <v>45675</v>
      </c>
      <c r="F4372">
        <v>3010111</v>
      </c>
      <c r="G4372">
        <v>1672</v>
      </c>
    </row>
    <row r="4373" spans="1:7" x14ac:dyDescent="0.3">
      <c r="A4373" s="80">
        <v>45684</v>
      </c>
      <c r="B4373">
        <v>3010200</v>
      </c>
      <c r="C4373">
        <v>5000</v>
      </c>
      <c r="E4373" s="80">
        <v>45675</v>
      </c>
      <c r="F4373">
        <v>3010111</v>
      </c>
      <c r="G4373">
        <v>0</v>
      </c>
    </row>
    <row r="4374" spans="1:7" x14ac:dyDescent="0.3">
      <c r="A4374" s="80">
        <v>45684</v>
      </c>
      <c r="B4374">
        <v>3010200</v>
      </c>
      <c r="C4374">
        <v>5000</v>
      </c>
      <c r="E4374" s="80">
        <v>45675</v>
      </c>
      <c r="F4374">
        <v>3010111</v>
      </c>
      <c r="G4374">
        <v>3017</v>
      </c>
    </row>
    <row r="4375" spans="1:7" x14ac:dyDescent="0.3">
      <c r="A4375" s="80">
        <v>45684</v>
      </c>
      <c r="B4375">
        <v>3010200</v>
      </c>
      <c r="C4375">
        <v>5000</v>
      </c>
      <c r="E4375" s="80">
        <v>45675</v>
      </c>
      <c r="F4375">
        <v>3010111</v>
      </c>
      <c r="G4375">
        <v>0</v>
      </c>
    </row>
    <row r="4376" spans="1:7" x14ac:dyDescent="0.3">
      <c r="A4376" s="80">
        <v>45684</v>
      </c>
      <c r="B4376">
        <v>3010200</v>
      </c>
      <c r="C4376">
        <v>5000</v>
      </c>
      <c r="E4376" s="80">
        <v>45675</v>
      </c>
      <c r="F4376">
        <v>3010111</v>
      </c>
      <c r="G4376">
        <v>3521</v>
      </c>
    </row>
    <row r="4377" spans="1:7" x14ac:dyDescent="0.3">
      <c r="A4377" s="80">
        <v>45684</v>
      </c>
      <c r="B4377">
        <v>3010200</v>
      </c>
      <c r="C4377">
        <v>10000</v>
      </c>
      <c r="E4377" s="80">
        <v>45675</v>
      </c>
      <c r="F4377">
        <v>3010111</v>
      </c>
      <c r="G4377">
        <v>0</v>
      </c>
    </row>
    <row r="4378" spans="1:7" x14ac:dyDescent="0.3">
      <c r="A4378" s="80">
        <v>45684</v>
      </c>
      <c r="B4378">
        <v>3010200</v>
      </c>
      <c r="C4378">
        <v>5000</v>
      </c>
      <c r="E4378" s="80">
        <v>45675</v>
      </c>
      <c r="F4378">
        <v>3010111</v>
      </c>
      <c r="G4378">
        <v>1672</v>
      </c>
    </row>
    <row r="4379" spans="1:7" x14ac:dyDescent="0.3">
      <c r="A4379" s="80">
        <v>45683</v>
      </c>
      <c r="B4379">
        <v>3010200</v>
      </c>
      <c r="C4379">
        <v>5000</v>
      </c>
      <c r="E4379" s="80">
        <v>45675</v>
      </c>
      <c r="F4379">
        <v>3010111</v>
      </c>
      <c r="G4379">
        <v>1672</v>
      </c>
    </row>
    <row r="4380" spans="1:7" x14ac:dyDescent="0.3">
      <c r="A4380" s="80">
        <v>45683</v>
      </c>
      <c r="B4380">
        <v>3010200</v>
      </c>
      <c r="C4380">
        <v>5000</v>
      </c>
      <c r="E4380" s="80">
        <v>45675</v>
      </c>
      <c r="F4380">
        <v>3010111</v>
      </c>
      <c r="G4380">
        <v>1672</v>
      </c>
    </row>
    <row r="4381" spans="1:7" x14ac:dyDescent="0.3">
      <c r="A4381" s="80">
        <v>45683</v>
      </c>
      <c r="B4381">
        <v>3010200</v>
      </c>
      <c r="C4381">
        <v>5000</v>
      </c>
      <c r="E4381" s="80">
        <v>45675</v>
      </c>
      <c r="F4381">
        <v>3010111</v>
      </c>
      <c r="G4381">
        <v>1672</v>
      </c>
    </row>
    <row r="4382" spans="1:7" x14ac:dyDescent="0.3">
      <c r="A4382" s="80">
        <v>45683</v>
      </c>
      <c r="B4382">
        <v>3010200</v>
      </c>
      <c r="C4382">
        <v>5000</v>
      </c>
      <c r="E4382" s="80">
        <v>45675</v>
      </c>
      <c r="F4382">
        <v>3010111</v>
      </c>
      <c r="G4382">
        <v>5370</v>
      </c>
    </row>
    <row r="4383" spans="1:7" x14ac:dyDescent="0.3">
      <c r="A4383" s="80">
        <v>45683</v>
      </c>
      <c r="B4383">
        <v>3010200</v>
      </c>
      <c r="C4383">
        <v>5000</v>
      </c>
      <c r="E4383" s="80">
        <v>45674</v>
      </c>
      <c r="F4383">
        <v>3010111</v>
      </c>
      <c r="G4383">
        <v>5706</v>
      </c>
    </row>
    <row r="4384" spans="1:7" x14ac:dyDescent="0.3">
      <c r="A4384" s="80">
        <v>45683</v>
      </c>
      <c r="B4384">
        <v>3010200</v>
      </c>
      <c r="C4384">
        <v>5000</v>
      </c>
      <c r="E4384" s="80">
        <v>45674</v>
      </c>
      <c r="F4384">
        <v>3010111</v>
      </c>
      <c r="G4384">
        <v>0</v>
      </c>
    </row>
    <row r="4385" spans="1:7" x14ac:dyDescent="0.3">
      <c r="A4385" s="80">
        <v>45683</v>
      </c>
      <c r="B4385">
        <v>3010200</v>
      </c>
      <c r="C4385">
        <v>5000</v>
      </c>
      <c r="E4385" s="80">
        <v>45674</v>
      </c>
      <c r="F4385">
        <v>3010111</v>
      </c>
      <c r="G4385">
        <v>0</v>
      </c>
    </row>
    <row r="4386" spans="1:7" x14ac:dyDescent="0.3">
      <c r="A4386" s="80">
        <v>45683</v>
      </c>
      <c r="B4386">
        <v>3010200</v>
      </c>
      <c r="C4386">
        <v>5000</v>
      </c>
      <c r="E4386" s="80">
        <v>45674</v>
      </c>
      <c r="F4386">
        <v>3010111</v>
      </c>
      <c r="G4386">
        <v>1672</v>
      </c>
    </row>
    <row r="4387" spans="1:7" x14ac:dyDescent="0.3">
      <c r="A4387" s="80">
        <v>45682</v>
      </c>
      <c r="B4387">
        <v>3010200</v>
      </c>
      <c r="C4387">
        <v>5000</v>
      </c>
      <c r="E4387" s="80">
        <v>45674</v>
      </c>
      <c r="F4387">
        <v>3010111</v>
      </c>
      <c r="G4387">
        <v>3017</v>
      </c>
    </row>
    <row r="4388" spans="1:7" x14ac:dyDescent="0.3">
      <c r="A4388" s="80">
        <v>45682</v>
      </c>
      <c r="B4388">
        <v>3010200</v>
      </c>
      <c r="C4388">
        <v>5000</v>
      </c>
      <c r="E4388" s="80">
        <v>45674</v>
      </c>
      <c r="F4388">
        <v>3010111</v>
      </c>
      <c r="G4388">
        <v>0</v>
      </c>
    </row>
    <row r="4389" spans="1:7" x14ac:dyDescent="0.3">
      <c r="A4389" s="80">
        <v>45682</v>
      </c>
      <c r="B4389">
        <v>3010200</v>
      </c>
      <c r="C4389">
        <v>5000</v>
      </c>
      <c r="E4389" s="80">
        <v>45674</v>
      </c>
      <c r="F4389">
        <v>3010111</v>
      </c>
      <c r="G4389">
        <v>1672</v>
      </c>
    </row>
    <row r="4390" spans="1:7" x14ac:dyDescent="0.3">
      <c r="A4390" s="80">
        <v>45682</v>
      </c>
      <c r="B4390">
        <v>3010200</v>
      </c>
      <c r="C4390">
        <v>5000</v>
      </c>
      <c r="E4390" s="80">
        <v>45674</v>
      </c>
      <c r="F4390">
        <v>3010111</v>
      </c>
      <c r="G4390">
        <v>4193</v>
      </c>
    </row>
    <row r="4391" spans="1:7" x14ac:dyDescent="0.3">
      <c r="A4391" s="80">
        <v>45682</v>
      </c>
      <c r="B4391">
        <v>3010200</v>
      </c>
      <c r="C4391">
        <v>5000</v>
      </c>
      <c r="E4391" s="80">
        <v>45674</v>
      </c>
      <c r="F4391">
        <v>3010111</v>
      </c>
      <c r="G4391">
        <v>0</v>
      </c>
    </row>
    <row r="4392" spans="1:7" x14ac:dyDescent="0.3">
      <c r="A4392" s="80">
        <v>45682</v>
      </c>
      <c r="B4392">
        <v>3010200</v>
      </c>
      <c r="C4392">
        <v>5000</v>
      </c>
      <c r="E4392" s="80">
        <v>45674</v>
      </c>
      <c r="F4392">
        <v>3010111</v>
      </c>
      <c r="G4392">
        <v>0</v>
      </c>
    </row>
    <row r="4393" spans="1:7" x14ac:dyDescent="0.3">
      <c r="A4393" s="80">
        <v>45682</v>
      </c>
      <c r="B4393">
        <v>3010200</v>
      </c>
      <c r="C4393">
        <v>5000</v>
      </c>
      <c r="E4393" s="80">
        <v>45674</v>
      </c>
      <c r="F4393">
        <v>3010111</v>
      </c>
      <c r="G4393">
        <v>1672</v>
      </c>
    </row>
    <row r="4394" spans="1:7" x14ac:dyDescent="0.3">
      <c r="A4394" s="80">
        <v>45682</v>
      </c>
      <c r="B4394">
        <v>3010200</v>
      </c>
      <c r="C4394">
        <v>5000</v>
      </c>
      <c r="E4394" s="80">
        <v>45673</v>
      </c>
      <c r="F4394">
        <v>3010111</v>
      </c>
      <c r="G4394">
        <v>1672</v>
      </c>
    </row>
    <row r="4395" spans="1:7" x14ac:dyDescent="0.3">
      <c r="A4395" s="80">
        <v>45682</v>
      </c>
      <c r="B4395">
        <v>3010200</v>
      </c>
      <c r="C4395">
        <v>5000</v>
      </c>
      <c r="E4395" s="80">
        <v>45673</v>
      </c>
      <c r="F4395">
        <v>3010111</v>
      </c>
      <c r="G4395">
        <v>1672</v>
      </c>
    </row>
    <row r="4396" spans="1:7" x14ac:dyDescent="0.3">
      <c r="A4396" s="80">
        <v>45682</v>
      </c>
      <c r="B4396">
        <v>3010200</v>
      </c>
      <c r="C4396">
        <v>5000</v>
      </c>
      <c r="E4396" s="80">
        <v>45673</v>
      </c>
      <c r="F4396">
        <v>3010111</v>
      </c>
      <c r="G4396">
        <v>1672</v>
      </c>
    </row>
    <row r="4397" spans="1:7" x14ac:dyDescent="0.3">
      <c r="A4397" s="80">
        <v>45682</v>
      </c>
      <c r="B4397">
        <v>3010200</v>
      </c>
      <c r="C4397">
        <v>5000</v>
      </c>
      <c r="E4397" s="80">
        <v>45673</v>
      </c>
      <c r="F4397">
        <v>3010111</v>
      </c>
      <c r="G4397">
        <v>1672</v>
      </c>
    </row>
    <row r="4398" spans="1:7" x14ac:dyDescent="0.3">
      <c r="A4398" s="80">
        <v>45682</v>
      </c>
      <c r="B4398">
        <v>3010200</v>
      </c>
      <c r="C4398">
        <v>5000</v>
      </c>
      <c r="E4398" s="80">
        <v>45673</v>
      </c>
      <c r="F4398">
        <v>3010111</v>
      </c>
      <c r="G4398">
        <v>1672</v>
      </c>
    </row>
    <row r="4399" spans="1:7" x14ac:dyDescent="0.3">
      <c r="A4399" s="80">
        <v>45682</v>
      </c>
      <c r="B4399">
        <v>3010200</v>
      </c>
      <c r="C4399">
        <v>5000</v>
      </c>
      <c r="E4399" s="80">
        <v>45673</v>
      </c>
      <c r="F4399">
        <v>3010111</v>
      </c>
      <c r="G4399">
        <v>0</v>
      </c>
    </row>
    <row r="4400" spans="1:7" x14ac:dyDescent="0.3">
      <c r="A4400" s="80">
        <v>45682</v>
      </c>
      <c r="B4400">
        <v>3010200</v>
      </c>
      <c r="C4400">
        <v>5000</v>
      </c>
      <c r="E4400" s="80">
        <v>45672</v>
      </c>
      <c r="F4400">
        <v>3010111</v>
      </c>
      <c r="G4400">
        <v>1672</v>
      </c>
    </row>
    <row r="4401" spans="1:7" x14ac:dyDescent="0.3">
      <c r="A4401" s="80">
        <v>45682</v>
      </c>
      <c r="B4401">
        <v>3010200</v>
      </c>
      <c r="C4401">
        <v>5000</v>
      </c>
      <c r="E4401" s="80">
        <v>45672</v>
      </c>
      <c r="F4401">
        <v>3010111</v>
      </c>
      <c r="G4401">
        <v>3941</v>
      </c>
    </row>
    <row r="4402" spans="1:7" x14ac:dyDescent="0.3">
      <c r="A4402" s="80">
        <v>45681</v>
      </c>
      <c r="B4402">
        <v>3010200</v>
      </c>
      <c r="C4402">
        <v>5000</v>
      </c>
      <c r="E4402" s="80">
        <v>45672</v>
      </c>
      <c r="F4402">
        <v>3010111</v>
      </c>
      <c r="G4402">
        <v>3605</v>
      </c>
    </row>
    <row r="4403" spans="1:7" x14ac:dyDescent="0.3">
      <c r="A4403" s="80">
        <v>45681</v>
      </c>
      <c r="B4403">
        <v>3010200</v>
      </c>
      <c r="C4403">
        <v>5000</v>
      </c>
      <c r="E4403" s="80">
        <v>45672</v>
      </c>
      <c r="F4403">
        <v>3010111</v>
      </c>
      <c r="G4403">
        <v>1672</v>
      </c>
    </row>
    <row r="4404" spans="1:7" x14ac:dyDescent="0.3">
      <c r="A4404" s="80">
        <v>45681</v>
      </c>
      <c r="B4404">
        <v>3010200</v>
      </c>
      <c r="C4404">
        <v>5000</v>
      </c>
      <c r="E4404" s="80">
        <v>45672</v>
      </c>
      <c r="F4404">
        <v>3010111</v>
      </c>
      <c r="G4404">
        <v>1672</v>
      </c>
    </row>
    <row r="4405" spans="1:7" x14ac:dyDescent="0.3">
      <c r="A4405" s="80">
        <v>45681</v>
      </c>
      <c r="B4405">
        <v>3010200</v>
      </c>
      <c r="C4405">
        <v>5000</v>
      </c>
      <c r="E4405" s="80">
        <v>45672</v>
      </c>
      <c r="F4405">
        <v>3010111</v>
      </c>
      <c r="G4405">
        <v>1672</v>
      </c>
    </row>
    <row r="4406" spans="1:7" x14ac:dyDescent="0.3">
      <c r="A4406" s="80">
        <v>45681</v>
      </c>
      <c r="B4406">
        <v>3010200</v>
      </c>
      <c r="C4406">
        <v>5000</v>
      </c>
      <c r="E4406" s="80">
        <v>45672</v>
      </c>
      <c r="F4406">
        <v>3010111</v>
      </c>
      <c r="G4406">
        <v>1672</v>
      </c>
    </row>
    <row r="4407" spans="1:7" x14ac:dyDescent="0.3">
      <c r="A4407" s="80">
        <v>45681</v>
      </c>
      <c r="B4407">
        <v>3010200</v>
      </c>
      <c r="C4407">
        <v>5000</v>
      </c>
      <c r="E4407" s="80">
        <v>45672</v>
      </c>
      <c r="F4407">
        <v>3010111</v>
      </c>
      <c r="G4407">
        <v>0</v>
      </c>
    </row>
    <row r="4408" spans="1:7" x14ac:dyDescent="0.3">
      <c r="A4408" s="80">
        <v>45681</v>
      </c>
      <c r="B4408">
        <v>3010200</v>
      </c>
      <c r="C4408">
        <v>5000</v>
      </c>
      <c r="E4408" s="80">
        <v>45672</v>
      </c>
      <c r="F4408">
        <v>3010111</v>
      </c>
      <c r="G4408">
        <v>0</v>
      </c>
    </row>
    <row r="4409" spans="1:7" x14ac:dyDescent="0.3">
      <c r="A4409" s="80">
        <v>45681</v>
      </c>
      <c r="B4409">
        <v>3010200</v>
      </c>
      <c r="C4409">
        <v>5000</v>
      </c>
      <c r="E4409" s="80">
        <v>45672</v>
      </c>
      <c r="F4409">
        <v>3010111</v>
      </c>
      <c r="G4409">
        <v>3353</v>
      </c>
    </row>
    <row r="4410" spans="1:7" x14ac:dyDescent="0.3">
      <c r="A4410" s="80">
        <v>45680</v>
      </c>
      <c r="B4410">
        <v>3010200</v>
      </c>
      <c r="C4410">
        <v>5000</v>
      </c>
      <c r="E4410" s="80">
        <v>45672</v>
      </c>
      <c r="F4410">
        <v>3010111</v>
      </c>
      <c r="G4410">
        <v>1672</v>
      </c>
    </row>
    <row r="4411" spans="1:7" x14ac:dyDescent="0.3">
      <c r="A4411" s="80">
        <v>45680</v>
      </c>
      <c r="B4411">
        <v>3010200</v>
      </c>
      <c r="C4411">
        <v>5000</v>
      </c>
      <c r="E4411" s="80">
        <v>45672</v>
      </c>
      <c r="F4411">
        <v>3010111</v>
      </c>
      <c r="G4411">
        <v>1672</v>
      </c>
    </row>
    <row r="4412" spans="1:7" x14ac:dyDescent="0.3">
      <c r="A4412" s="80">
        <v>45680</v>
      </c>
      <c r="B4412">
        <v>3010200</v>
      </c>
      <c r="C4412">
        <v>5000</v>
      </c>
      <c r="E4412" s="80">
        <v>45672</v>
      </c>
      <c r="F4412">
        <v>3010111</v>
      </c>
      <c r="G4412">
        <v>1672</v>
      </c>
    </row>
    <row r="4413" spans="1:7" x14ac:dyDescent="0.3">
      <c r="A4413" s="80">
        <v>45680</v>
      </c>
      <c r="B4413">
        <v>3010200</v>
      </c>
      <c r="C4413">
        <v>5000</v>
      </c>
      <c r="E4413" s="80">
        <v>45671</v>
      </c>
      <c r="F4413">
        <v>3010111</v>
      </c>
      <c r="G4413">
        <v>3941</v>
      </c>
    </row>
    <row r="4414" spans="1:7" x14ac:dyDescent="0.3">
      <c r="A4414" s="80">
        <v>45680</v>
      </c>
      <c r="B4414">
        <v>3010200</v>
      </c>
      <c r="C4414">
        <v>5000</v>
      </c>
      <c r="E4414" s="80">
        <v>45671</v>
      </c>
      <c r="F4414">
        <v>3010111</v>
      </c>
      <c r="G4414">
        <v>4025</v>
      </c>
    </row>
    <row r="4415" spans="1:7" x14ac:dyDescent="0.3">
      <c r="A4415" s="80">
        <v>45680</v>
      </c>
      <c r="B4415">
        <v>3010200</v>
      </c>
      <c r="C4415">
        <v>5000</v>
      </c>
      <c r="E4415" s="80">
        <v>45671</v>
      </c>
      <c r="F4415">
        <v>3010111</v>
      </c>
      <c r="G4415">
        <v>1672</v>
      </c>
    </row>
    <row r="4416" spans="1:7" x14ac:dyDescent="0.3">
      <c r="A4416" s="80">
        <v>45680</v>
      </c>
      <c r="B4416">
        <v>3010200</v>
      </c>
      <c r="C4416">
        <v>5000</v>
      </c>
      <c r="E4416" s="80">
        <v>45671</v>
      </c>
      <c r="F4416">
        <v>3010111</v>
      </c>
      <c r="G4416">
        <v>1672</v>
      </c>
    </row>
    <row r="4417" spans="1:7" x14ac:dyDescent="0.3">
      <c r="A4417" s="80">
        <v>45679</v>
      </c>
      <c r="B4417">
        <v>3010200</v>
      </c>
      <c r="C4417">
        <v>5000</v>
      </c>
      <c r="E4417" s="80">
        <v>45671</v>
      </c>
      <c r="F4417">
        <v>3010111</v>
      </c>
      <c r="G4417">
        <v>0</v>
      </c>
    </row>
    <row r="4418" spans="1:7" x14ac:dyDescent="0.3">
      <c r="A4418" s="80">
        <v>45679</v>
      </c>
      <c r="B4418">
        <v>3010200</v>
      </c>
      <c r="C4418">
        <v>5000</v>
      </c>
      <c r="E4418" s="80">
        <v>45671</v>
      </c>
      <c r="F4418">
        <v>3010111</v>
      </c>
      <c r="G4418">
        <v>0</v>
      </c>
    </row>
    <row r="4419" spans="1:7" x14ac:dyDescent="0.3">
      <c r="A4419" s="80">
        <v>45679</v>
      </c>
      <c r="B4419">
        <v>3010200</v>
      </c>
      <c r="C4419">
        <v>5000</v>
      </c>
      <c r="E4419" s="80">
        <v>45671</v>
      </c>
      <c r="F4419">
        <v>3010111</v>
      </c>
      <c r="G4419">
        <v>1672</v>
      </c>
    </row>
    <row r="4420" spans="1:7" x14ac:dyDescent="0.3">
      <c r="A4420" s="80">
        <v>45679</v>
      </c>
      <c r="B4420">
        <v>3010200</v>
      </c>
      <c r="C4420">
        <v>5000</v>
      </c>
      <c r="E4420" s="80">
        <v>45671</v>
      </c>
      <c r="F4420">
        <v>3010111</v>
      </c>
      <c r="G4420">
        <v>0</v>
      </c>
    </row>
    <row r="4421" spans="1:7" x14ac:dyDescent="0.3">
      <c r="A4421" s="80">
        <v>45679</v>
      </c>
      <c r="B4421">
        <v>3010200</v>
      </c>
      <c r="C4421">
        <v>5000</v>
      </c>
      <c r="E4421" s="80">
        <v>45671</v>
      </c>
      <c r="F4421">
        <v>3010111</v>
      </c>
      <c r="G4421">
        <v>0</v>
      </c>
    </row>
    <row r="4422" spans="1:7" x14ac:dyDescent="0.3">
      <c r="A4422" s="80">
        <v>45679</v>
      </c>
      <c r="B4422">
        <v>3010200</v>
      </c>
      <c r="C4422">
        <v>5000</v>
      </c>
      <c r="E4422" s="80">
        <v>45670</v>
      </c>
      <c r="F4422">
        <v>3010111</v>
      </c>
      <c r="G4422">
        <v>3521</v>
      </c>
    </row>
    <row r="4423" spans="1:7" x14ac:dyDescent="0.3">
      <c r="A4423" s="80">
        <v>45679</v>
      </c>
      <c r="B4423">
        <v>3010200</v>
      </c>
      <c r="C4423">
        <v>10000</v>
      </c>
      <c r="E4423" s="80">
        <v>45670</v>
      </c>
      <c r="F4423">
        <v>3010111</v>
      </c>
      <c r="G4423">
        <v>3353</v>
      </c>
    </row>
    <row r="4424" spans="1:7" x14ac:dyDescent="0.3">
      <c r="A4424" s="80">
        <v>45679</v>
      </c>
      <c r="B4424">
        <v>3010200</v>
      </c>
      <c r="C4424">
        <v>5000</v>
      </c>
      <c r="E4424" s="80">
        <v>45670</v>
      </c>
      <c r="F4424">
        <v>3010111</v>
      </c>
      <c r="G4424">
        <v>1672</v>
      </c>
    </row>
    <row r="4425" spans="1:7" x14ac:dyDescent="0.3">
      <c r="A4425" s="80">
        <v>45679</v>
      </c>
      <c r="B4425">
        <v>3010200</v>
      </c>
      <c r="C4425">
        <v>5000</v>
      </c>
      <c r="E4425" s="80">
        <v>45670</v>
      </c>
      <c r="F4425">
        <v>3010111</v>
      </c>
      <c r="G4425">
        <v>1672</v>
      </c>
    </row>
    <row r="4426" spans="1:7" x14ac:dyDescent="0.3">
      <c r="A4426" s="80">
        <v>45678</v>
      </c>
      <c r="B4426">
        <v>3010200</v>
      </c>
      <c r="C4426">
        <v>5000</v>
      </c>
      <c r="E4426" s="80">
        <v>45670</v>
      </c>
      <c r="F4426">
        <v>3010111</v>
      </c>
      <c r="G4426">
        <v>1672</v>
      </c>
    </row>
    <row r="4427" spans="1:7" x14ac:dyDescent="0.3">
      <c r="A4427" s="80">
        <v>45678</v>
      </c>
      <c r="B4427">
        <v>3010200</v>
      </c>
      <c r="C4427">
        <v>5000</v>
      </c>
      <c r="E4427" s="80">
        <v>45670</v>
      </c>
      <c r="F4427">
        <v>3010111</v>
      </c>
      <c r="G4427">
        <v>3185</v>
      </c>
    </row>
    <row r="4428" spans="1:7" x14ac:dyDescent="0.3">
      <c r="A4428" s="80">
        <v>45678</v>
      </c>
      <c r="B4428">
        <v>3010200</v>
      </c>
      <c r="C4428">
        <v>5000</v>
      </c>
      <c r="E4428" s="80">
        <v>45669</v>
      </c>
      <c r="F4428">
        <v>3010111</v>
      </c>
      <c r="G4428">
        <v>0</v>
      </c>
    </row>
    <row r="4429" spans="1:7" x14ac:dyDescent="0.3">
      <c r="A4429" s="80">
        <v>45678</v>
      </c>
      <c r="B4429">
        <v>3010200</v>
      </c>
      <c r="C4429">
        <v>5000</v>
      </c>
      <c r="E4429" s="80">
        <v>45669</v>
      </c>
      <c r="F4429">
        <v>3010111</v>
      </c>
      <c r="G4429">
        <v>1672</v>
      </c>
    </row>
    <row r="4430" spans="1:7" x14ac:dyDescent="0.3">
      <c r="A4430" s="80">
        <v>45678</v>
      </c>
      <c r="B4430">
        <v>3010200</v>
      </c>
      <c r="C4430">
        <v>5000</v>
      </c>
      <c r="E4430" s="80">
        <v>45669</v>
      </c>
      <c r="F4430">
        <v>3010111</v>
      </c>
      <c r="G4430">
        <v>1672</v>
      </c>
    </row>
    <row r="4431" spans="1:7" x14ac:dyDescent="0.3">
      <c r="A4431" s="80">
        <v>45678</v>
      </c>
      <c r="B4431">
        <v>3010200</v>
      </c>
      <c r="C4431">
        <v>5000</v>
      </c>
      <c r="E4431" s="80">
        <v>45669</v>
      </c>
      <c r="F4431">
        <v>3010111</v>
      </c>
      <c r="G4431">
        <v>3017</v>
      </c>
    </row>
    <row r="4432" spans="1:7" x14ac:dyDescent="0.3">
      <c r="A4432" s="80">
        <v>45678</v>
      </c>
      <c r="B4432">
        <v>3010200</v>
      </c>
      <c r="C4432">
        <v>5000</v>
      </c>
      <c r="E4432" s="80">
        <v>45669</v>
      </c>
      <c r="F4432">
        <v>3010111</v>
      </c>
      <c r="G4432">
        <v>1672</v>
      </c>
    </row>
    <row r="4433" spans="1:7" x14ac:dyDescent="0.3">
      <c r="A4433" s="80">
        <v>45678</v>
      </c>
      <c r="B4433">
        <v>3010200</v>
      </c>
      <c r="C4433">
        <v>5000</v>
      </c>
      <c r="E4433" s="80">
        <v>45669</v>
      </c>
      <c r="F4433">
        <v>3010111</v>
      </c>
      <c r="G4433">
        <v>3521</v>
      </c>
    </row>
    <row r="4434" spans="1:7" x14ac:dyDescent="0.3">
      <c r="A4434" s="80">
        <v>45678</v>
      </c>
      <c r="B4434">
        <v>3010200</v>
      </c>
      <c r="C4434">
        <v>5000</v>
      </c>
      <c r="E4434" s="80">
        <v>45669</v>
      </c>
      <c r="F4434">
        <v>3010111</v>
      </c>
      <c r="G4434">
        <v>1672</v>
      </c>
    </row>
    <row r="4435" spans="1:7" x14ac:dyDescent="0.3">
      <c r="A4435" s="80">
        <v>45678</v>
      </c>
      <c r="B4435">
        <v>3010200</v>
      </c>
      <c r="C4435">
        <v>5000</v>
      </c>
      <c r="E4435" s="80">
        <v>45669</v>
      </c>
      <c r="F4435">
        <v>3010111</v>
      </c>
      <c r="G4435">
        <v>1672</v>
      </c>
    </row>
    <row r="4436" spans="1:7" x14ac:dyDescent="0.3">
      <c r="A4436" s="80">
        <v>45678</v>
      </c>
      <c r="B4436">
        <v>3010200</v>
      </c>
      <c r="C4436">
        <v>5000</v>
      </c>
      <c r="E4436" s="80">
        <v>45668</v>
      </c>
      <c r="F4436">
        <v>3010111</v>
      </c>
      <c r="G4436">
        <v>1672</v>
      </c>
    </row>
    <row r="4437" spans="1:7" x14ac:dyDescent="0.3">
      <c r="A4437" s="80">
        <v>45678</v>
      </c>
      <c r="B4437">
        <v>3010200</v>
      </c>
      <c r="C4437">
        <v>5000</v>
      </c>
      <c r="E4437" s="80">
        <v>45668</v>
      </c>
      <c r="F4437">
        <v>3010111</v>
      </c>
      <c r="G4437">
        <v>4025</v>
      </c>
    </row>
    <row r="4438" spans="1:7" x14ac:dyDescent="0.3">
      <c r="A4438" s="80">
        <v>45678</v>
      </c>
      <c r="B4438">
        <v>3010200</v>
      </c>
      <c r="C4438">
        <v>5000</v>
      </c>
      <c r="E4438" s="80">
        <v>45668</v>
      </c>
      <c r="F4438">
        <v>3010111</v>
      </c>
      <c r="G4438">
        <v>3689</v>
      </c>
    </row>
    <row r="4439" spans="1:7" x14ac:dyDescent="0.3">
      <c r="A4439" s="80">
        <v>45678</v>
      </c>
      <c r="B4439">
        <v>3010200</v>
      </c>
      <c r="C4439">
        <v>5000</v>
      </c>
      <c r="E4439" s="80">
        <v>45668</v>
      </c>
      <c r="F4439">
        <v>3010111</v>
      </c>
      <c r="G4439">
        <v>3017</v>
      </c>
    </row>
    <row r="4440" spans="1:7" x14ac:dyDescent="0.3">
      <c r="A4440" s="80">
        <v>45677</v>
      </c>
      <c r="B4440">
        <v>3010200</v>
      </c>
      <c r="C4440">
        <v>5000</v>
      </c>
      <c r="E4440" s="80">
        <v>45668</v>
      </c>
      <c r="F4440">
        <v>3010111</v>
      </c>
      <c r="G4440">
        <v>3799</v>
      </c>
    </row>
    <row r="4441" spans="1:7" x14ac:dyDescent="0.3">
      <c r="A4441" s="80">
        <v>45677</v>
      </c>
      <c r="B4441">
        <v>3010200</v>
      </c>
      <c r="C4441">
        <v>5000</v>
      </c>
      <c r="E4441" s="80">
        <v>45668</v>
      </c>
      <c r="F4441">
        <v>3010111</v>
      </c>
      <c r="G4441">
        <v>1672</v>
      </c>
    </row>
    <row r="4442" spans="1:7" x14ac:dyDescent="0.3">
      <c r="A4442" s="80">
        <v>45677</v>
      </c>
      <c r="B4442">
        <v>3010200</v>
      </c>
      <c r="C4442">
        <v>5000</v>
      </c>
      <c r="E4442" s="80">
        <v>45668</v>
      </c>
      <c r="F4442">
        <v>3010111</v>
      </c>
      <c r="G4442">
        <v>1672</v>
      </c>
    </row>
    <row r="4443" spans="1:7" x14ac:dyDescent="0.3">
      <c r="A4443" s="80">
        <v>45677</v>
      </c>
      <c r="B4443">
        <v>3010200</v>
      </c>
      <c r="C4443">
        <v>5000</v>
      </c>
      <c r="E4443" s="80">
        <v>45668</v>
      </c>
      <c r="F4443">
        <v>3010111</v>
      </c>
      <c r="G4443">
        <v>0</v>
      </c>
    </row>
    <row r="4444" spans="1:7" x14ac:dyDescent="0.3">
      <c r="A4444" s="80">
        <v>45677</v>
      </c>
      <c r="B4444">
        <v>3010200</v>
      </c>
      <c r="C4444">
        <v>5000</v>
      </c>
      <c r="E4444" s="80">
        <v>45668</v>
      </c>
      <c r="F4444">
        <v>3010111</v>
      </c>
      <c r="G4444">
        <v>0</v>
      </c>
    </row>
    <row r="4445" spans="1:7" x14ac:dyDescent="0.3">
      <c r="A4445" s="80">
        <v>45677</v>
      </c>
      <c r="B4445">
        <v>3010200</v>
      </c>
      <c r="C4445">
        <v>5000</v>
      </c>
      <c r="E4445" s="80">
        <v>45668</v>
      </c>
      <c r="F4445">
        <v>3010111</v>
      </c>
      <c r="G4445">
        <v>1672</v>
      </c>
    </row>
    <row r="4446" spans="1:7" x14ac:dyDescent="0.3">
      <c r="A4446" s="80">
        <v>45676</v>
      </c>
      <c r="B4446">
        <v>3010200</v>
      </c>
      <c r="C4446">
        <v>5000</v>
      </c>
      <c r="E4446" s="80">
        <v>45668</v>
      </c>
      <c r="F4446">
        <v>3010111</v>
      </c>
      <c r="G4446">
        <v>1672</v>
      </c>
    </row>
    <row r="4447" spans="1:7" x14ac:dyDescent="0.3">
      <c r="A4447" s="80">
        <v>45676</v>
      </c>
      <c r="B4447">
        <v>3010200</v>
      </c>
      <c r="C4447">
        <v>5000</v>
      </c>
      <c r="E4447" s="80">
        <v>45668</v>
      </c>
      <c r="F4447">
        <v>3010111</v>
      </c>
      <c r="G4447">
        <v>1672</v>
      </c>
    </row>
    <row r="4448" spans="1:7" x14ac:dyDescent="0.3">
      <c r="A4448" s="80">
        <v>45676</v>
      </c>
      <c r="B4448">
        <v>3010200</v>
      </c>
      <c r="C4448">
        <v>5000</v>
      </c>
      <c r="E4448" s="80">
        <v>45668</v>
      </c>
      <c r="F4448">
        <v>3010111</v>
      </c>
      <c r="G4448">
        <v>1672</v>
      </c>
    </row>
    <row r="4449" spans="1:7" x14ac:dyDescent="0.3">
      <c r="A4449" s="80">
        <v>45676</v>
      </c>
      <c r="B4449">
        <v>3010200</v>
      </c>
      <c r="C4449">
        <v>5000</v>
      </c>
      <c r="E4449" s="80">
        <v>45668</v>
      </c>
      <c r="F4449">
        <v>3010111</v>
      </c>
      <c r="G4449">
        <v>0</v>
      </c>
    </row>
    <row r="4450" spans="1:7" x14ac:dyDescent="0.3">
      <c r="A4450" s="80">
        <v>45676</v>
      </c>
      <c r="B4450">
        <v>3010200</v>
      </c>
      <c r="C4450">
        <v>5000</v>
      </c>
      <c r="E4450" s="80">
        <v>45668</v>
      </c>
      <c r="F4450">
        <v>3010111</v>
      </c>
      <c r="G4450">
        <v>3017</v>
      </c>
    </row>
    <row r="4451" spans="1:7" x14ac:dyDescent="0.3">
      <c r="A4451" s="80">
        <v>45676</v>
      </c>
      <c r="B4451">
        <v>3010200</v>
      </c>
      <c r="C4451">
        <v>5000</v>
      </c>
      <c r="E4451" s="80">
        <v>45667</v>
      </c>
      <c r="F4451">
        <v>3010111</v>
      </c>
      <c r="G4451">
        <v>3353</v>
      </c>
    </row>
    <row r="4452" spans="1:7" x14ac:dyDescent="0.3">
      <c r="A4452" s="80">
        <v>45676</v>
      </c>
      <c r="B4452">
        <v>3010200</v>
      </c>
      <c r="C4452">
        <v>5000</v>
      </c>
      <c r="E4452" s="80">
        <v>45667</v>
      </c>
      <c r="F4452">
        <v>3010111</v>
      </c>
      <c r="G4452">
        <v>1672</v>
      </c>
    </row>
    <row r="4453" spans="1:7" x14ac:dyDescent="0.3">
      <c r="A4453" s="80">
        <v>45676</v>
      </c>
      <c r="B4453">
        <v>3010200</v>
      </c>
      <c r="C4453">
        <v>5000</v>
      </c>
      <c r="E4453" s="80">
        <v>45667</v>
      </c>
      <c r="F4453">
        <v>3010111</v>
      </c>
      <c r="G4453">
        <v>1672</v>
      </c>
    </row>
    <row r="4454" spans="1:7" x14ac:dyDescent="0.3">
      <c r="A4454" s="80">
        <v>45676</v>
      </c>
      <c r="B4454">
        <v>3010200</v>
      </c>
      <c r="C4454">
        <v>5000</v>
      </c>
      <c r="E4454" s="80">
        <v>45667</v>
      </c>
      <c r="F4454">
        <v>3010111</v>
      </c>
      <c r="G4454">
        <v>0</v>
      </c>
    </row>
    <row r="4455" spans="1:7" x14ac:dyDescent="0.3">
      <c r="A4455" s="80">
        <v>45676</v>
      </c>
      <c r="B4455">
        <v>3010200</v>
      </c>
      <c r="C4455">
        <v>5000</v>
      </c>
      <c r="E4455" s="80">
        <v>45667</v>
      </c>
      <c r="F4455">
        <v>3010111</v>
      </c>
      <c r="G4455">
        <v>0</v>
      </c>
    </row>
    <row r="4456" spans="1:7" x14ac:dyDescent="0.3">
      <c r="A4456" s="80">
        <v>45676</v>
      </c>
      <c r="B4456">
        <v>3010200</v>
      </c>
      <c r="C4456">
        <v>5000</v>
      </c>
      <c r="E4456" s="80">
        <v>45667</v>
      </c>
      <c r="F4456">
        <v>3010111</v>
      </c>
      <c r="G4456">
        <v>1672</v>
      </c>
    </row>
    <row r="4457" spans="1:7" x14ac:dyDescent="0.3">
      <c r="A4457" s="80">
        <v>45676</v>
      </c>
      <c r="B4457">
        <v>3010200</v>
      </c>
      <c r="C4457">
        <v>3000</v>
      </c>
      <c r="E4457" s="80">
        <v>45667</v>
      </c>
      <c r="F4457">
        <v>3010111</v>
      </c>
      <c r="G4457">
        <v>3773</v>
      </c>
    </row>
    <row r="4458" spans="1:7" x14ac:dyDescent="0.3">
      <c r="A4458" s="80">
        <v>45676</v>
      </c>
      <c r="B4458">
        <v>3010200</v>
      </c>
      <c r="C4458">
        <v>5000</v>
      </c>
      <c r="E4458" s="80">
        <v>45667</v>
      </c>
      <c r="F4458">
        <v>3010111</v>
      </c>
      <c r="G4458">
        <v>0</v>
      </c>
    </row>
    <row r="4459" spans="1:7" x14ac:dyDescent="0.3">
      <c r="A4459" s="80">
        <v>45676</v>
      </c>
      <c r="B4459">
        <v>3010200</v>
      </c>
      <c r="C4459">
        <v>5000</v>
      </c>
      <c r="E4459" s="80">
        <v>45667</v>
      </c>
      <c r="F4459">
        <v>3010111</v>
      </c>
      <c r="G4459">
        <v>0</v>
      </c>
    </row>
    <row r="4460" spans="1:7" x14ac:dyDescent="0.3">
      <c r="A4460" s="80">
        <v>45676</v>
      </c>
      <c r="B4460">
        <v>3010200</v>
      </c>
      <c r="C4460">
        <v>5000</v>
      </c>
      <c r="E4460" s="80">
        <v>45667</v>
      </c>
      <c r="F4460">
        <v>3010111</v>
      </c>
      <c r="G4460">
        <v>1672</v>
      </c>
    </row>
    <row r="4461" spans="1:7" x14ac:dyDescent="0.3">
      <c r="A4461" s="80">
        <v>45676</v>
      </c>
      <c r="B4461">
        <v>3010200</v>
      </c>
      <c r="C4461">
        <v>5000</v>
      </c>
      <c r="E4461" s="80">
        <v>45667</v>
      </c>
      <c r="F4461">
        <v>3010111</v>
      </c>
      <c r="G4461">
        <v>0</v>
      </c>
    </row>
    <row r="4462" spans="1:7" x14ac:dyDescent="0.3">
      <c r="A4462" s="80">
        <v>45676</v>
      </c>
      <c r="B4462">
        <v>3010200</v>
      </c>
      <c r="C4462">
        <v>5000</v>
      </c>
      <c r="E4462" s="80">
        <v>45667</v>
      </c>
      <c r="F4462">
        <v>3010111</v>
      </c>
      <c r="G4462">
        <v>0</v>
      </c>
    </row>
    <row r="4463" spans="1:7" x14ac:dyDescent="0.3">
      <c r="A4463" s="80">
        <v>45676</v>
      </c>
      <c r="B4463">
        <v>3010200</v>
      </c>
      <c r="C4463">
        <v>2630</v>
      </c>
      <c r="E4463" s="80">
        <v>45667</v>
      </c>
      <c r="F4463">
        <v>3010111</v>
      </c>
      <c r="G4463">
        <v>1672</v>
      </c>
    </row>
    <row r="4464" spans="1:7" x14ac:dyDescent="0.3">
      <c r="A4464" s="80">
        <v>45675</v>
      </c>
      <c r="B4464">
        <v>3010200</v>
      </c>
      <c r="C4464">
        <v>5000</v>
      </c>
      <c r="E4464" s="80">
        <v>45667</v>
      </c>
      <c r="F4464">
        <v>3010111</v>
      </c>
      <c r="G4464">
        <v>1672</v>
      </c>
    </row>
    <row r="4465" spans="1:7" x14ac:dyDescent="0.3">
      <c r="A4465" s="80">
        <v>45675</v>
      </c>
      <c r="B4465">
        <v>3010200</v>
      </c>
      <c r="C4465">
        <v>5000</v>
      </c>
      <c r="E4465" s="80">
        <v>45667</v>
      </c>
      <c r="F4465">
        <v>3010111</v>
      </c>
      <c r="G4465">
        <v>0</v>
      </c>
    </row>
    <row r="4466" spans="1:7" x14ac:dyDescent="0.3">
      <c r="A4466" s="80">
        <v>45675</v>
      </c>
      <c r="B4466">
        <v>3010200</v>
      </c>
      <c r="C4466">
        <v>5000</v>
      </c>
      <c r="E4466" s="80">
        <v>45666</v>
      </c>
      <c r="F4466">
        <v>3010111</v>
      </c>
      <c r="G4466">
        <v>0</v>
      </c>
    </row>
    <row r="4467" spans="1:7" x14ac:dyDescent="0.3">
      <c r="A4467" s="80">
        <v>45675</v>
      </c>
      <c r="B4467">
        <v>3010200</v>
      </c>
      <c r="C4467">
        <v>5000</v>
      </c>
      <c r="E4467" s="80">
        <v>45666</v>
      </c>
      <c r="F4467">
        <v>3010111</v>
      </c>
      <c r="G4467">
        <v>1672</v>
      </c>
    </row>
    <row r="4468" spans="1:7" x14ac:dyDescent="0.3">
      <c r="A4468" s="80">
        <v>45675</v>
      </c>
      <c r="B4468">
        <v>3010200</v>
      </c>
      <c r="C4468">
        <v>5000</v>
      </c>
      <c r="E4468" s="80">
        <v>45666</v>
      </c>
      <c r="F4468">
        <v>3010111</v>
      </c>
      <c r="G4468">
        <v>1672</v>
      </c>
    </row>
    <row r="4469" spans="1:7" x14ac:dyDescent="0.3">
      <c r="A4469" s="80">
        <v>45675</v>
      </c>
      <c r="B4469">
        <v>3010200</v>
      </c>
      <c r="C4469">
        <v>5000</v>
      </c>
      <c r="E4469" s="80">
        <v>45666</v>
      </c>
      <c r="F4469">
        <v>3010111</v>
      </c>
      <c r="G4469">
        <v>1672</v>
      </c>
    </row>
    <row r="4470" spans="1:7" x14ac:dyDescent="0.3">
      <c r="A4470" s="80">
        <v>45675</v>
      </c>
      <c r="B4470">
        <v>3010200</v>
      </c>
      <c r="C4470">
        <v>5000</v>
      </c>
      <c r="E4470" s="80">
        <v>45666</v>
      </c>
      <c r="F4470">
        <v>3010111</v>
      </c>
      <c r="G4470">
        <v>1672</v>
      </c>
    </row>
    <row r="4471" spans="1:7" x14ac:dyDescent="0.3">
      <c r="A4471" s="80">
        <v>45675</v>
      </c>
      <c r="B4471">
        <v>3010200</v>
      </c>
      <c r="C4471">
        <v>5000</v>
      </c>
      <c r="E4471" s="80">
        <v>45666</v>
      </c>
      <c r="F4471">
        <v>3010111</v>
      </c>
      <c r="G4471">
        <v>4613</v>
      </c>
    </row>
    <row r="4472" spans="1:7" x14ac:dyDescent="0.3">
      <c r="A4472" s="80">
        <v>45675</v>
      </c>
      <c r="B4472">
        <v>3010200</v>
      </c>
      <c r="C4472">
        <v>5000</v>
      </c>
      <c r="E4472" s="80">
        <v>45666</v>
      </c>
      <c r="F4472">
        <v>3010111</v>
      </c>
      <c r="G4472">
        <v>3689</v>
      </c>
    </row>
    <row r="4473" spans="1:7" x14ac:dyDescent="0.3">
      <c r="A4473" s="80">
        <v>45675</v>
      </c>
      <c r="B4473">
        <v>3010200</v>
      </c>
      <c r="C4473">
        <v>5000</v>
      </c>
      <c r="E4473" s="80">
        <v>45666</v>
      </c>
      <c r="F4473">
        <v>3010111</v>
      </c>
      <c r="G4473">
        <v>1672</v>
      </c>
    </row>
    <row r="4474" spans="1:7" x14ac:dyDescent="0.3">
      <c r="A4474" s="80">
        <v>45675</v>
      </c>
      <c r="B4474">
        <v>3010200</v>
      </c>
      <c r="C4474">
        <v>5000</v>
      </c>
      <c r="E4474" s="80">
        <v>45666</v>
      </c>
      <c r="F4474">
        <v>3010111</v>
      </c>
      <c r="G4474">
        <v>0</v>
      </c>
    </row>
    <row r="4475" spans="1:7" x14ac:dyDescent="0.3">
      <c r="A4475" s="80">
        <v>45674</v>
      </c>
      <c r="B4475">
        <v>3010200</v>
      </c>
      <c r="C4475">
        <v>5000</v>
      </c>
      <c r="E4475" s="80">
        <v>45666</v>
      </c>
      <c r="F4475">
        <v>3010111</v>
      </c>
      <c r="G4475">
        <v>4025</v>
      </c>
    </row>
    <row r="4476" spans="1:7" x14ac:dyDescent="0.3">
      <c r="A4476" s="80">
        <v>45674</v>
      </c>
      <c r="B4476">
        <v>3010200</v>
      </c>
      <c r="C4476">
        <v>5000</v>
      </c>
      <c r="E4476" s="80">
        <v>45666</v>
      </c>
      <c r="F4476">
        <v>3010111</v>
      </c>
      <c r="G4476">
        <v>1672</v>
      </c>
    </row>
    <row r="4477" spans="1:7" x14ac:dyDescent="0.3">
      <c r="A4477" s="80">
        <v>45674</v>
      </c>
      <c r="B4477">
        <v>3010200</v>
      </c>
      <c r="C4477">
        <v>5000</v>
      </c>
      <c r="E4477" s="80">
        <v>45666</v>
      </c>
      <c r="F4477">
        <v>3010111</v>
      </c>
      <c r="G4477">
        <v>3185</v>
      </c>
    </row>
    <row r="4478" spans="1:7" x14ac:dyDescent="0.3">
      <c r="A4478" s="80">
        <v>45674</v>
      </c>
      <c r="B4478">
        <v>3010200</v>
      </c>
      <c r="C4478">
        <v>5000</v>
      </c>
      <c r="E4478" s="80">
        <v>45666</v>
      </c>
      <c r="F4478">
        <v>3010111</v>
      </c>
      <c r="G4478">
        <v>1672</v>
      </c>
    </row>
    <row r="4479" spans="1:7" x14ac:dyDescent="0.3">
      <c r="A4479" s="80">
        <v>45674</v>
      </c>
      <c r="B4479">
        <v>3010200</v>
      </c>
      <c r="C4479">
        <v>5000</v>
      </c>
      <c r="E4479" s="80">
        <v>45666</v>
      </c>
      <c r="F4479">
        <v>3010111</v>
      </c>
      <c r="G4479">
        <v>0</v>
      </c>
    </row>
    <row r="4480" spans="1:7" x14ac:dyDescent="0.3">
      <c r="A4480" s="80">
        <v>45674</v>
      </c>
      <c r="B4480">
        <v>3010200</v>
      </c>
      <c r="C4480">
        <v>5000</v>
      </c>
      <c r="E4480" s="80">
        <v>45666</v>
      </c>
      <c r="F4480">
        <v>3010111</v>
      </c>
      <c r="G4480">
        <v>0</v>
      </c>
    </row>
    <row r="4481" spans="1:7" x14ac:dyDescent="0.3">
      <c r="A4481" s="80">
        <v>45674</v>
      </c>
      <c r="B4481">
        <v>3010200</v>
      </c>
      <c r="C4481">
        <v>5000</v>
      </c>
      <c r="E4481" s="80">
        <v>45666</v>
      </c>
      <c r="F4481">
        <v>3010111</v>
      </c>
      <c r="G4481">
        <v>0</v>
      </c>
    </row>
    <row r="4482" spans="1:7" x14ac:dyDescent="0.3">
      <c r="A4482" s="80">
        <v>45674</v>
      </c>
      <c r="B4482">
        <v>3010200</v>
      </c>
      <c r="C4482">
        <v>5000</v>
      </c>
      <c r="E4482" s="80">
        <v>45666</v>
      </c>
      <c r="F4482">
        <v>3010111</v>
      </c>
      <c r="G4482">
        <v>0</v>
      </c>
    </row>
    <row r="4483" spans="1:7" x14ac:dyDescent="0.3">
      <c r="A4483" s="80">
        <v>45674</v>
      </c>
      <c r="B4483">
        <v>3010200</v>
      </c>
      <c r="C4483">
        <v>5000</v>
      </c>
      <c r="E4483" s="80">
        <v>45666</v>
      </c>
      <c r="F4483">
        <v>3010111</v>
      </c>
      <c r="G4483">
        <v>1672</v>
      </c>
    </row>
    <row r="4484" spans="1:7" x14ac:dyDescent="0.3">
      <c r="A4484" s="80">
        <v>45674</v>
      </c>
      <c r="B4484">
        <v>3010200</v>
      </c>
      <c r="C4484">
        <v>500</v>
      </c>
      <c r="E4484" s="80">
        <v>45665</v>
      </c>
      <c r="F4484">
        <v>3010111</v>
      </c>
      <c r="G4484">
        <v>1672</v>
      </c>
    </row>
    <row r="4485" spans="1:7" x14ac:dyDescent="0.3">
      <c r="A4485" s="80">
        <v>45674</v>
      </c>
      <c r="B4485">
        <v>3010200</v>
      </c>
      <c r="C4485">
        <v>5000</v>
      </c>
      <c r="E4485" s="80">
        <v>45665</v>
      </c>
      <c r="F4485">
        <v>3010111</v>
      </c>
      <c r="G4485">
        <v>1672</v>
      </c>
    </row>
    <row r="4486" spans="1:7" x14ac:dyDescent="0.3">
      <c r="A4486" s="80">
        <v>45673</v>
      </c>
      <c r="B4486">
        <v>3010200</v>
      </c>
      <c r="C4486">
        <v>5000</v>
      </c>
      <c r="E4486" s="80">
        <v>45665</v>
      </c>
      <c r="F4486">
        <v>3010111</v>
      </c>
      <c r="G4486">
        <v>1672</v>
      </c>
    </row>
    <row r="4487" spans="1:7" x14ac:dyDescent="0.3">
      <c r="A4487" s="80">
        <v>45673</v>
      </c>
      <c r="B4487">
        <v>3010200</v>
      </c>
      <c r="C4487">
        <v>5000</v>
      </c>
      <c r="E4487" s="80">
        <v>45665</v>
      </c>
      <c r="F4487">
        <v>3010111</v>
      </c>
      <c r="G4487">
        <v>0</v>
      </c>
    </row>
    <row r="4488" spans="1:7" x14ac:dyDescent="0.3">
      <c r="A4488" s="80">
        <v>45673</v>
      </c>
      <c r="B4488">
        <v>3010200</v>
      </c>
      <c r="C4488">
        <v>5000</v>
      </c>
      <c r="E4488" s="80">
        <v>45665</v>
      </c>
      <c r="F4488">
        <v>3010111</v>
      </c>
      <c r="G4488">
        <v>0</v>
      </c>
    </row>
    <row r="4489" spans="1:7" x14ac:dyDescent="0.3">
      <c r="A4489" s="80">
        <v>45673</v>
      </c>
      <c r="B4489">
        <v>3010200</v>
      </c>
      <c r="C4489">
        <v>5000</v>
      </c>
      <c r="E4489" s="80">
        <v>45665</v>
      </c>
      <c r="F4489">
        <v>3010111</v>
      </c>
      <c r="G4489">
        <v>3185</v>
      </c>
    </row>
    <row r="4490" spans="1:7" x14ac:dyDescent="0.3">
      <c r="A4490" s="80">
        <v>45673</v>
      </c>
      <c r="B4490">
        <v>3010200</v>
      </c>
      <c r="C4490">
        <v>5000</v>
      </c>
      <c r="E4490" s="80">
        <v>45665</v>
      </c>
      <c r="F4490">
        <v>3010111</v>
      </c>
      <c r="G4490">
        <v>0</v>
      </c>
    </row>
    <row r="4491" spans="1:7" x14ac:dyDescent="0.3">
      <c r="A4491" s="80">
        <v>45673</v>
      </c>
      <c r="B4491">
        <v>3010200</v>
      </c>
      <c r="C4491">
        <v>5000</v>
      </c>
      <c r="E4491" s="80">
        <v>45665</v>
      </c>
      <c r="F4491">
        <v>3010111</v>
      </c>
      <c r="G4491">
        <v>3521</v>
      </c>
    </row>
    <row r="4492" spans="1:7" x14ac:dyDescent="0.3">
      <c r="A4492" s="80">
        <v>45672</v>
      </c>
      <c r="B4492">
        <v>3010200</v>
      </c>
      <c r="C4492">
        <v>5000</v>
      </c>
      <c r="E4492" s="80">
        <v>45665</v>
      </c>
      <c r="F4492">
        <v>3010111</v>
      </c>
      <c r="G4492">
        <v>1672</v>
      </c>
    </row>
    <row r="4493" spans="1:7" x14ac:dyDescent="0.3">
      <c r="A4493" s="80">
        <v>45672</v>
      </c>
      <c r="B4493">
        <v>3010200</v>
      </c>
      <c r="C4493">
        <v>5000</v>
      </c>
      <c r="E4493" s="80">
        <v>45665</v>
      </c>
      <c r="F4493">
        <v>3010111</v>
      </c>
      <c r="G4493">
        <v>3521</v>
      </c>
    </row>
    <row r="4494" spans="1:7" x14ac:dyDescent="0.3">
      <c r="A4494" s="80">
        <v>45672</v>
      </c>
      <c r="B4494">
        <v>3010200</v>
      </c>
      <c r="C4494">
        <v>5000</v>
      </c>
      <c r="E4494" s="80">
        <v>45665</v>
      </c>
      <c r="F4494">
        <v>3010111</v>
      </c>
      <c r="G4494">
        <v>0</v>
      </c>
    </row>
    <row r="4495" spans="1:7" x14ac:dyDescent="0.3">
      <c r="A4495" s="80">
        <v>45672</v>
      </c>
      <c r="B4495">
        <v>3010200</v>
      </c>
      <c r="C4495">
        <v>5000</v>
      </c>
      <c r="E4495" s="80">
        <v>45665</v>
      </c>
      <c r="F4495">
        <v>3010111</v>
      </c>
      <c r="G4495">
        <v>1672</v>
      </c>
    </row>
    <row r="4496" spans="1:7" x14ac:dyDescent="0.3">
      <c r="A4496" s="80">
        <v>45672</v>
      </c>
      <c r="B4496">
        <v>3010200</v>
      </c>
      <c r="C4496">
        <v>5000</v>
      </c>
      <c r="E4496" s="80">
        <v>45665</v>
      </c>
      <c r="F4496">
        <v>3010111</v>
      </c>
      <c r="G4496">
        <v>3353</v>
      </c>
    </row>
    <row r="4497" spans="1:7" x14ac:dyDescent="0.3">
      <c r="A4497" s="80">
        <v>45672</v>
      </c>
      <c r="B4497">
        <v>3010200</v>
      </c>
      <c r="C4497">
        <v>5000</v>
      </c>
      <c r="E4497" s="80">
        <v>45665</v>
      </c>
      <c r="F4497">
        <v>3010111</v>
      </c>
      <c r="G4497">
        <v>1672</v>
      </c>
    </row>
    <row r="4498" spans="1:7" x14ac:dyDescent="0.3">
      <c r="A4498" s="80">
        <v>45672</v>
      </c>
      <c r="B4498">
        <v>3010200</v>
      </c>
      <c r="C4498">
        <v>5000</v>
      </c>
      <c r="E4498" s="80">
        <v>45665</v>
      </c>
      <c r="F4498">
        <v>3010111</v>
      </c>
      <c r="G4498">
        <v>1672</v>
      </c>
    </row>
    <row r="4499" spans="1:7" x14ac:dyDescent="0.3">
      <c r="A4499" s="80">
        <v>45672</v>
      </c>
      <c r="B4499">
        <v>3010200</v>
      </c>
      <c r="C4499">
        <v>5000</v>
      </c>
      <c r="E4499" s="80">
        <v>45665</v>
      </c>
      <c r="F4499">
        <v>3010111</v>
      </c>
      <c r="G4499">
        <v>0</v>
      </c>
    </row>
    <row r="4500" spans="1:7" x14ac:dyDescent="0.3">
      <c r="A4500" s="80">
        <v>45672</v>
      </c>
      <c r="B4500">
        <v>3010200</v>
      </c>
      <c r="C4500">
        <v>5000</v>
      </c>
      <c r="E4500" s="80">
        <v>45665</v>
      </c>
      <c r="F4500">
        <v>3010111</v>
      </c>
      <c r="G4500">
        <v>1672</v>
      </c>
    </row>
    <row r="4501" spans="1:7" x14ac:dyDescent="0.3">
      <c r="A4501" s="80">
        <v>45672</v>
      </c>
      <c r="B4501">
        <v>3010200</v>
      </c>
      <c r="C4501">
        <v>5000</v>
      </c>
      <c r="E4501" s="80">
        <v>45665</v>
      </c>
      <c r="F4501">
        <v>3010111</v>
      </c>
      <c r="G4501">
        <v>1672</v>
      </c>
    </row>
    <row r="4502" spans="1:7" x14ac:dyDescent="0.3">
      <c r="A4502" s="80">
        <v>45672</v>
      </c>
      <c r="B4502">
        <v>3010200</v>
      </c>
      <c r="C4502">
        <v>5000</v>
      </c>
      <c r="E4502" s="80">
        <v>45665</v>
      </c>
      <c r="F4502">
        <v>3010111</v>
      </c>
      <c r="G4502">
        <v>5706</v>
      </c>
    </row>
    <row r="4503" spans="1:7" x14ac:dyDescent="0.3">
      <c r="A4503" s="80">
        <v>45672</v>
      </c>
      <c r="B4503">
        <v>3010200</v>
      </c>
      <c r="C4503">
        <v>5000</v>
      </c>
      <c r="E4503" s="80">
        <v>45665</v>
      </c>
      <c r="F4503">
        <v>3010111</v>
      </c>
      <c r="G4503">
        <v>3521</v>
      </c>
    </row>
    <row r="4504" spans="1:7" x14ac:dyDescent="0.3">
      <c r="A4504" s="80">
        <v>45672</v>
      </c>
      <c r="B4504">
        <v>3010200</v>
      </c>
      <c r="C4504">
        <v>5000</v>
      </c>
      <c r="E4504" s="80">
        <v>45665</v>
      </c>
      <c r="F4504">
        <v>3010111</v>
      </c>
      <c r="G4504">
        <v>1672</v>
      </c>
    </row>
    <row r="4505" spans="1:7" x14ac:dyDescent="0.3">
      <c r="A4505" s="80">
        <v>45671</v>
      </c>
      <c r="B4505">
        <v>3010200</v>
      </c>
      <c r="C4505">
        <v>5000</v>
      </c>
      <c r="E4505" s="80">
        <v>45665</v>
      </c>
      <c r="F4505">
        <v>3010111</v>
      </c>
      <c r="G4505">
        <v>1672</v>
      </c>
    </row>
    <row r="4506" spans="1:7" x14ac:dyDescent="0.3">
      <c r="A4506" s="80">
        <v>45671</v>
      </c>
      <c r="B4506">
        <v>3010200</v>
      </c>
      <c r="C4506">
        <v>5000</v>
      </c>
      <c r="E4506" s="80">
        <v>45665</v>
      </c>
      <c r="F4506">
        <v>3010111</v>
      </c>
      <c r="G4506">
        <v>1672</v>
      </c>
    </row>
    <row r="4507" spans="1:7" x14ac:dyDescent="0.3">
      <c r="A4507" s="80">
        <v>45671</v>
      </c>
      <c r="B4507">
        <v>3010200</v>
      </c>
      <c r="C4507">
        <v>5000</v>
      </c>
      <c r="E4507" s="80">
        <v>45665</v>
      </c>
      <c r="F4507">
        <v>3010111</v>
      </c>
      <c r="G4507">
        <v>1672</v>
      </c>
    </row>
    <row r="4508" spans="1:7" x14ac:dyDescent="0.3">
      <c r="A4508" s="80">
        <v>45671</v>
      </c>
      <c r="B4508">
        <v>3010200</v>
      </c>
      <c r="C4508">
        <v>5000</v>
      </c>
      <c r="E4508" s="80">
        <v>45664</v>
      </c>
      <c r="F4508">
        <v>3010111</v>
      </c>
      <c r="G4508">
        <v>3799</v>
      </c>
    </row>
    <row r="4509" spans="1:7" x14ac:dyDescent="0.3">
      <c r="A4509" s="80">
        <v>45671</v>
      </c>
      <c r="B4509">
        <v>3010200</v>
      </c>
      <c r="C4509">
        <v>3000</v>
      </c>
      <c r="E4509" s="80">
        <v>45664</v>
      </c>
      <c r="F4509">
        <v>3010111</v>
      </c>
      <c r="G4509">
        <v>3353</v>
      </c>
    </row>
    <row r="4510" spans="1:7" x14ac:dyDescent="0.3">
      <c r="A4510" s="80">
        <v>45671</v>
      </c>
      <c r="B4510">
        <v>3010200</v>
      </c>
      <c r="C4510">
        <v>5000</v>
      </c>
      <c r="E4510" s="80">
        <v>45664</v>
      </c>
      <c r="F4510">
        <v>3010111</v>
      </c>
      <c r="G4510">
        <v>3353</v>
      </c>
    </row>
    <row r="4511" spans="1:7" x14ac:dyDescent="0.3">
      <c r="A4511" s="80">
        <v>45671</v>
      </c>
      <c r="B4511">
        <v>3010200</v>
      </c>
      <c r="C4511">
        <v>5000</v>
      </c>
      <c r="E4511" s="80">
        <v>45664</v>
      </c>
      <c r="F4511">
        <v>3010111</v>
      </c>
      <c r="G4511">
        <v>3185</v>
      </c>
    </row>
    <row r="4512" spans="1:7" x14ac:dyDescent="0.3">
      <c r="A4512" s="80">
        <v>45671</v>
      </c>
      <c r="B4512">
        <v>3010200</v>
      </c>
      <c r="C4512">
        <v>5000</v>
      </c>
      <c r="E4512" s="80">
        <v>45664</v>
      </c>
      <c r="F4512">
        <v>3010111</v>
      </c>
      <c r="G4512">
        <v>4613</v>
      </c>
    </row>
    <row r="4513" spans="1:7" x14ac:dyDescent="0.3">
      <c r="A4513" s="80">
        <v>45671</v>
      </c>
      <c r="B4513">
        <v>3010200</v>
      </c>
      <c r="C4513">
        <v>5000</v>
      </c>
      <c r="E4513" s="80">
        <v>45664</v>
      </c>
      <c r="F4513">
        <v>3010111</v>
      </c>
      <c r="G4513">
        <v>3521</v>
      </c>
    </row>
    <row r="4514" spans="1:7" x14ac:dyDescent="0.3">
      <c r="A4514" s="80">
        <v>45670</v>
      </c>
      <c r="B4514">
        <v>3010200</v>
      </c>
      <c r="C4514">
        <v>5000</v>
      </c>
      <c r="E4514" s="80">
        <v>45664</v>
      </c>
      <c r="F4514">
        <v>3010111</v>
      </c>
      <c r="G4514">
        <v>0</v>
      </c>
    </row>
    <row r="4515" spans="1:7" x14ac:dyDescent="0.3">
      <c r="A4515" s="80">
        <v>45670</v>
      </c>
      <c r="B4515">
        <v>3010200</v>
      </c>
      <c r="C4515">
        <v>5000</v>
      </c>
      <c r="E4515" s="80">
        <v>45664</v>
      </c>
      <c r="F4515">
        <v>3010111</v>
      </c>
      <c r="G4515">
        <v>0</v>
      </c>
    </row>
    <row r="4516" spans="1:7" x14ac:dyDescent="0.3">
      <c r="A4516" s="80">
        <v>45670</v>
      </c>
      <c r="B4516">
        <v>3010200</v>
      </c>
      <c r="C4516">
        <v>5000</v>
      </c>
      <c r="E4516" s="80">
        <v>45664</v>
      </c>
      <c r="F4516">
        <v>3010111</v>
      </c>
      <c r="G4516">
        <v>0</v>
      </c>
    </row>
    <row r="4517" spans="1:7" x14ac:dyDescent="0.3">
      <c r="A4517" s="80">
        <v>45670</v>
      </c>
      <c r="B4517">
        <v>3010200</v>
      </c>
      <c r="C4517">
        <v>5000</v>
      </c>
      <c r="E4517" s="80">
        <v>45664</v>
      </c>
      <c r="F4517">
        <v>3010111</v>
      </c>
      <c r="G4517">
        <v>1672</v>
      </c>
    </row>
    <row r="4518" spans="1:7" x14ac:dyDescent="0.3">
      <c r="A4518" s="80">
        <v>45670</v>
      </c>
      <c r="B4518">
        <v>3010200</v>
      </c>
      <c r="C4518">
        <v>5000</v>
      </c>
      <c r="E4518" s="80">
        <v>45664</v>
      </c>
      <c r="F4518">
        <v>3010111</v>
      </c>
      <c r="G4518">
        <v>1672</v>
      </c>
    </row>
    <row r="4519" spans="1:7" x14ac:dyDescent="0.3">
      <c r="A4519" s="80">
        <v>45670</v>
      </c>
      <c r="B4519">
        <v>3010200</v>
      </c>
      <c r="C4519">
        <v>5000</v>
      </c>
      <c r="E4519" s="80">
        <v>45664</v>
      </c>
      <c r="F4519">
        <v>3010111</v>
      </c>
      <c r="G4519">
        <v>4950</v>
      </c>
    </row>
    <row r="4520" spans="1:7" x14ac:dyDescent="0.3">
      <c r="A4520" s="80">
        <v>45669</v>
      </c>
      <c r="B4520">
        <v>3010200</v>
      </c>
      <c r="C4520">
        <v>5000</v>
      </c>
      <c r="E4520" s="80">
        <v>45664</v>
      </c>
      <c r="F4520">
        <v>3010111</v>
      </c>
      <c r="G4520">
        <v>1672</v>
      </c>
    </row>
    <row r="4521" spans="1:7" x14ac:dyDescent="0.3">
      <c r="A4521" s="80">
        <v>45669</v>
      </c>
      <c r="B4521">
        <v>3010200</v>
      </c>
      <c r="C4521">
        <v>5000</v>
      </c>
      <c r="E4521" s="80">
        <v>45664</v>
      </c>
      <c r="F4521">
        <v>3010111</v>
      </c>
      <c r="G4521">
        <v>1672</v>
      </c>
    </row>
    <row r="4522" spans="1:7" x14ac:dyDescent="0.3">
      <c r="A4522" s="80">
        <v>45669</v>
      </c>
      <c r="B4522">
        <v>3010200</v>
      </c>
      <c r="C4522">
        <v>5000</v>
      </c>
      <c r="E4522" s="80">
        <v>45664</v>
      </c>
      <c r="F4522">
        <v>3010111</v>
      </c>
      <c r="G4522">
        <v>1672</v>
      </c>
    </row>
    <row r="4523" spans="1:7" x14ac:dyDescent="0.3">
      <c r="A4523" s="80">
        <v>45669</v>
      </c>
      <c r="B4523">
        <v>3010200</v>
      </c>
      <c r="C4523">
        <v>5000</v>
      </c>
      <c r="E4523" s="80">
        <v>45664</v>
      </c>
      <c r="F4523">
        <v>3010111</v>
      </c>
      <c r="G4523">
        <v>0</v>
      </c>
    </row>
    <row r="4524" spans="1:7" x14ac:dyDescent="0.3">
      <c r="A4524" s="80">
        <v>45669</v>
      </c>
      <c r="B4524">
        <v>3010200</v>
      </c>
      <c r="C4524">
        <v>5000</v>
      </c>
      <c r="E4524" s="80">
        <v>45664</v>
      </c>
      <c r="F4524">
        <v>3010111</v>
      </c>
      <c r="G4524">
        <v>1672</v>
      </c>
    </row>
    <row r="4525" spans="1:7" x14ac:dyDescent="0.3">
      <c r="A4525" s="80">
        <v>45669</v>
      </c>
      <c r="B4525">
        <v>3010200</v>
      </c>
      <c r="C4525">
        <v>5000</v>
      </c>
      <c r="E4525" s="80">
        <v>45663</v>
      </c>
      <c r="F4525">
        <v>3010111</v>
      </c>
      <c r="G4525">
        <v>0</v>
      </c>
    </row>
    <row r="4526" spans="1:7" x14ac:dyDescent="0.3">
      <c r="A4526" s="80">
        <v>45669</v>
      </c>
      <c r="B4526">
        <v>3010200</v>
      </c>
      <c r="C4526">
        <v>5000</v>
      </c>
      <c r="E4526" s="80">
        <v>45663</v>
      </c>
      <c r="F4526">
        <v>3010111</v>
      </c>
      <c r="G4526">
        <v>1672</v>
      </c>
    </row>
    <row r="4527" spans="1:7" x14ac:dyDescent="0.3">
      <c r="A4527" s="80">
        <v>45669</v>
      </c>
      <c r="B4527">
        <v>3010200</v>
      </c>
      <c r="C4527">
        <v>5000</v>
      </c>
      <c r="E4527" s="80">
        <v>45663</v>
      </c>
      <c r="F4527">
        <v>3010111</v>
      </c>
      <c r="G4527">
        <v>3185</v>
      </c>
    </row>
    <row r="4528" spans="1:7" x14ac:dyDescent="0.3">
      <c r="A4528" s="80">
        <v>45668</v>
      </c>
      <c r="B4528">
        <v>3010200</v>
      </c>
      <c r="C4528">
        <v>5000</v>
      </c>
      <c r="E4528" s="80">
        <v>45663</v>
      </c>
      <c r="F4528">
        <v>3010111</v>
      </c>
      <c r="G4528">
        <v>1672</v>
      </c>
    </row>
    <row r="4529" spans="1:7" x14ac:dyDescent="0.3">
      <c r="A4529" s="80">
        <v>45668</v>
      </c>
      <c r="B4529">
        <v>3010200</v>
      </c>
      <c r="C4529">
        <v>5000</v>
      </c>
      <c r="E4529" s="80">
        <v>45663</v>
      </c>
      <c r="F4529">
        <v>3010111</v>
      </c>
      <c r="G4529">
        <v>1672</v>
      </c>
    </row>
    <row r="4530" spans="1:7" x14ac:dyDescent="0.3">
      <c r="A4530" s="80">
        <v>45668</v>
      </c>
      <c r="B4530">
        <v>3010200</v>
      </c>
      <c r="C4530">
        <v>5000</v>
      </c>
      <c r="E4530" s="80">
        <v>45663</v>
      </c>
      <c r="F4530">
        <v>3010111</v>
      </c>
      <c r="G4530">
        <v>0</v>
      </c>
    </row>
    <row r="4531" spans="1:7" x14ac:dyDescent="0.3">
      <c r="A4531" s="80">
        <v>45668</v>
      </c>
      <c r="B4531">
        <v>3010200</v>
      </c>
      <c r="C4531">
        <v>5000</v>
      </c>
      <c r="E4531" s="80">
        <v>45663</v>
      </c>
      <c r="F4531">
        <v>3010111</v>
      </c>
      <c r="G4531">
        <v>3689</v>
      </c>
    </row>
    <row r="4532" spans="1:7" x14ac:dyDescent="0.3">
      <c r="A4532" s="80">
        <v>45668</v>
      </c>
      <c r="B4532">
        <v>3010200</v>
      </c>
      <c r="C4532">
        <v>5000</v>
      </c>
      <c r="E4532" s="80">
        <v>45663</v>
      </c>
      <c r="F4532">
        <v>3010111</v>
      </c>
      <c r="G4532">
        <v>0</v>
      </c>
    </row>
    <row r="4533" spans="1:7" x14ac:dyDescent="0.3">
      <c r="A4533" s="80">
        <v>45668</v>
      </c>
      <c r="B4533">
        <v>3010200</v>
      </c>
      <c r="C4533">
        <v>5000</v>
      </c>
      <c r="E4533" s="80">
        <v>45663</v>
      </c>
      <c r="F4533">
        <v>3010111</v>
      </c>
      <c r="G4533">
        <v>1672</v>
      </c>
    </row>
    <row r="4534" spans="1:7" x14ac:dyDescent="0.3">
      <c r="A4534" s="80">
        <v>45668</v>
      </c>
      <c r="B4534">
        <v>3010200</v>
      </c>
      <c r="C4534">
        <v>5000</v>
      </c>
      <c r="E4534" s="80">
        <v>45663</v>
      </c>
      <c r="F4534">
        <v>3010111</v>
      </c>
      <c r="G4534">
        <v>3353</v>
      </c>
    </row>
    <row r="4535" spans="1:7" x14ac:dyDescent="0.3">
      <c r="A4535" s="80">
        <v>45668</v>
      </c>
      <c r="B4535">
        <v>3010200</v>
      </c>
      <c r="C4535">
        <v>5000</v>
      </c>
      <c r="E4535" s="80">
        <v>45663</v>
      </c>
      <c r="F4535">
        <v>3010111</v>
      </c>
      <c r="G4535">
        <v>3941</v>
      </c>
    </row>
    <row r="4536" spans="1:7" x14ac:dyDescent="0.3">
      <c r="A4536" s="80">
        <v>45668</v>
      </c>
      <c r="B4536">
        <v>3010200</v>
      </c>
      <c r="C4536">
        <v>5000</v>
      </c>
      <c r="E4536" s="80">
        <v>45663</v>
      </c>
      <c r="F4536">
        <v>3010111</v>
      </c>
      <c r="G4536">
        <v>0</v>
      </c>
    </row>
    <row r="4537" spans="1:7" x14ac:dyDescent="0.3">
      <c r="A4537" s="80">
        <v>45668</v>
      </c>
      <c r="B4537">
        <v>3010200</v>
      </c>
      <c r="C4537">
        <v>5000</v>
      </c>
      <c r="E4537" s="80">
        <v>45663</v>
      </c>
      <c r="F4537">
        <v>3010111</v>
      </c>
      <c r="G4537">
        <v>3521</v>
      </c>
    </row>
    <row r="4538" spans="1:7" x14ac:dyDescent="0.3">
      <c r="A4538" s="80">
        <v>45668</v>
      </c>
      <c r="B4538">
        <v>3010200</v>
      </c>
      <c r="C4538">
        <v>5000</v>
      </c>
      <c r="E4538" s="80">
        <v>45663</v>
      </c>
      <c r="F4538">
        <v>3010111</v>
      </c>
      <c r="G4538">
        <v>0</v>
      </c>
    </row>
    <row r="4539" spans="1:7" x14ac:dyDescent="0.3">
      <c r="A4539" s="80">
        <v>45668</v>
      </c>
      <c r="B4539">
        <v>3010200</v>
      </c>
      <c r="C4539">
        <v>5000</v>
      </c>
      <c r="E4539" s="80">
        <v>45663</v>
      </c>
      <c r="F4539">
        <v>3010111</v>
      </c>
      <c r="G4539">
        <v>1672</v>
      </c>
    </row>
    <row r="4540" spans="1:7" x14ac:dyDescent="0.3">
      <c r="A4540" s="80">
        <v>45668</v>
      </c>
      <c r="B4540">
        <v>3010200</v>
      </c>
      <c r="C4540">
        <v>5000</v>
      </c>
      <c r="E4540" s="80">
        <v>45663</v>
      </c>
      <c r="F4540">
        <v>3010111</v>
      </c>
      <c r="G4540">
        <v>1672</v>
      </c>
    </row>
    <row r="4541" spans="1:7" x14ac:dyDescent="0.3">
      <c r="A4541" s="80">
        <v>45668</v>
      </c>
      <c r="B4541">
        <v>3010200</v>
      </c>
      <c r="C4541">
        <v>5000</v>
      </c>
      <c r="E4541" s="80">
        <v>45663</v>
      </c>
      <c r="F4541">
        <v>3010111</v>
      </c>
      <c r="G4541">
        <v>2933</v>
      </c>
    </row>
    <row r="4542" spans="1:7" x14ac:dyDescent="0.3">
      <c r="A4542" s="80">
        <v>45668</v>
      </c>
      <c r="B4542">
        <v>3010200</v>
      </c>
      <c r="C4542">
        <v>5000</v>
      </c>
      <c r="E4542" s="80">
        <v>45663</v>
      </c>
      <c r="F4542">
        <v>3010111</v>
      </c>
      <c r="G4542">
        <v>4613</v>
      </c>
    </row>
    <row r="4543" spans="1:7" x14ac:dyDescent="0.3">
      <c r="A4543" s="80">
        <v>45667</v>
      </c>
      <c r="B4543">
        <v>3010200</v>
      </c>
      <c r="C4543">
        <v>5000</v>
      </c>
      <c r="E4543" s="80">
        <v>45663</v>
      </c>
      <c r="F4543">
        <v>3010111</v>
      </c>
      <c r="G4543">
        <v>4950</v>
      </c>
    </row>
    <row r="4544" spans="1:7" x14ac:dyDescent="0.3">
      <c r="A4544" s="80">
        <v>45667</v>
      </c>
      <c r="B4544">
        <v>3010200</v>
      </c>
      <c r="C4544">
        <v>5000</v>
      </c>
      <c r="E4544" s="80">
        <v>45663</v>
      </c>
      <c r="F4544">
        <v>3010111</v>
      </c>
      <c r="G4544">
        <v>0</v>
      </c>
    </row>
    <row r="4545" spans="1:7" x14ac:dyDescent="0.3">
      <c r="A4545" s="80">
        <v>45667</v>
      </c>
      <c r="B4545">
        <v>3010200</v>
      </c>
      <c r="C4545">
        <v>5000</v>
      </c>
      <c r="E4545" s="80">
        <v>45663</v>
      </c>
      <c r="F4545">
        <v>3010111</v>
      </c>
      <c r="G4545">
        <v>0</v>
      </c>
    </row>
    <row r="4546" spans="1:7" x14ac:dyDescent="0.3">
      <c r="A4546" s="80">
        <v>45667</v>
      </c>
      <c r="B4546">
        <v>3010200</v>
      </c>
      <c r="C4546">
        <v>5000</v>
      </c>
      <c r="E4546" s="80">
        <v>45663</v>
      </c>
      <c r="F4546">
        <v>3010111</v>
      </c>
      <c r="G4546">
        <v>5454</v>
      </c>
    </row>
    <row r="4547" spans="1:7" x14ac:dyDescent="0.3">
      <c r="A4547" s="80">
        <v>45667</v>
      </c>
      <c r="B4547">
        <v>3010200</v>
      </c>
      <c r="C4547">
        <v>5000</v>
      </c>
      <c r="E4547" s="80">
        <v>45663</v>
      </c>
      <c r="F4547">
        <v>3010111</v>
      </c>
      <c r="G4547">
        <v>1672</v>
      </c>
    </row>
    <row r="4548" spans="1:7" x14ac:dyDescent="0.3">
      <c r="A4548" s="80">
        <v>45667</v>
      </c>
      <c r="B4548">
        <v>3010200</v>
      </c>
      <c r="C4548">
        <v>5000</v>
      </c>
      <c r="E4548" s="80">
        <v>45663</v>
      </c>
      <c r="F4548">
        <v>3010111</v>
      </c>
      <c r="G4548">
        <v>0</v>
      </c>
    </row>
    <row r="4549" spans="1:7" x14ac:dyDescent="0.3">
      <c r="A4549" s="80">
        <v>45667</v>
      </c>
      <c r="B4549">
        <v>3010200</v>
      </c>
      <c r="C4549">
        <v>5000</v>
      </c>
      <c r="E4549" s="80">
        <v>45663</v>
      </c>
      <c r="F4549">
        <v>3010111</v>
      </c>
      <c r="G4549">
        <v>0</v>
      </c>
    </row>
    <row r="4550" spans="1:7" x14ac:dyDescent="0.3">
      <c r="A4550" s="80">
        <v>45667</v>
      </c>
      <c r="B4550">
        <v>3010200</v>
      </c>
      <c r="C4550">
        <v>5000</v>
      </c>
      <c r="E4550" s="80">
        <v>45662</v>
      </c>
      <c r="F4550">
        <v>3010111</v>
      </c>
      <c r="G4550">
        <v>1672</v>
      </c>
    </row>
    <row r="4551" spans="1:7" x14ac:dyDescent="0.3">
      <c r="A4551" s="80">
        <v>45667</v>
      </c>
      <c r="B4551">
        <v>3010200</v>
      </c>
      <c r="C4551">
        <v>5000</v>
      </c>
      <c r="E4551" s="80">
        <v>45662</v>
      </c>
      <c r="F4551">
        <v>3010111</v>
      </c>
      <c r="G4551">
        <v>5370</v>
      </c>
    </row>
    <row r="4552" spans="1:7" x14ac:dyDescent="0.3">
      <c r="A4552" s="80">
        <v>45667</v>
      </c>
      <c r="B4552">
        <v>3010200</v>
      </c>
      <c r="C4552">
        <v>5000</v>
      </c>
      <c r="E4552" s="80">
        <v>45662</v>
      </c>
      <c r="F4552">
        <v>3010111</v>
      </c>
      <c r="G4552">
        <v>1672</v>
      </c>
    </row>
    <row r="4553" spans="1:7" x14ac:dyDescent="0.3">
      <c r="A4553" s="80">
        <v>45667</v>
      </c>
      <c r="B4553">
        <v>3010200</v>
      </c>
      <c r="C4553">
        <v>5000</v>
      </c>
      <c r="E4553" s="80">
        <v>45662</v>
      </c>
      <c r="F4553">
        <v>3010111</v>
      </c>
      <c r="G4553">
        <v>1672</v>
      </c>
    </row>
    <row r="4554" spans="1:7" x14ac:dyDescent="0.3">
      <c r="A4554" s="80">
        <v>45667</v>
      </c>
      <c r="B4554">
        <v>3010200</v>
      </c>
      <c r="C4554">
        <v>5000</v>
      </c>
      <c r="E4554" s="80">
        <v>45662</v>
      </c>
      <c r="F4554">
        <v>3010111</v>
      </c>
      <c r="G4554">
        <v>1672</v>
      </c>
    </row>
    <row r="4555" spans="1:7" x14ac:dyDescent="0.3">
      <c r="A4555" s="80">
        <v>45667</v>
      </c>
      <c r="B4555">
        <v>3010200</v>
      </c>
      <c r="C4555">
        <v>5000</v>
      </c>
      <c r="E4555" s="80">
        <v>45662</v>
      </c>
      <c r="F4555">
        <v>3010111</v>
      </c>
      <c r="G4555">
        <v>3521</v>
      </c>
    </row>
    <row r="4556" spans="1:7" x14ac:dyDescent="0.3">
      <c r="A4556" s="80">
        <v>45667</v>
      </c>
      <c r="B4556">
        <v>3010200</v>
      </c>
      <c r="C4556">
        <v>5000</v>
      </c>
      <c r="E4556" s="80">
        <v>45662</v>
      </c>
      <c r="F4556">
        <v>3010111</v>
      </c>
      <c r="G4556">
        <v>3521</v>
      </c>
    </row>
    <row r="4557" spans="1:7" x14ac:dyDescent="0.3">
      <c r="A4557" s="80">
        <v>45667</v>
      </c>
      <c r="B4557">
        <v>3010200</v>
      </c>
      <c r="C4557">
        <v>5000</v>
      </c>
      <c r="E4557" s="80">
        <v>45662</v>
      </c>
      <c r="F4557">
        <v>3010111</v>
      </c>
      <c r="G4557">
        <v>1672</v>
      </c>
    </row>
    <row r="4558" spans="1:7" x14ac:dyDescent="0.3">
      <c r="A4558" s="80">
        <v>45666</v>
      </c>
      <c r="B4558">
        <v>3010200</v>
      </c>
      <c r="C4558">
        <v>5000</v>
      </c>
      <c r="E4558" s="80">
        <v>45662</v>
      </c>
      <c r="F4558">
        <v>3010111</v>
      </c>
      <c r="G4558">
        <v>0</v>
      </c>
    </row>
    <row r="4559" spans="1:7" x14ac:dyDescent="0.3">
      <c r="A4559" s="80">
        <v>45666</v>
      </c>
      <c r="B4559">
        <v>3010200</v>
      </c>
      <c r="C4559">
        <v>5000</v>
      </c>
      <c r="E4559" s="80">
        <v>45662</v>
      </c>
      <c r="F4559">
        <v>3010111</v>
      </c>
      <c r="G4559">
        <v>0</v>
      </c>
    </row>
    <row r="4560" spans="1:7" x14ac:dyDescent="0.3">
      <c r="A4560" s="80">
        <v>45666</v>
      </c>
      <c r="B4560">
        <v>3010200</v>
      </c>
      <c r="C4560">
        <v>5000</v>
      </c>
      <c r="E4560" s="80">
        <v>45662</v>
      </c>
      <c r="F4560">
        <v>3010111</v>
      </c>
      <c r="G4560">
        <v>3521</v>
      </c>
    </row>
    <row r="4561" spans="1:7" x14ac:dyDescent="0.3">
      <c r="A4561" s="80">
        <v>45666</v>
      </c>
      <c r="B4561">
        <v>3010200</v>
      </c>
      <c r="C4561">
        <v>5000</v>
      </c>
      <c r="E4561" s="80">
        <v>45662</v>
      </c>
      <c r="F4561">
        <v>3010111</v>
      </c>
      <c r="G4561">
        <v>1672</v>
      </c>
    </row>
    <row r="4562" spans="1:7" x14ac:dyDescent="0.3">
      <c r="A4562" s="80">
        <v>45666</v>
      </c>
      <c r="B4562">
        <v>3010200</v>
      </c>
      <c r="C4562">
        <v>5000</v>
      </c>
      <c r="E4562" s="80">
        <v>45662</v>
      </c>
      <c r="F4562">
        <v>3010111</v>
      </c>
      <c r="G4562">
        <v>3017</v>
      </c>
    </row>
    <row r="4563" spans="1:7" x14ac:dyDescent="0.3">
      <c r="A4563" s="80">
        <v>45666</v>
      </c>
      <c r="B4563">
        <v>3010200</v>
      </c>
      <c r="C4563">
        <v>5000</v>
      </c>
      <c r="E4563" s="80">
        <v>45662</v>
      </c>
      <c r="F4563">
        <v>3010111</v>
      </c>
      <c r="G4563">
        <v>1672</v>
      </c>
    </row>
    <row r="4564" spans="1:7" x14ac:dyDescent="0.3">
      <c r="A4564" s="80">
        <v>45666</v>
      </c>
      <c r="B4564">
        <v>3010200</v>
      </c>
      <c r="C4564">
        <v>5000</v>
      </c>
      <c r="E4564" s="80">
        <v>45662</v>
      </c>
      <c r="F4564">
        <v>3010111</v>
      </c>
      <c r="G4564">
        <v>0</v>
      </c>
    </row>
    <row r="4565" spans="1:7" x14ac:dyDescent="0.3">
      <c r="A4565" s="80">
        <v>45666</v>
      </c>
      <c r="B4565">
        <v>3010200</v>
      </c>
      <c r="C4565">
        <v>5000</v>
      </c>
      <c r="E4565" s="80">
        <v>45662</v>
      </c>
      <c r="F4565">
        <v>3010111</v>
      </c>
      <c r="G4565">
        <v>0</v>
      </c>
    </row>
    <row r="4566" spans="1:7" x14ac:dyDescent="0.3">
      <c r="A4566" s="80">
        <v>45666</v>
      </c>
      <c r="B4566">
        <v>3010200</v>
      </c>
      <c r="C4566">
        <v>5000</v>
      </c>
      <c r="E4566" s="80">
        <v>45662</v>
      </c>
      <c r="F4566">
        <v>3010111</v>
      </c>
      <c r="G4566">
        <v>0</v>
      </c>
    </row>
    <row r="4567" spans="1:7" x14ac:dyDescent="0.3">
      <c r="A4567" s="80">
        <v>45666</v>
      </c>
      <c r="B4567">
        <v>3010200</v>
      </c>
      <c r="C4567">
        <v>5000</v>
      </c>
      <c r="E4567" s="80">
        <v>45662</v>
      </c>
      <c r="F4567">
        <v>3010111</v>
      </c>
      <c r="G4567">
        <v>1672</v>
      </c>
    </row>
    <row r="4568" spans="1:7" x14ac:dyDescent="0.3">
      <c r="A4568" s="80">
        <v>45666</v>
      </c>
      <c r="B4568">
        <v>3010200</v>
      </c>
      <c r="C4568">
        <v>5000</v>
      </c>
      <c r="E4568" s="80">
        <v>45662</v>
      </c>
      <c r="F4568">
        <v>3010111</v>
      </c>
      <c r="G4568">
        <v>1672</v>
      </c>
    </row>
    <row r="4569" spans="1:7" x14ac:dyDescent="0.3">
      <c r="A4569" s="80">
        <v>45666</v>
      </c>
      <c r="B4569">
        <v>3010200</v>
      </c>
      <c r="C4569">
        <v>5000</v>
      </c>
      <c r="E4569" s="80">
        <v>45662</v>
      </c>
      <c r="F4569">
        <v>3010111</v>
      </c>
      <c r="G4569">
        <v>0</v>
      </c>
    </row>
    <row r="4570" spans="1:7" x14ac:dyDescent="0.3">
      <c r="A4570" s="80">
        <v>45666</v>
      </c>
      <c r="B4570">
        <v>3010200</v>
      </c>
      <c r="C4570">
        <v>5000</v>
      </c>
      <c r="E4570" s="80">
        <v>45662</v>
      </c>
      <c r="F4570">
        <v>3010111</v>
      </c>
      <c r="G4570">
        <v>0</v>
      </c>
    </row>
    <row r="4571" spans="1:7" x14ac:dyDescent="0.3">
      <c r="A4571" s="80">
        <v>45666</v>
      </c>
      <c r="B4571">
        <v>3010200</v>
      </c>
      <c r="C4571">
        <v>5000</v>
      </c>
      <c r="E4571" s="80">
        <v>45662</v>
      </c>
      <c r="F4571">
        <v>3010111</v>
      </c>
      <c r="G4571">
        <v>5034</v>
      </c>
    </row>
    <row r="4572" spans="1:7" x14ac:dyDescent="0.3">
      <c r="A4572" s="80">
        <v>45666</v>
      </c>
      <c r="B4572">
        <v>3010200</v>
      </c>
      <c r="C4572">
        <v>5000</v>
      </c>
      <c r="E4572" s="80">
        <v>45662</v>
      </c>
      <c r="F4572">
        <v>3010111</v>
      </c>
      <c r="G4572">
        <v>3185</v>
      </c>
    </row>
    <row r="4573" spans="1:7" x14ac:dyDescent="0.3">
      <c r="A4573" s="80">
        <v>45666</v>
      </c>
      <c r="B4573">
        <v>3010200</v>
      </c>
      <c r="C4573">
        <v>5000</v>
      </c>
      <c r="E4573" s="80">
        <v>45662</v>
      </c>
      <c r="F4573">
        <v>3010111</v>
      </c>
      <c r="G4573">
        <v>3353</v>
      </c>
    </row>
    <row r="4574" spans="1:7" x14ac:dyDescent="0.3">
      <c r="A4574" s="80">
        <v>45666</v>
      </c>
      <c r="B4574">
        <v>3010200</v>
      </c>
      <c r="C4574">
        <v>5000</v>
      </c>
      <c r="E4574" s="80">
        <v>45661</v>
      </c>
      <c r="F4574">
        <v>3010111</v>
      </c>
      <c r="G4574">
        <v>2176</v>
      </c>
    </row>
    <row r="4575" spans="1:7" x14ac:dyDescent="0.3">
      <c r="A4575" s="80">
        <v>45666</v>
      </c>
      <c r="B4575">
        <v>3010200</v>
      </c>
      <c r="C4575">
        <v>5000</v>
      </c>
      <c r="E4575" s="80">
        <v>45661</v>
      </c>
      <c r="F4575">
        <v>3010111</v>
      </c>
      <c r="G4575">
        <v>1672</v>
      </c>
    </row>
    <row r="4576" spans="1:7" x14ac:dyDescent="0.3">
      <c r="A4576" s="80">
        <v>45665</v>
      </c>
      <c r="B4576">
        <v>3010200</v>
      </c>
      <c r="C4576">
        <v>5000</v>
      </c>
      <c r="E4576" s="80">
        <v>45661</v>
      </c>
      <c r="F4576">
        <v>3010111</v>
      </c>
      <c r="G4576">
        <v>1672</v>
      </c>
    </row>
    <row r="4577" spans="1:7" x14ac:dyDescent="0.3">
      <c r="A4577" s="80">
        <v>45665</v>
      </c>
      <c r="B4577">
        <v>3010200</v>
      </c>
      <c r="C4577">
        <v>5000</v>
      </c>
      <c r="E4577" s="80">
        <v>45661</v>
      </c>
      <c r="F4577">
        <v>3010111</v>
      </c>
      <c r="G4577">
        <v>1672</v>
      </c>
    </row>
    <row r="4578" spans="1:7" x14ac:dyDescent="0.3">
      <c r="A4578" s="80">
        <v>45665</v>
      </c>
      <c r="B4578">
        <v>3010200</v>
      </c>
      <c r="C4578">
        <v>5000</v>
      </c>
      <c r="E4578" s="80">
        <v>45661</v>
      </c>
      <c r="F4578">
        <v>3010111</v>
      </c>
      <c r="G4578">
        <v>3689</v>
      </c>
    </row>
    <row r="4579" spans="1:7" x14ac:dyDescent="0.3">
      <c r="A4579" s="80">
        <v>45665</v>
      </c>
      <c r="B4579">
        <v>3010200</v>
      </c>
      <c r="C4579">
        <v>5000</v>
      </c>
      <c r="E4579" s="80">
        <v>45661</v>
      </c>
      <c r="F4579">
        <v>3010111</v>
      </c>
      <c r="G4579">
        <v>5034</v>
      </c>
    </row>
    <row r="4580" spans="1:7" x14ac:dyDescent="0.3">
      <c r="A4580" s="80">
        <v>45665</v>
      </c>
      <c r="B4580">
        <v>3010200</v>
      </c>
      <c r="C4580">
        <v>5000</v>
      </c>
      <c r="E4580" s="80">
        <v>45661</v>
      </c>
      <c r="F4580">
        <v>3010111</v>
      </c>
      <c r="G4580">
        <v>1672</v>
      </c>
    </row>
    <row r="4581" spans="1:7" x14ac:dyDescent="0.3">
      <c r="A4581" s="80">
        <v>45665</v>
      </c>
      <c r="B4581">
        <v>3010200</v>
      </c>
      <c r="C4581">
        <v>5000</v>
      </c>
      <c r="E4581" s="80">
        <v>45661</v>
      </c>
      <c r="F4581">
        <v>3010111</v>
      </c>
      <c r="G4581">
        <v>1672</v>
      </c>
    </row>
    <row r="4582" spans="1:7" x14ac:dyDescent="0.3">
      <c r="A4582" s="80">
        <v>45665</v>
      </c>
      <c r="B4582">
        <v>3010200</v>
      </c>
      <c r="C4582">
        <v>5000</v>
      </c>
      <c r="E4582" s="80">
        <v>45661</v>
      </c>
      <c r="F4582">
        <v>3010111</v>
      </c>
      <c r="G4582">
        <v>4193</v>
      </c>
    </row>
    <row r="4583" spans="1:7" x14ac:dyDescent="0.3">
      <c r="A4583" s="80">
        <v>45665</v>
      </c>
      <c r="B4583">
        <v>3010200</v>
      </c>
      <c r="C4583">
        <v>5000</v>
      </c>
      <c r="E4583" s="80">
        <v>45661</v>
      </c>
      <c r="F4583">
        <v>3010111</v>
      </c>
      <c r="G4583">
        <v>0</v>
      </c>
    </row>
    <row r="4584" spans="1:7" x14ac:dyDescent="0.3">
      <c r="A4584" s="80">
        <v>45665</v>
      </c>
      <c r="B4584">
        <v>3010200</v>
      </c>
      <c r="C4584">
        <v>5000</v>
      </c>
      <c r="E4584" s="80">
        <v>45661</v>
      </c>
      <c r="F4584">
        <v>3010111</v>
      </c>
      <c r="G4584">
        <v>3017</v>
      </c>
    </row>
    <row r="4585" spans="1:7" x14ac:dyDescent="0.3">
      <c r="A4585" s="80">
        <v>45665</v>
      </c>
      <c r="B4585">
        <v>3010200</v>
      </c>
      <c r="C4585">
        <v>5000</v>
      </c>
      <c r="E4585" s="80">
        <v>45661</v>
      </c>
      <c r="F4585">
        <v>3010111</v>
      </c>
      <c r="G4585">
        <v>0</v>
      </c>
    </row>
    <row r="4586" spans="1:7" x14ac:dyDescent="0.3">
      <c r="A4586" s="80">
        <v>45665</v>
      </c>
      <c r="B4586">
        <v>3010200</v>
      </c>
      <c r="C4586">
        <v>5000</v>
      </c>
      <c r="E4586" s="80">
        <v>45661</v>
      </c>
      <c r="F4586">
        <v>3010111</v>
      </c>
      <c r="G4586">
        <v>0</v>
      </c>
    </row>
    <row r="4587" spans="1:7" x14ac:dyDescent="0.3">
      <c r="A4587" s="80">
        <v>45665</v>
      </c>
      <c r="B4587">
        <v>3010200</v>
      </c>
      <c r="C4587">
        <v>5000</v>
      </c>
      <c r="E4587" s="80">
        <v>45661</v>
      </c>
      <c r="F4587">
        <v>3010111</v>
      </c>
      <c r="G4587">
        <v>5034</v>
      </c>
    </row>
    <row r="4588" spans="1:7" x14ac:dyDescent="0.3">
      <c r="A4588" s="80">
        <v>45665</v>
      </c>
      <c r="B4588">
        <v>3010200</v>
      </c>
      <c r="C4588">
        <v>5000</v>
      </c>
      <c r="E4588" s="80">
        <v>45661</v>
      </c>
      <c r="F4588">
        <v>3010111</v>
      </c>
      <c r="G4588">
        <v>3185</v>
      </c>
    </row>
    <row r="4589" spans="1:7" x14ac:dyDescent="0.3">
      <c r="A4589" s="80">
        <v>45665</v>
      </c>
      <c r="B4589">
        <v>3010200</v>
      </c>
      <c r="C4589">
        <v>5000</v>
      </c>
      <c r="E4589" s="80">
        <v>45661</v>
      </c>
      <c r="F4589">
        <v>3010111</v>
      </c>
      <c r="G4589">
        <v>1672</v>
      </c>
    </row>
    <row r="4590" spans="1:7" x14ac:dyDescent="0.3">
      <c r="A4590" s="80">
        <v>45665</v>
      </c>
      <c r="B4590">
        <v>3010200</v>
      </c>
      <c r="C4590">
        <v>5000</v>
      </c>
      <c r="E4590" s="80">
        <v>45661</v>
      </c>
      <c r="F4590">
        <v>3010111</v>
      </c>
      <c r="G4590">
        <v>0</v>
      </c>
    </row>
    <row r="4591" spans="1:7" x14ac:dyDescent="0.3">
      <c r="A4591" s="80">
        <v>45665</v>
      </c>
      <c r="B4591">
        <v>3010200</v>
      </c>
      <c r="C4591">
        <v>5000</v>
      </c>
      <c r="E4591" s="80">
        <v>45661</v>
      </c>
      <c r="F4591">
        <v>3010111</v>
      </c>
      <c r="G4591">
        <v>1672</v>
      </c>
    </row>
    <row r="4592" spans="1:7" x14ac:dyDescent="0.3">
      <c r="A4592" s="80">
        <v>45665</v>
      </c>
      <c r="B4592">
        <v>3010200</v>
      </c>
      <c r="C4592">
        <v>5000</v>
      </c>
      <c r="E4592" s="80">
        <v>45661</v>
      </c>
      <c r="F4592">
        <v>3010111</v>
      </c>
      <c r="G4592">
        <v>1672</v>
      </c>
    </row>
    <row r="4593" spans="1:7" x14ac:dyDescent="0.3">
      <c r="A4593" s="80">
        <v>45665</v>
      </c>
      <c r="B4593">
        <v>3010200</v>
      </c>
      <c r="C4593">
        <v>5000</v>
      </c>
      <c r="E4593" s="80">
        <v>45660</v>
      </c>
      <c r="F4593">
        <v>3010111</v>
      </c>
      <c r="G4593">
        <v>3521</v>
      </c>
    </row>
    <row r="4594" spans="1:7" x14ac:dyDescent="0.3">
      <c r="A4594" s="80">
        <v>45665</v>
      </c>
      <c r="B4594">
        <v>3010200</v>
      </c>
      <c r="C4594">
        <v>5000</v>
      </c>
      <c r="E4594" s="80">
        <v>45660</v>
      </c>
      <c r="F4594">
        <v>3010111</v>
      </c>
      <c r="G4594">
        <v>3017</v>
      </c>
    </row>
    <row r="4595" spans="1:7" x14ac:dyDescent="0.3">
      <c r="A4595" s="80">
        <v>45665</v>
      </c>
      <c r="B4595">
        <v>3010200</v>
      </c>
      <c r="C4595">
        <v>5000</v>
      </c>
      <c r="E4595" s="80">
        <v>45660</v>
      </c>
      <c r="F4595">
        <v>3010111</v>
      </c>
      <c r="G4595">
        <v>3353</v>
      </c>
    </row>
    <row r="4596" spans="1:7" x14ac:dyDescent="0.3">
      <c r="A4596" s="80">
        <v>45665</v>
      </c>
      <c r="B4596">
        <v>3010200</v>
      </c>
      <c r="C4596">
        <v>5000</v>
      </c>
      <c r="E4596" s="80">
        <v>45660</v>
      </c>
      <c r="F4596">
        <v>3010111</v>
      </c>
      <c r="G4596">
        <v>1672</v>
      </c>
    </row>
    <row r="4597" spans="1:7" x14ac:dyDescent="0.3">
      <c r="A4597" s="80">
        <v>45665</v>
      </c>
      <c r="B4597">
        <v>3010200</v>
      </c>
      <c r="C4597">
        <v>5000</v>
      </c>
      <c r="E4597" s="80">
        <v>45660</v>
      </c>
      <c r="F4597">
        <v>3010111</v>
      </c>
      <c r="G4597">
        <v>3017</v>
      </c>
    </row>
    <row r="4598" spans="1:7" x14ac:dyDescent="0.3">
      <c r="A4598" s="80">
        <v>45665</v>
      </c>
      <c r="B4598">
        <v>3010200</v>
      </c>
      <c r="C4598">
        <v>5000</v>
      </c>
      <c r="E4598" s="80">
        <v>45660</v>
      </c>
      <c r="F4598">
        <v>3010111</v>
      </c>
      <c r="G4598">
        <v>1672</v>
      </c>
    </row>
    <row r="4599" spans="1:7" x14ac:dyDescent="0.3">
      <c r="A4599" s="80">
        <v>45665</v>
      </c>
      <c r="B4599">
        <v>3010200</v>
      </c>
      <c r="C4599">
        <v>5000</v>
      </c>
      <c r="E4599" s="80">
        <v>45660</v>
      </c>
      <c r="F4599">
        <v>3010111</v>
      </c>
      <c r="G4599">
        <v>1672</v>
      </c>
    </row>
    <row r="4600" spans="1:7" x14ac:dyDescent="0.3">
      <c r="A4600" s="80">
        <v>45664</v>
      </c>
      <c r="B4600">
        <v>3010200</v>
      </c>
      <c r="C4600">
        <v>5000</v>
      </c>
      <c r="E4600" s="80">
        <v>45660</v>
      </c>
      <c r="F4600">
        <v>3010111</v>
      </c>
      <c r="G4600">
        <v>3017</v>
      </c>
    </row>
    <row r="4601" spans="1:7" x14ac:dyDescent="0.3">
      <c r="A4601" s="80">
        <v>45664</v>
      </c>
      <c r="B4601">
        <v>3010200</v>
      </c>
      <c r="C4601">
        <v>5000</v>
      </c>
      <c r="E4601" s="80">
        <v>45660</v>
      </c>
      <c r="F4601">
        <v>3010111</v>
      </c>
      <c r="G4601">
        <v>1672</v>
      </c>
    </row>
    <row r="4602" spans="1:7" x14ac:dyDescent="0.3">
      <c r="A4602" s="80">
        <v>45664</v>
      </c>
      <c r="B4602">
        <v>3010200</v>
      </c>
      <c r="C4602">
        <v>5000</v>
      </c>
      <c r="E4602" s="80">
        <v>45660</v>
      </c>
      <c r="F4602">
        <v>3010111</v>
      </c>
      <c r="G4602">
        <v>3353</v>
      </c>
    </row>
    <row r="4603" spans="1:7" x14ac:dyDescent="0.3">
      <c r="A4603" s="80">
        <v>45664</v>
      </c>
      <c r="B4603">
        <v>3010200</v>
      </c>
      <c r="C4603">
        <v>5000</v>
      </c>
      <c r="E4603" s="80">
        <v>45660</v>
      </c>
      <c r="F4603">
        <v>3010111</v>
      </c>
      <c r="G4603">
        <v>1672</v>
      </c>
    </row>
    <row r="4604" spans="1:7" x14ac:dyDescent="0.3">
      <c r="A4604" s="80">
        <v>45664</v>
      </c>
      <c r="B4604">
        <v>3010200</v>
      </c>
      <c r="C4604">
        <v>5000</v>
      </c>
      <c r="E4604" s="80">
        <v>45660</v>
      </c>
      <c r="F4604">
        <v>3010111</v>
      </c>
      <c r="G4604">
        <v>0</v>
      </c>
    </row>
    <row r="4605" spans="1:7" x14ac:dyDescent="0.3">
      <c r="A4605" s="80">
        <v>45664</v>
      </c>
      <c r="B4605">
        <v>3010200</v>
      </c>
      <c r="C4605">
        <v>5000</v>
      </c>
      <c r="E4605" s="80">
        <v>45660</v>
      </c>
      <c r="F4605">
        <v>3010111</v>
      </c>
      <c r="G4605">
        <v>3521</v>
      </c>
    </row>
    <row r="4606" spans="1:7" x14ac:dyDescent="0.3">
      <c r="A4606" s="80">
        <v>45664</v>
      </c>
      <c r="B4606">
        <v>3010200</v>
      </c>
      <c r="C4606">
        <v>5000</v>
      </c>
      <c r="E4606" s="80">
        <v>45660</v>
      </c>
      <c r="F4606">
        <v>3010111</v>
      </c>
      <c r="G4606">
        <v>5034</v>
      </c>
    </row>
    <row r="4607" spans="1:7" x14ac:dyDescent="0.3">
      <c r="A4607" s="80">
        <v>45664</v>
      </c>
      <c r="B4607">
        <v>3010200</v>
      </c>
      <c r="C4607">
        <v>10000</v>
      </c>
      <c r="E4607" s="80">
        <v>45660</v>
      </c>
      <c r="F4607">
        <v>3010111</v>
      </c>
      <c r="G4607">
        <v>1672</v>
      </c>
    </row>
    <row r="4608" spans="1:7" x14ac:dyDescent="0.3">
      <c r="A4608" s="80">
        <v>45664</v>
      </c>
      <c r="B4608">
        <v>3010200</v>
      </c>
      <c r="C4608">
        <v>10000</v>
      </c>
      <c r="E4608" s="80">
        <v>45660</v>
      </c>
      <c r="F4608">
        <v>3010111</v>
      </c>
      <c r="G4608">
        <v>0</v>
      </c>
    </row>
    <row r="4609" spans="1:7" x14ac:dyDescent="0.3">
      <c r="A4609" s="80">
        <v>45664</v>
      </c>
      <c r="B4609">
        <v>3010200</v>
      </c>
      <c r="C4609">
        <v>5000</v>
      </c>
      <c r="E4609" s="80">
        <v>45660</v>
      </c>
      <c r="F4609">
        <v>3010111</v>
      </c>
      <c r="G4609">
        <v>0</v>
      </c>
    </row>
    <row r="4610" spans="1:7" x14ac:dyDescent="0.3">
      <c r="A4610" s="80">
        <v>45664</v>
      </c>
      <c r="B4610">
        <v>3010200</v>
      </c>
      <c r="C4610">
        <v>5000</v>
      </c>
      <c r="E4610" s="80">
        <v>45659</v>
      </c>
      <c r="F4610">
        <v>3010111</v>
      </c>
      <c r="G4610">
        <v>1672</v>
      </c>
    </row>
    <row r="4611" spans="1:7" x14ac:dyDescent="0.3">
      <c r="A4611" s="80">
        <v>45664</v>
      </c>
      <c r="B4611">
        <v>3010200</v>
      </c>
      <c r="C4611">
        <v>5000</v>
      </c>
      <c r="E4611" s="80">
        <v>45659</v>
      </c>
      <c r="F4611">
        <v>3010111</v>
      </c>
      <c r="G4611">
        <v>3017</v>
      </c>
    </row>
    <row r="4612" spans="1:7" x14ac:dyDescent="0.3">
      <c r="A4612" s="761">
        <v>45664</v>
      </c>
      <c r="B4612">
        <v>3010200</v>
      </c>
      <c r="C4612">
        <v>5000</v>
      </c>
      <c r="E4612" s="80">
        <v>45659</v>
      </c>
      <c r="F4612">
        <v>3010111</v>
      </c>
      <c r="G4612">
        <v>4025</v>
      </c>
    </row>
    <row r="4613" spans="1:7" x14ac:dyDescent="0.3">
      <c r="A4613" s="761">
        <v>45664</v>
      </c>
      <c r="B4613">
        <v>3010200</v>
      </c>
      <c r="C4613">
        <v>5000</v>
      </c>
      <c r="E4613" s="80">
        <v>45659</v>
      </c>
      <c r="F4613">
        <v>3010111</v>
      </c>
      <c r="G4613">
        <v>3185</v>
      </c>
    </row>
    <row r="4614" spans="1:7" x14ac:dyDescent="0.3">
      <c r="A4614" s="761">
        <v>45664</v>
      </c>
      <c r="B4614">
        <v>3010200</v>
      </c>
      <c r="C4614">
        <v>5000</v>
      </c>
      <c r="E4614" s="80">
        <v>45659</v>
      </c>
      <c r="F4614">
        <v>3010111</v>
      </c>
      <c r="G4614">
        <v>1672</v>
      </c>
    </row>
    <row r="4615" spans="1:7" x14ac:dyDescent="0.3">
      <c r="A4615" s="761">
        <v>45664</v>
      </c>
      <c r="B4615">
        <v>3010200</v>
      </c>
      <c r="C4615">
        <v>5000</v>
      </c>
      <c r="E4615" s="80">
        <v>45659</v>
      </c>
      <c r="F4615">
        <v>3010111</v>
      </c>
      <c r="G4615">
        <v>3017</v>
      </c>
    </row>
    <row r="4616" spans="1:7" x14ac:dyDescent="0.3">
      <c r="A4616" s="761">
        <v>45664</v>
      </c>
      <c r="B4616">
        <v>3010200</v>
      </c>
      <c r="C4616">
        <v>5000</v>
      </c>
      <c r="E4616" s="80">
        <v>45659</v>
      </c>
      <c r="F4616">
        <v>3010111</v>
      </c>
      <c r="G4616">
        <v>4193</v>
      </c>
    </row>
    <row r="4617" spans="1:7" x14ac:dyDescent="0.3">
      <c r="A4617" s="761">
        <v>45663</v>
      </c>
      <c r="B4617">
        <v>3010200</v>
      </c>
      <c r="C4617">
        <v>5000</v>
      </c>
      <c r="E4617" s="80">
        <v>45659</v>
      </c>
      <c r="F4617">
        <v>3010111</v>
      </c>
      <c r="G4617">
        <v>0</v>
      </c>
    </row>
    <row r="4618" spans="1:7" x14ac:dyDescent="0.3">
      <c r="A4618" s="761">
        <v>45663</v>
      </c>
      <c r="B4618">
        <v>3010200</v>
      </c>
      <c r="C4618">
        <v>5000</v>
      </c>
      <c r="E4618" s="80">
        <v>45659</v>
      </c>
      <c r="F4618">
        <v>3010111</v>
      </c>
      <c r="G4618">
        <v>0</v>
      </c>
    </row>
    <row r="4619" spans="1:7" x14ac:dyDescent="0.3">
      <c r="A4619" s="761">
        <v>45663</v>
      </c>
      <c r="B4619">
        <v>3010200</v>
      </c>
      <c r="C4619">
        <v>5000</v>
      </c>
      <c r="E4619" s="80">
        <v>45659</v>
      </c>
      <c r="F4619">
        <v>3010111</v>
      </c>
      <c r="G4619">
        <v>0</v>
      </c>
    </row>
    <row r="4620" spans="1:7" x14ac:dyDescent="0.3">
      <c r="A4620" s="761">
        <v>45663</v>
      </c>
      <c r="B4620">
        <v>3010200</v>
      </c>
      <c r="C4620">
        <v>5000</v>
      </c>
      <c r="E4620" s="80">
        <v>45659</v>
      </c>
      <c r="F4620">
        <v>3010111</v>
      </c>
      <c r="G4620">
        <v>3185</v>
      </c>
    </row>
    <row r="4621" spans="1:7" x14ac:dyDescent="0.3">
      <c r="A4621" s="761">
        <v>45663</v>
      </c>
      <c r="B4621">
        <v>3010200</v>
      </c>
      <c r="C4621">
        <v>5000</v>
      </c>
      <c r="E4621" s="80">
        <v>45659</v>
      </c>
      <c r="F4621">
        <v>3010111</v>
      </c>
      <c r="G4621">
        <v>0</v>
      </c>
    </row>
    <row r="4622" spans="1:7" x14ac:dyDescent="0.3">
      <c r="A4622" s="761">
        <v>45663</v>
      </c>
      <c r="B4622">
        <v>3010200</v>
      </c>
      <c r="C4622">
        <v>5000</v>
      </c>
      <c r="E4622" s="80">
        <v>45659</v>
      </c>
      <c r="F4622">
        <v>3010111</v>
      </c>
      <c r="G4622">
        <v>1672</v>
      </c>
    </row>
    <row r="4623" spans="1:7" x14ac:dyDescent="0.3">
      <c r="A4623" s="761">
        <v>45663</v>
      </c>
      <c r="B4623">
        <v>3010200</v>
      </c>
      <c r="C4623">
        <v>5000</v>
      </c>
      <c r="E4623" s="80">
        <v>45659</v>
      </c>
      <c r="F4623">
        <v>3010111</v>
      </c>
      <c r="G4623">
        <v>3185</v>
      </c>
    </row>
    <row r="4624" spans="1:7" x14ac:dyDescent="0.3">
      <c r="A4624" s="761">
        <v>45663</v>
      </c>
      <c r="B4624">
        <v>3010200</v>
      </c>
      <c r="C4624">
        <v>5000</v>
      </c>
      <c r="E4624" s="80">
        <v>45659</v>
      </c>
      <c r="F4624">
        <v>3010111</v>
      </c>
      <c r="G4624">
        <v>0</v>
      </c>
    </row>
    <row r="4625" spans="1:7" x14ac:dyDescent="0.3">
      <c r="A4625" s="761">
        <v>45663</v>
      </c>
      <c r="B4625">
        <v>3010200</v>
      </c>
      <c r="C4625">
        <v>5000</v>
      </c>
      <c r="E4625" s="80">
        <v>45659</v>
      </c>
      <c r="F4625">
        <v>3010111</v>
      </c>
      <c r="G4625">
        <v>0</v>
      </c>
    </row>
    <row r="4626" spans="1:7" x14ac:dyDescent="0.3">
      <c r="A4626" s="761">
        <v>45663</v>
      </c>
      <c r="B4626">
        <v>3010200</v>
      </c>
      <c r="C4626">
        <v>5000</v>
      </c>
      <c r="E4626" s="80">
        <v>45659</v>
      </c>
      <c r="F4626">
        <v>3010111</v>
      </c>
      <c r="G4626">
        <v>0</v>
      </c>
    </row>
    <row r="4627" spans="1:7" x14ac:dyDescent="0.3">
      <c r="A4627" s="761">
        <v>45663</v>
      </c>
      <c r="B4627">
        <v>3010200</v>
      </c>
      <c r="C4627">
        <v>5000</v>
      </c>
      <c r="E4627" s="80">
        <v>45659</v>
      </c>
      <c r="F4627">
        <v>3010111</v>
      </c>
      <c r="G4627">
        <v>1672</v>
      </c>
    </row>
    <row r="4628" spans="1:7" x14ac:dyDescent="0.3">
      <c r="A4628" s="761">
        <v>45663</v>
      </c>
      <c r="B4628">
        <v>3010200</v>
      </c>
      <c r="C4628">
        <v>5000</v>
      </c>
      <c r="E4628" s="80">
        <v>45659</v>
      </c>
      <c r="F4628">
        <v>3010111</v>
      </c>
      <c r="G4628">
        <v>0</v>
      </c>
    </row>
    <row r="4629" spans="1:7" x14ac:dyDescent="0.3">
      <c r="A4629" s="761">
        <v>45663</v>
      </c>
      <c r="B4629">
        <v>3010200</v>
      </c>
      <c r="C4629">
        <v>5000</v>
      </c>
      <c r="E4629" s="80">
        <v>45659</v>
      </c>
      <c r="F4629">
        <v>3010111</v>
      </c>
      <c r="G4629">
        <v>0</v>
      </c>
    </row>
    <row r="4630" spans="1:7" x14ac:dyDescent="0.3">
      <c r="A4630" s="761">
        <v>45663</v>
      </c>
      <c r="B4630">
        <v>3010200</v>
      </c>
      <c r="C4630">
        <v>5000</v>
      </c>
      <c r="E4630" s="80">
        <v>45659</v>
      </c>
      <c r="F4630">
        <v>3010111</v>
      </c>
      <c r="G4630">
        <v>1672</v>
      </c>
    </row>
    <row r="4631" spans="1:7" x14ac:dyDescent="0.3">
      <c r="A4631" s="761">
        <v>45663</v>
      </c>
      <c r="B4631">
        <v>3010200</v>
      </c>
      <c r="C4631">
        <v>5000</v>
      </c>
      <c r="E4631" s="80">
        <v>45659</v>
      </c>
      <c r="F4631">
        <v>3010111</v>
      </c>
      <c r="G4631">
        <v>0</v>
      </c>
    </row>
    <row r="4632" spans="1:7" x14ac:dyDescent="0.3">
      <c r="A4632" s="761">
        <v>45663</v>
      </c>
      <c r="B4632">
        <v>3010200</v>
      </c>
      <c r="C4632">
        <v>5000</v>
      </c>
      <c r="E4632" s="80">
        <v>45659</v>
      </c>
      <c r="F4632">
        <v>3010111</v>
      </c>
      <c r="G4632">
        <v>0</v>
      </c>
    </row>
    <row r="4633" spans="1:7" x14ac:dyDescent="0.3">
      <c r="A4633" s="761">
        <v>45663</v>
      </c>
      <c r="B4633">
        <v>3010200</v>
      </c>
      <c r="C4633">
        <v>5000</v>
      </c>
      <c r="E4633" s="80">
        <v>45658</v>
      </c>
      <c r="F4633">
        <v>3010111</v>
      </c>
      <c r="G4633">
        <v>0</v>
      </c>
    </row>
    <row r="4634" spans="1:7" x14ac:dyDescent="0.3">
      <c r="A4634" s="761">
        <v>45663</v>
      </c>
      <c r="B4634">
        <v>3010200</v>
      </c>
      <c r="C4634">
        <v>5000</v>
      </c>
      <c r="E4634" s="80">
        <v>45658</v>
      </c>
      <c r="F4634">
        <v>3010111</v>
      </c>
      <c r="G4634">
        <v>0</v>
      </c>
    </row>
    <row r="4635" spans="1:7" x14ac:dyDescent="0.3">
      <c r="A4635" s="761">
        <v>45663</v>
      </c>
      <c r="B4635">
        <v>3010200</v>
      </c>
      <c r="C4635">
        <v>5000</v>
      </c>
      <c r="E4635" s="80">
        <v>45658</v>
      </c>
      <c r="F4635">
        <v>3010111</v>
      </c>
      <c r="G4635">
        <v>3521</v>
      </c>
    </row>
    <row r="4636" spans="1:7" x14ac:dyDescent="0.3">
      <c r="A4636" s="761">
        <v>45663</v>
      </c>
      <c r="B4636">
        <v>3010200</v>
      </c>
      <c r="C4636">
        <v>5000</v>
      </c>
      <c r="E4636" s="80">
        <v>45658</v>
      </c>
      <c r="F4636">
        <v>3010111</v>
      </c>
      <c r="G4636">
        <v>1672</v>
      </c>
    </row>
    <row r="4637" spans="1:7" x14ac:dyDescent="0.3">
      <c r="A4637" s="761">
        <v>45663</v>
      </c>
      <c r="B4637">
        <v>3010200</v>
      </c>
      <c r="C4637">
        <v>500</v>
      </c>
      <c r="E4637" s="80">
        <v>45658</v>
      </c>
      <c r="F4637">
        <v>3010111</v>
      </c>
      <c r="G4637">
        <v>1672</v>
      </c>
    </row>
    <row r="4638" spans="1:7" x14ac:dyDescent="0.3">
      <c r="A4638" s="761">
        <v>45663</v>
      </c>
      <c r="B4638">
        <v>3010200</v>
      </c>
      <c r="C4638">
        <v>5000</v>
      </c>
      <c r="E4638" s="80">
        <v>45658</v>
      </c>
      <c r="F4638">
        <v>3010111</v>
      </c>
      <c r="G4638">
        <v>0</v>
      </c>
    </row>
    <row r="4639" spans="1:7" x14ac:dyDescent="0.3">
      <c r="A4639" s="761">
        <v>45663</v>
      </c>
      <c r="B4639">
        <v>3010200</v>
      </c>
      <c r="C4639">
        <v>5000</v>
      </c>
      <c r="E4639" s="80">
        <v>45658</v>
      </c>
      <c r="F4639">
        <v>3010111</v>
      </c>
      <c r="G4639">
        <v>0</v>
      </c>
    </row>
    <row r="4640" spans="1:7" x14ac:dyDescent="0.3">
      <c r="A4640" s="761">
        <v>45663</v>
      </c>
      <c r="B4640">
        <v>3010200</v>
      </c>
      <c r="C4640">
        <v>5000</v>
      </c>
      <c r="E4640" s="80">
        <v>45658</v>
      </c>
      <c r="F4640">
        <v>3010111</v>
      </c>
      <c r="G4640">
        <v>1672</v>
      </c>
    </row>
    <row r="4641" spans="1:7" x14ac:dyDescent="0.3">
      <c r="A4641" s="761">
        <v>45663</v>
      </c>
      <c r="B4641">
        <v>3010200</v>
      </c>
      <c r="C4641">
        <v>5000</v>
      </c>
      <c r="E4641" s="80">
        <v>45658</v>
      </c>
      <c r="F4641">
        <v>3010111</v>
      </c>
      <c r="G4641">
        <v>1672</v>
      </c>
    </row>
    <row r="4642" spans="1:7" x14ac:dyDescent="0.3">
      <c r="A4642" s="761">
        <v>45662</v>
      </c>
      <c r="B4642">
        <v>3010200</v>
      </c>
      <c r="C4642">
        <v>5000</v>
      </c>
      <c r="E4642" s="80">
        <v>45658</v>
      </c>
      <c r="F4642">
        <v>3010111</v>
      </c>
      <c r="G4642">
        <v>1672</v>
      </c>
    </row>
    <row r="4643" spans="1:7" x14ac:dyDescent="0.3">
      <c r="A4643" s="761">
        <v>45662</v>
      </c>
      <c r="B4643">
        <v>3010200</v>
      </c>
      <c r="C4643">
        <v>5000</v>
      </c>
      <c r="E4643" s="80">
        <v>45658</v>
      </c>
      <c r="F4643">
        <v>3010111</v>
      </c>
      <c r="G4643">
        <v>3521</v>
      </c>
    </row>
    <row r="4644" spans="1:7" x14ac:dyDescent="0.3">
      <c r="A4644" s="761">
        <v>45662</v>
      </c>
      <c r="B4644">
        <v>3010200</v>
      </c>
      <c r="C4644">
        <v>5000</v>
      </c>
      <c r="E4644" s="80">
        <v>45658</v>
      </c>
      <c r="F4644">
        <v>3010111</v>
      </c>
      <c r="G4644">
        <v>1672</v>
      </c>
    </row>
    <row r="4645" spans="1:7" x14ac:dyDescent="0.3">
      <c r="A4645" s="761">
        <v>45662</v>
      </c>
      <c r="B4645">
        <v>3010200</v>
      </c>
      <c r="C4645">
        <v>5000</v>
      </c>
      <c r="E4645" s="80">
        <v>45658</v>
      </c>
      <c r="F4645">
        <v>3010111</v>
      </c>
      <c r="G4645">
        <v>1672</v>
      </c>
    </row>
    <row r="4646" spans="1:7" x14ac:dyDescent="0.3">
      <c r="A4646" s="761">
        <v>45662</v>
      </c>
      <c r="B4646">
        <v>3010200</v>
      </c>
      <c r="C4646">
        <v>5000</v>
      </c>
      <c r="E4646" s="80">
        <v>45658</v>
      </c>
      <c r="F4646">
        <v>3010111</v>
      </c>
      <c r="G4646">
        <v>1672</v>
      </c>
    </row>
    <row r="4647" spans="1:7" x14ac:dyDescent="0.3">
      <c r="A4647" s="761">
        <v>45662</v>
      </c>
      <c r="B4647">
        <v>3010200</v>
      </c>
      <c r="C4647">
        <v>5000</v>
      </c>
      <c r="E4647" s="80">
        <v>45658</v>
      </c>
      <c r="F4647">
        <v>3010111</v>
      </c>
      <c r="G4647">
        <v>3941</v>
      </c>
    </row>
    <row r="4648" spans="1:7" x14ac:dyDescent="0.3">
      <c r="A4648" s="761">
        <v>45662</v>
      </c>
      <c r="B4648">
        <v>3010200</v>
      </c>
      <c r="C4648">
        <v>5000</v>
      </c>
      <c r="E4648" s="80">
        <v>45838</v>
      </c>
      <c r="F4648">
        <v>3010111</v>
      </c>
      <c r="G4648">
        <v>0</v>
      </c>
    </row>
    <row r="4649" spans="1:7" x14ac:dyDescent="0.3">
      <c r="A4649" s="761">
        <v>45662</v>
      </c>
      <c r="B4649">
        <v>3010200</v>
      </c>
      <c r="C4649">
        <v>5000</v>
      </c>
      <c r="E4649" s="80">
        <v>45844</v>
      </c>
      <c r="F4649">
        <v>3010111</v>
      </c>
      <c r="G4649">
        <v>3773</v>
      </c>
    </row>
    <row r="4650" spans="1:7" x14ac:dyDescent="0.3">
      <c r="A4650" s="761">
        <v>45662</v>
      </c>
      <c r="B4650">
        <v>3010200</v>
      </c>
      <c r="C4650">
        <v>5000</v>
      </c>
      <c r="E4650" s="80">
        <v>45835</v>
      </c>
      <c r="F4650">
        <v>3010111</v>
      </c>
      <c r="G4650">
        <v>3353</v>
      </c>
    </row>
    <row r="4651" spans="1:7" x14ac:dyDescent="0.3">
      <c r="A4651" s="761">
        <v>45662</v>
      </c>
      <c r="B4651">
        <v>3010200</v>
      </c>
      <c r="C4651">
        <v>5000</v>
      </c>
      <c r="E4651" s="80">
        <v>45844</v>
      </c>
      <c r="F4651">
        <v>3010111</v>
      </c>
      <c r="G4651">
        <v>0</v>
      </c>
    </row>
    <row r="4652" spans="1:7" x14ac:dyDescent="0.3">
      <c r="A4652" s="761">
        <v>45662</v>
      </c>
      <c r="B4652">
        <v>3010200</v>
      </c>
      <c r="C4652">
        <v>5000</v>
      </c>
      <c r="E4652" s="80">
        <v>45841</v>
      </c>
      <c r="F4652">
        <v>3010111</v>
      </c>
      <c r="G4652">
        <v>0</v>
      </c>
    </row>
    <row r="4653" spans="1:7" x14ac:dyDescent="0.3">
      <c r="A4653" s="761">
        <v>45662</v>
      </c>
      <c r="B4653">
        <v>3010200</v>
      </c>
      <c r="C4653">
        <v>5000</v>
      </c>
      <c r="E4653" s="80">
        <v>45833</v>
      </c>
      <c r="F4653">
        <v>3010111</v>
      </c>
      <c r="G4653">
        <v>0</v>
      </c>
    </row>
    <row r="4654" spans="1:7" x14ac:dyDescent="0.3">
      <c r="A4654" s="761">
        <v>45662</v>
      </c>
      <c r="B4654">
        <v>3010200</v>
      </c>
      <c r="C4654">
        <v>5000</v>
      </c>
      <c r="E4654" s="80">
        <v>45833</v>
      </c>
      <c r="F4654">
        <v>3010111</v>
      </c>
      <c r="G4654">
        <v>0</v>
      </c>
    </row>
    <row r="4655" spans="1:7" x14ac:dyDescent="0.3">
      <c r="A4655" s="761">
        <v>45662</v>
      </c>
      <c r="B4655">
        <v>3010200</v>
      </c>
      <c r="C4655">
        <v>2630</v>
      </c>
      <c r="E4655" s="80">
        <v>45833</v>
      </c>
      <c r="F4655">
        <v>3010111</v>
      </c>
      <c r="G4655">
        <v>0</v>
      </c>
    </row>
    <row r="4656" spans="1:7" x14ac:dyDescent="0.3">
      <c r="A4656" s="761">
        <v>45662</v>
      </c>
      <c r="B4656">
        <v>3010200</v>
      </c>
      <c r="C4656">
        <v>5000</v>
      </c>
      <c r="E4656" s="80">
        <v>45838</v>
      </c>
      <c r="F4656">
        <v>3010111</v>
      </c>
      <c r="G4656">
        <v>0</v>
      </c>
    </row>
    <row r="4657" spans="1:7" x14ac:dyDescent="0.3">
      <c r="A4657" s="761">
        <v>45662</v>
      </c>
      <c r="B4657">
        <v>3010200</v>
      </c>
      <c r="C4657">
        <v>5000</v>
      </c>
      <c r="E4657" s="80">
        <v>45828</v>
      </c>
      <c r="F4657">
        <v>3010111</v>
      </c>
      <c r="G4657">
        <v>0</v>
      </c>
    </row>
    <row r="4658" spans="1:7" x14ac:dyDescent="0.3">
      <c r="A4658" s="761">
        <v>45662</v>
      </c>
      <c r="B4658">
        <v>3010200</v>
      </c>
      <c r="C4658">
        <v>10000</v>
      </c>
      <c r="E4658" s="80">
        <v>45828</v>
      </c>
      <c r="F4658">
        <v>3010111</v>
      </c>
      <c r="G4658">
        <v>0</v>
      </c>
    </row>
    <row r="4659" spans="1:7" x14ac:dyDescent="0.3">
      <c r="A4659" s="761">
        <v>45662</v>
      </c>
      <c r="B4659">
        <v>3010200</v>
      </c>
      <c r="C4659">
        <v>5000</v>
      </c>
      <c r="E4659" s="80">
        <v>45832</v>
      </c>
      <c r="F4659">
        <v>3010111</v>
      </c>
      <c r="G4659">
        <v>0</v>
      </c>
    </row>
    <row r="4660" spans="1:7" x14ac:dyDescent="0.3">
      <c r="A4660" s="761">
        <v>45662</v>
      </c>
      <c r="B4660">
        <v>3010200</v>
      </c>
      <c r="C4660">
        <v>5000</v>
      </c>
      <c r="E4660" s="80">
        <v>45832</v>
      </c>
      <c r="F4660">
        <v>3010111</v>
      </c>
      <c r="G4660">
        <v>0</v>
      </c>
    </row>
    <row r="4661" spans="1:7" x14ac:dyDescent="0.3">
      <c r="A4661" s="761">
        <v>45662</v>
      </c>
      <c r="B4661">
        <v>3010200</v>
      </c>
      <c r="C4661">
        <v>5000</v>
      </c>
      <c r="E4661" s="80">
        <v>45834</v>
      </c>
      <c r="F4661">
        <v>3010111</v>
      </c>
      <c r="G4661">
        <v>0</v>
      </c>
    </row>
    <row r="4662" spans="1:7" x14ac:dyDescent="0.3">
      <c r="A4662" s="761">
        <v>45662</v>
      </c>
      <c r="B4662">
        <v>3010200</v>
      </c>
      <c r="C4662">
        <v>5000</v>
      </c>
      <c r="E4662" s="80">
        <v>45838</v>
      </c>
      <c r="F4662">
        <v>3010111</v>
      </c>
      <c r="G4662">
        <v>0</v>
      </c>
    </row>
    <row r="4663" spans="1:7" x14ac:dyDescent="0.3">
      <c r="A4663" s="761">
        <v>45662</v>
      </c>
      <c r="B4663">
        <v>3010200</v>
      </c>
      <c r="C4663">
        <v>5000</v>
      </c>
      <c r="E4663" s="80">
        <v>45840</v>
      </c>
      <c r="F4663">
        <v>3010111</v>
      </c>
      <c r="G4663">
        <v>0</v>
      </c>
    </row>
    <row r="4664" spans="1:7" x14ac:dyDescent="0.3">
      <c r="A4664" s="761">
        <v>45662</v>
      </c>
      <c r="B4664">
        <v>3010200</v>
      </c>
      <c r="C4664">
        <v>5000</v>
      </c>
      <c r="E4664" s="80">
        <v>45840</v>
      </c>
      <c r="F4664">
        <v>3010111</v>
      </c>
      <c r="G4664">
        <v>0</v>
      </c>
    </row>
    <row r="4665" spans="1:7" x14ac:dyDescent="0.3">
      <c r="A4665" s="761">
        <v>45662</v>
      </c>
      <c r="B4665">
        <v>3010200</v>
      </c>
      <c r="C4665">
        <v>5000</v>
      </c>
      <c r="E4665" s="80">
        <v>45841</v>
      </c>
      <c r="F4665">
        <v>3010111</v>
      </c>
      <c r="G4665">
        <v>0</v>
      </c>
    </row>
    <row r="4666" spans="1:7" x14ac:dyDescent="0.3">
      <c r="A4666" s="761">
        <v>45661</v>
      </c>
      <c r="B4666">
        <v>3010200</v>
      </c>
      <c r="C4666">
        <v>5000</v>
      </c>
      <c r="E4666" s="80">
        <v>45841</v>
      </c>
      <c r="F4666">
        <v>3010111</v>
      </c>
      <c r="G4666">
        <v>0</v>
      </c>
    </row>
    <row r="4667" spans="1:7" x14ac:dyDescent="0.3">
      <c r="A4667" s="761">
        <v>45661</v>
      </c>
      <c r="B4667">
        <v>3010200</v>
      </c>
      <c r="C4667">
        <v>5000</v>
      </c>
      <c r="E4667" s="80">
        <v>45830</v>
      </c>
      <c r="F4667">
        <v>3010111</v>
      </c>
      <c r="G4667">
        <v>0</v>
      </c>
    </row>
    <row r="4668" spans="1:7" x14ac:dyDescent="0.3">
      <c r="A4668" s="761">
        <v>45661</v>
      </c>
      <c r="B4668">
        <v>3010200</v>
      </c>
      <c r="C4668">
        <v>5000</v>
      </c>
      <c r="E4668" s="80">
        <v>45830</v>
      </c>
      <c r="F4668">
        <v>3010111</v>
      </c>
      <c r="G4668">
        <v>0</v>
      </c>
    </row>
    <row r="4669" spans="1:7" x14ac:dyDescent="0.3">
      <c r="A4669" s="761">
        <v>45661</v>
      </c>
      <c r="B4669">
        <v>3010200</v>
      </c>
      <c r="C4669">
        <v>5000</v>
      </c>
      <c r="E4669" s="80">
        <v>45830</v>
      </c>
      <c r="F4669">
        <v>3010111</v>
      </c>
      <c r="G4669">
        <v>0</v>
      </c>
    </row>
    <row r="4670" spans="1:7" x14ac:dyDescent="0.3">
      <c r="A4670" s="761">
        <v>45661</v>
      </c>
      <c r="B4670">
        <v>3010200</v>
      </c>
      <c r="C4670">
        <v>5000</v>
      </c>
      <c r="E4670" s="80">
        <v>45830</v>
      </c>
      <c r="F4670">
        <v>3010111</v>
      </c>
      <c r="G4670">
        <v>0</v>
      </c>
    </row>
    <row r="4671" spans="1:7" x14ac:dyDescent="0.3">
      <c r="A4671" s="761">
        <v>45661</v>
      </c>
      <c r="B4671">
        <v>3010200</v>
      </c>
      <c r="C4671">
        <v>5000</v>
      </c>
      <c r="E4671" s="80">
        <v>45832</v>
      </c>
      <c r="F4671">
        <v>3010111</v>
      </c>
      <c r="G4671">
        <v>0</v>
      </c>
    </row>
    <row r="4672" spans="1:7" x14ac:dyDescent="0.3">
      <c r="A4672" s="761">
        <v>45661</v>
      </c>
      <c r="B4672">
        <v>3010200</v>
      </c>
      <c r="C4672">
        <v>5000</v>
      </c>
      <c r="E4672" s="80">
        <v>45832</v>
      </c>
      <c r="F4672">
        <v>3010111</v>
      </c>
      <c r="G4672">
        <v>0</v>
      </c>
    </row>
    <row r="4673" spans="1:7" x14ac:dyDescent="0.3">
      <c r="A4673" s="761">
        <v>45661</v>
      </c>
      <c r="B4673">
        <v>3010200</v>
      </c>
      <c r="C4673">
        <v>5000</v>
      </c>
      <c r="E4673" s="80">
        <v>45834</v>
      </c>
      <c r="F4673">
        <v>3010111</v>
      </c>
      <c r="G4673">
        <v>1504</v>
      </c>
    </row>
    <row r="4674" spans="1:7" x14ac:dyDescent="0.3">
      <c r="A4674" s="761">
        <v>45661</v>
      </c>
      <c r="B4674">
        <v>3010200</v>
      </c>
      <c r="C4674">
        <v>5000</v>
      </c>
      <c r="E4674" s="80">
        <v>45834</v>
      </c>
      <c r="F4674">
        <v>3010111</v>
      </c>
      <c r="G4674">
        <v>3773</v>
      </c>
    </row>
    <row r="4675" spans="1:7" x14ac:dyDescent="0.3">
      <c r="A4675" s="761">
        <v>45661</v>
      </c>
      <c r="B4675">
        <v>3010200</v>
      </c>
      <c r="C4675">
        <v>500</v>
      </c>
      <c r="E4675" s="80">
        <v>45835</v>
      </c>
      <c r="F4675">
        <v>3010111</v>
      </c>
      <c r="G4675">
        <v>2008</v>
      </c>
    </row>
    <row r="4676" spans="1:7" x14ac:dyDescent="0.3">
      <c r="A4676" s="761">
        <v>45661</v>
      </c>
      <c r="B4676">
        <v>3010200</v>
      </c>
      <c r="C4676">
        <v>5000</v>
      </c>
      <c r="E4676" s="80">
        <v>45835</v>
      </c>
      <c r="F4676">
        <v>3010111</v>
      </c>
      <c r="G4676">
        <v>1504</v>
      </c>
    </row>
    <row r="4677" spans="1:7" x14ac:dyDescent="0.3">
      <c r="A4677" s="761">
        <v>45661</v>
      </c>
      <c r="B4677">
        <v>3010200</v>
      </c>
      <c r="C4677">
        <v>5000</v>
      </c>
      <c r="E4677" s="80">
        <v>45836</v>
      </c>
      <c r="F4677">
        <v>3010111</v>
      </c>
      <c r="G4677">
        <v>1504</v>
      </c>
    </row>
    <row r="4678" spans="1:7" x14ac:dyDescent="0.3">
      <c r="A4678" s="761">
        <v>45661</v>
      </c>
      <c r="B4678">
        <v>3010200</v>
      </c>
      <c r="C4678">
        <v>5000</v>
      </c>
      <c r="E4678" s="80">
        <v>45837</v>
      </c>
      <c r="F4678">
        <v>3010111</v>
      </c>
      <c r="G4678">
        <v>1504</v>
      </c>
    </row>
    <row r="4679" spans="1:7" x14ac:dyDescent="0.3">
      <c r="A4679" s="761">
        <v>45661</v>
      </c>
      <c r="B4679">
        <v>3010200</v>
      </c>
      <c r="C4679">
        <v>5000</v>
      </c>
      <c r="E4679" s="80">
        <v>45837</v>
      </c>
      <c r="F4679">
        <v>3010111</v>
      </c>
      <c r="G4679">
        <v>1504</v>
      </c>
    </row>
    <row r="4680" spans="1:7" x14ac:dyDescent="0.3">
      <c r="A4680" s="761">
        <v>45661</v>
      </c>
      <c r="B4680">
        <v>3010200</v>
      </c>
      <c r="C4680">
        <v>5000</v>
      </c>
      <c r="E4680" s="80">
        <v>45838</v>
      </c>
      <c r="F4680">
        <v>3010111</v>
      </c>
      <c r="G4680">
        <v>1504</v>
      </c>
    </row>
    <row r="4681" spans="1:7" x14ac:dyDescent="0.3">
      <c r="A4681" s="761">
        <v>45661</v>
      </c>
      <c r="B4681">
        <v>3010200</v>
      </c>
      <c r="C4681">
        <v>5000</v>
      </c>
      <c r="E4681" s="80">
        <v>45838</v>
      </c>
      <c r="F4681">
        <v>3010111</v>
      </c>
      <c r="G4681">
        <v>1504</v>
      </c>
    </row>
    <row r="4682" spans="1:7" x14ac:dyDescent="0.3">
      <c r="A4682" s="761">
        <v>45661</v>
      </c>
      <c r="B4682">
        <v>3010200</v>
      </c>
      <c r="C4682">
        <v>5000</v>
      </c>
      <c r="E4682" s="80">
        <v>45839</v>
      </c>
      <c r="F4682">
        <v>3010111</v>
      </c>
      <c r="G4682">
        <v>4103</v>
      </c>
    </row>
    <row r="4683" spans="1:7" x14ac:dyDescent="0.3">
      <c r="A4683" s="761">
        <v>45661</v>
      </c>
      <c r="B4683">
        <v>3010200</v>
      </c>
      <c r="C4683">
        <v>5000</v>
      </c>
      <c r="E4683" s="80">
        <v>45839</v>
      </c>
      <c r="F4683">
        <v>3010111</v>
      </c>
      <c r="G4683">
        <v>1504</v>
      </c>
    </row>
    <row r="4684" spans="1:7" x14ac:dyDescent="0.3">
      <c r="A4684" s="761">
        <v>45661</v>
      </c>
      <c r="B4684">
        <v>3010200</v>
      </c>
      <c r="C4684">
        <v>5000</v>
      </c>
      <c r="E4684" s="80">
        <v>45840</v>
      </c>
      <c r="F4684">
        <v>3010111</v>
      </c>
      <c r="G4684">
        <v>5976</v>
      </c>
    </row>
    <row r="4685" spans="1:7" x14ac:dyDescent="0.3">
      <c r="A4685" s="761">
        <v>45660</v>
      </c>
      <c r="B4685">
        <v>3010200</v>
      </c>
      <c r="C4685">
        <v>5000</v>
      </c>
      <c r="E4685" s="80">
        <v>45840</v>
      </c>
      <c r="F4685">
        <v>3010111</v>
      </c>
      <c r="G4685">
        <v>1504</v>
      </c>
    </row>
    <row r="4686" spans="1:7" x14ac:dyDescent="0.3">
      <c r="A4686" s="761">
        <v>45660</v>
      </c>
      <c r="B4686">
        <v>3010200</v>
      </c>
      <c r="C4686">
        <v>5000</v>
      </c>
      <c r="E4686" s="80">
        <v>45841</v>
      </c>
      <c r="F4686">
        <v>3010111</v>
      </c>
      <c r="G4686">
        <v>1504</v>
      </c>
    </row>
    <row r="4687" spans="1:7" x14ac:dyDescent="0.3">
      <c r="A4687" s="761">
        <v>45660</v>
      </c>
      <c r="B4687">
        <v>3010200</v>
      </c>
      <c r="C4687">
        <v>5000</v>
      </c>
      <c r="E4687" s="80">
        <v>45841</v>
      </c>
      <c r="F4687">
        <v>3010111</v>
      </c>
      <c r="G4687">
        <v>1504</v>
      </c>
    </row>
    <row r="4688" spans="1:7" x14ac:dyDescent="0.3">
      <c r="A4688" s="761">
        <v>45660</v>
      </c>
      <c r="B4688">
        <v>3010200</v>
      </c>
      <c r="C4688">
        <v>5000</v>
      </c>
      <c r="E4688" s="80">
        <v>45842</v>
      </c>
      <c r="F4688">
        <v>3010111</v>
      </c>
      <c r="G4688">
        <v>0</v>
      </c>
    </row>
    <row r="4689" spans="1:7" x14ac:dyDescent="0.3">
      <c r="A4689" s="761">
        <v>45660</v>
      </c>
      <c r="B4689">
        <v>3010200</v>
      </c>
      <c r="C4689">
        <v>5000</v>
      </c>
      <c r="E4689" s="80">
        <v>45842</v>
      </c>
      <c r="F4689">
        <v>3010111</v>
      </c>
      <c r="G4689">
        <v>0</v>
      </c>
    </row>
    <row r="4690" spans="1:7" x14ac:dyDescent="0.3">
      <c r="A4690" s="761">
        <v>45660</v>
      </c>
      <c r="B4690">
        <v>3010200</v>
      </c>
      <c r="C4690">
        <v>5000</v>
      </c>
      <c r="E4690" s="80">
        <v>45844</v>
      </c>
      <c r="F4690">
        <v>3010111</v>
      </c>
      <c r="G4690">
        <v>1504</v>
      </c>
    </row>
    <row r="4691" spans="1:7" x14ac:dyDescent="0.3">
      <c r="A4691" s="761">
        <v>45660</v>
      </c>
      <c r="B4691">
        <v>3010200</v>
      </c>
      <c r="C4691">
        <v>5000</v>
      </c>
      <c r="E4691" s="80">
        <v>45844</v>
      </c>
      <c r="F4691">
        <v>3010111</v>
      </c>
      <c r="G4691">
        <v>1504</v>
      </c>
    </row>
    <row r="4692" spans="1:7" x14ac:dyDescent="0.3">
      <c r="A4692" s="761">
        <v>45660</v>
      </c>
      <c r="B4692">
        <v>3010200</v>
      </c>
      <c r="C4692">
        <v>5000</v>
      </c>
      <c r="E4692" s="80">
        <v>45828</v>
      </c>
      <c r="F4692">
        <v>1010100</v>
      </c>
      <c r="G4692">
        <v>1142.02</v>
      </c>
    </row>
    <row r="4693" spans="1:7" x14ac:dyDescent="0.3">
      <c r="A4693" s="761">
        <v>45660</v>
      </c>
      <c r="B4693">
        <v>3010200</v>
      </c>
      <c r="C4693">
        <v>5000</v>
      </c>
      <c r="E4693" s="80">
        <v>45827</v>
      </c>
      <c r="F4693">
        <v>1010100</v>
      </c>
      <c r="G4693">
        <v>1256.26</v>
      </c>
    </row>
    <row r="4694" spans="1:7" x14ac:dyDescent="0.3">
      <c r="A4694" s="761">
        <v>45660</v>
      </c>
      <c r="B4694">
        <v>3010200</v>
      </c>
      <c r="C4694">
        <v>5000</v>
      </c>
      <c r="E4694" s="80">
        <v>45827</v>
      </c>
      <c r="F4694">
        <v>1010100</v>
      </c>
      <c r="G4694">
        <v>1256.26</v>
      </c>
    </row>
    <row r="4695" spans="1:7" x14ac:dyDescent="0.3">
      <c r="A4695" s="761">
        <v>45660</v>
      </c>
      <c r="B4695">
        <v>3010200</v>
      </c>
      <c r="C4695">
        <v>5000</v>
      </c>
      <c r="E4695" s="80">
        <v>45826</v>
      </c>
      <c r="F4695">
        <v>1010100</v>
      </c>
      <c r="G4695">
        <v>1142.02</v>
      </c>
    </row>
    <row r="4696" spans="1:7" x14ac:dyDescent="0.3">
      <c r="A4696" s="761">
        <v>45660</v>
      </c>
      <c r="B4696">
        <v>3010200</v>
      </c>
      <c r="C4696">
        <v>5000</v>
      </c>
      <c r="E4696" s="80">
        <v>45826</v>
      </c>
      <c r="F4696">
        <v>1010100</v>
      </c>
      <c r="G4696">
        <v>1142.02</v>
      </c>
    </row>
    <row r="4697" spans="1:7" x14ac:dyDescent="0.3">
      <c r="A4697" s="761">
        <v>45660</v>
      </c>
      <c r="B4697">
        <v>3010200</v>
      </c>
      <c r="C4697">
        <v>5000</v>
      </c>
      <c r="E4697" s="80">
        <v>45826</v>
      </c>
      <c r="F4697">
        <v>1010100</v>
      </c>
      <c r="G4697">
        <v>1142.02</v>
      </c>
    </row>
    <row r="4698" spans="1:7" x14ac:dyDescent="0.3">
      <c r="A4698" s="761">
        <v>45660</v>
      </c>
      <c r="B4698">
        <v>3010200</v>
      </c>
      <c r="C4698">
        <v>5000</v>
      </c>
      <c r="E4698" s="80">
        <v>45825</v>
      </c>
      <c r="F4698">
        <v>1010100</v>
      </c>
      <c r="G4698">
        <v>1256.26</v>
      </c>
    </row>
    <row r="4699" spans="1:7" x14ac:dyDescent="0.3">
      <c r="A4699" s="761">
        <v>45660</v>
      </c>
      <c r="B4699">
        <v>3010200</v>
      </c>
      <c r="C4699">
        <v>5000</v>
      </c>
      <c r="E4699" s="80">
        <v>45825</v>
      </c>
      <c r="F4699">
        <v>1010100</v>
      </c>
      <c r="G4699">
        <v>190.21</v>
      </c>
    </row>
    <row r="4700" spans="1:7" x14ac:dyDescent="0.3">
      <c r="A4700" s="761">
        <v>45660</v>
      </c>
      <c r="B4700">
        <v>3010200</v>
      </c>
      <c r="C4700">
        <v>2630</v>
      </c>
      <c r="E4700" s="80">
        <v>45825</v>
      </c>
      <c r="F4700">
        <v>1010100</v>
      </c>
      <c r="G4700">
        <v>1142.02</v>
      </c>
    </row>
    <row r="4701" spans="1:7" x14ac:dyDescent="0.3">
      <c r="A4701" s="761">
        <v>45660</v>
      </c>
      <c r="B4701">
        <v>3010200</v>
      </c>
      <c r="C4701">
        <v>5000</v>
      </c>
      <c r="E4701" s="80">
        <v>45825</v>
      </c>
      <c r="F4701">
        <v>1010100</v>
      </c>
      <c r="G4701">
        <v>1256.26</v>
      </c>
    </row>
    <row r="4702" spans="1:7" x14ac:dyDescent="0.3">
      <c r="A4702" s="761">
        <v>45659</v>
      </c>
      <c r="B4702">
        <v>3010200</v>
      </c>
      <c r="C4702">
        <v>5000</v>
      </c>
      <c r="E4702" s="80">
        <v>45824</v>
      </c>
      <c r="F4702">
        <v>1010100</v>
      </c>
      <c r="G4702">
        <v>1142.02</v>
      </c>
    </row>
    <row r="4703" spans="1:7" x14ac:dyDescent="0.3">
      <c r="A4703" s="761">
        <v>45659</v>
      </c>
      <c r="B4703">
        <v>3010200</v>
      </c>
      <c r="C4703">
        <v>5000</v>
      </c>
      <c r="E4703" s="80">
        <v>45824</v>
      </c>
      <c r="F4703">
        <v>1010100</v>
      </c>
      <c r="G4703">
        <v>1256.26</v>
      </c>
    </row>
    <row r="4704" spans="1:7" x14ac:dyDescent="0.3">
      <c r="A4704" s="761">
        <v>45659</v>
      </c>
      <c r="B4704">
        <v>3010200</v>
      </c>
      <c r="C4704">
        <v>5000</v>
      </c>
      <c r="E4704" s="80">
        <v>45823</v>
      </c>
      <c r="F4704">
        <v>1010100</v>
      </c>
      <c r="G4704">
        <v>1256.26</v>
      </c>
    </row>
    <row r="4705" spans="1:7" x14ac:dyDescent="0.3">
      <c r="A4705" s="761">
        <v>45659</v>
      </c>
      <c r="B4705">
        <v>3010200</v>
      </c>
      <c r="C4705">
        <v>5000</v>
      </c>
      <c r="E4705" s="80">
        <v>45823</v>
      </c>
      <c r="F4705">
        <v>1010100</v>
      </c>
      <c r="G4705">
        <v>879.38</v>
      </c>
    </row>
    <row r="4706" spans="1:7" x14ac:dyDescent="0.3">
      <c r="A4706" s="761">
        <v>45659</v>
      </c>
      <c r="B4706">
        <v>3010200</v>
      </c>
      <c r="C4706">
        <v>5000</v>
      </c>
      <c r="E4706" s="80">
        <v>45823</v>
      </c>
      <c r="F4706">
        <v>1010100</v>
      </c>
      <c r="G4706">
        <v>879.38</v>
      </c>
    </row>
    <row r="4707" spans="1:7" x14ac:dyDescent="0.3">
      <c r="A4707" s="761">
        <v>45659</v>
      </c>
      <c r="B4707">
        <v>3010200</v>
      </c>
      <c r="C4707">
        <v>5000</v>
      </c>
      <c r="E4707" s="80">
        <v>45823</v>
      </c>
      <c r="F4707">
        <v>1010100</v>
      </c>
      <c r="G4707">
        <v>1256.26</v>
      </c>
    </row>
    <row r="4708" spans="1:7" x14ac:dyDescent="0.3">
      <c r="A4708" s="761">
        <v>45659</v>
      </c>
      <c r="B4708">
        <v>3010200</v>
      </c>
      <c r="C4708">
        <v>5000</v>
      </c>
      <c r="E4708" s="80">
        <v>45822</v>
      </c>
      <c r="F4708">
        <v>1010100</v>
      </c>
      <c r="G4708">
        <v>1256.26</v>
      </c>
    </row>
    <row r="4709" spans="1:7" x14ac:dyDescent="0.3">
      <c r="A4709" s="761">
        <v>45659</v>
      </c>
      <c r="B4709">
        <v>3010200</v>
      </c>
      <c r="C4709">
        <v>5000</v>
      </c>
      <c r="E4709" s="80">
        <v>45822</v>
      </c>
      <c r="F4709">
        <v>1010100</v>
      </c>
      <c r="G4709">
        <v>1256.26</v>
      </c>
    </row>
    <row r="4710" spans="1:7" x14ac:dyDescent="0.3">
      <c r="A4710" s="761">
        <v>45659</v>
      </c>
      <c r="B4710">
        <v>3010200</v>
      </c>
      <c r="C4710">
        <v>5000</v>
      </c>
      <c r="E4710" s="80">
        <v>45822</v>
      </c>
      <c r="F4710">
        <v>1010100</v>
      </c>
      <c r="G4710">
        <v>1142.02</v>
      </c>
    </row>
    <row r="4711" spans="1:7" x14ac:dyDescent="0.3">
      <c r="A4711" s="761">
        <v>45659</v>
      </c>
      <c r="B4711">
        <v>3010200</v>
      </c>
      <c r="C4711">
        <v>10000</v>
      </c>
      <c r="E4711" s="80">
        <v>45820</v>
      </c>
      <c r="F4711">
        <v>1010100</v>
      </c>
      <c r="G4711">
        <v>1142.02</v>
      </c>
    </row>
    <row r="4712" spans="1:7" x14ac:dyDescent="0.3">
      <c r="A4712" s="761">
        <v>45659</v>
      </c>
      <c r="B4712">
        <v>3010200</v>
      </c>
      <c r="C4712">
        <v>5000</v>
      </c>
      <c r="E4712" s="80">
        <v>45819</v>
      </c>
      <c r="F4712">
        <v>1010100</v>
      </c>
      <c r="G4712">
        <v>1256.26</v>
      </c>
    </row>
    <row r="4713" spans="1:7" x14ac:dyDescent="0.3">
      <c r="A4713" s="761">
        <v>45659</v>
      </c>
      <c r="B4713">
        <v>3010200</v>
      </c>
      <c r="C4713">
        <v>5000</v>
      </c>
      <c r="E4713" s="80">
        <v>45819</v>
      </c>
      <c r="F4713">
        <v>1010100</v>
      </c>
      <c r="G4713">
        <v>1256.26</v>
      </c>
    </row>
    <row r="4714" spans="1:7" x14ac:dyDescent="0.3">
      <c r="A4714" s="761">
        <v>45659</v>
      </c>
      <c r="B4714">
        <v>3010200</v>
      </c>
      <c r="C4714">
        <v>5000</v>
      </c>
      <c r="E4714" s="80">
        <v>45819</v>
      </c>
      <c r="F4714">
        <v>1010100</v>
      </c>
      <c r="G4714">
        <v>380.42</v>
      </c>
    </row>
    <row r="4715" spans="1:7" x14ac:dyDescent="0.3">
      <c r="A4715" s="761">
        <v>45659</v>
      </c>
      <c r="B4715">
        <v>3010200</v>
      </c>
      <c r="C4715">
        <v>5000</v>
      </c>
      <c r="E4715" s="80">
        <v>45819</v>
      </c>
      <c r="F4715">
        <v>1010100</v>
      </c>
      <c r="G4715">
        <v>1142.02</v>
      </c>
    </row>
    <row r="4716" spans="1:7" x14ac:dyDescent="0.3">
      <c r="A4716" s="761">
        <v>45659</v>
      </c>
      <c r="B4716">
        <v>3010200</v>
      </c>
      <c r="C4716">
        <v>5000</v>
      </c>
      <c r="E4716" s="80">
        <v>45818</v>
      </c>
      <c r="F4716">
        <v>1010100</v>
      </c>
      <c r="G4716">
        <v>1256.26</v>
      </c>
    </row>
    <row r="4717" spans="1:7" x14ac:dyDescent="0.3">
      <c r="A4717" s="761">
        <v>45659</v>
      </c>
      <c r="B4717">
        <v>3010200</v>
      </c>
      <c r="C4717">
        <v>5000</v>
      </c>
      <c r="E4717" s="80">
        <v>45818</v>
      </c>
      <c r="F4717">
        <v>1010100</v>
      </c>
      <c r="G4717">
        <v>1256.26</v>
      </c>
    </row>
    <row r="4718" spans="1:7" x14ac:dyDescent="0.3">
      <c r="A4718" s="761">
        <v>45659</v>
      </c>
      <c r="B4718">
        <v>3010200</v>
      </c>
      <c r="C4718">
        <v>5000</v>
      </c>
      <c r="E4718" s="80">
        <v>45818</v>
      </c>
      <c r="F4718">
        <v>1010100</v>
      </c>
      <c r="G4718">
        <v>1256.26</v>
      </c>
    </row>
    <row r="4719" spans="1:7" x14ac:dyDescent="0.3">
      <c r="A4719" s="761">
        <v>45659</v>
      </c>
      <c r="B4719">
        <v>3010200</v>
      </c>
      <c r="C4719">
        <v>5000</v>
      </c>
      <c r="E4719" s="80">
        <v>45818</v>
      </c>
      <c r="F4719">
        <v>1010100</v>
      </c>
      <c r="G4719">
        <v>1142.02</v>
      </c>
    </row>
    <row r="4720" spans="1:7" x14ac:dyDescent="0.3">
      <c r="A4720" s="761">
        <v>45659</v>
      </c>
      <c r="B4720">
        <v>3010200</v>
      </c>
      <c r="C4720">
        <v>5000</v>
      </c>
      <c r="E4720" s="80">
        <v>45817</v>
      </c>
      <c r="F4720">
        <v>1010100</v>
      </c>
      <c r="G4720">
        <v>1142.02</v>
      </c>
    </row>
    <row r="4721" spans="1:7" x14ac:dyDescent="0.3">
      <c r="A4721" s="761">
        <v>45659</v>
      </c>
      <c r="B4721">
        <v>3010200</v>
      </c>
      <c r="C4721">
        <v>5000</v>
      </c>
      <c r="E4721" s="80">
        <v>45817</v>
      </c>
      <c r="F4721">
        <v>1010100</v>
      </c>
      <c r="G4721">
        <v>1142.02</v>
      </c>
    </row>
    <row r="4722" spans="1:7" x14ac:dyDescent="0.3">
      <c r="A4722" s="761">
        <v>45659</v>
      </c>
      <c r="B4722">
        <v>3010200</v>
      </c>
      <c r="C4722">
        <v>5000</v>
      </c>
      <c r="E4722" s="80">
        <v>45817</v>
      </c>
      <c r="F4722">
        <v>1010100</v>
      </c>
      <c r="G4722">
        <v>1142.02</v>
      </c>
    </row>
    <row r="4723" spans="1:7" x14ac:dyDescent="0.3">
      <c r="A4723" s="761">
        <v>45659</v>
      </c>
      <c r="B4723">
        <v>3010200</v>
      </c>
      <c r="C4723">
        <v>5000</v>
      </c>
      <c r="E4723" s="80">
        <v>45817</v>
      </c>
      <c r="F4723">
        <v>1010100</v>
      </c>
      <c r="G4723">
        <v>1256.26</v>
      </c>
    </row>
    <row r="4724" spans="1:7" x14ac:dyDescent="0.3">
      <c r="A4724" s="761">
        <v>45659</v>
      </c>
      <c r="B4724">
        <v>3010200</v>
      </c>
      <c r="C4724">
        <v>5000</v>
      </c>
      <c r="E4724" s="80">
        <v>45817</v>
      </c>
      <c r="F4724">
        <v>1010100</v>
      </c>
      <c r="G4724">
        <v>1256.26</v>
      </c>
    </row>
    <row r="4725" spans="1:7" x14ac:dyDescent="0.3">
      <c r="A4725" s="761">
        <v>45658</v>
      </c>
      <c r="B4725">
        <v>3010200</v>
      </c>
      <c r="C4725">
        <v>5000</v>
      </c>
      <c r="E4725" s="80">
        <v>45816</v>
      </c>
      <c r="F4725">
        <v>1010100</v>
      </c>
      <c r="G4725">
        <v>1142.02</v>
      </c>
    </row>
    <row r="4726" spans="1:7" x14ac:dyDescent="0.3">
      <c r="A4726" s="761">
        <v>45658</v>
      </c>
      <c r="B4726">
        <v>3010200</v>
      </c>
      <c r="C4726">
        <v>5000</v>
      </c>
      <c r="E4726" s="80">
        <v>45816</v>
      </c>
      <c r="F4726">
        <v>1010100</v>
      </c>
      <c r="G4726">
        <v>1256.26</v>
      </c>
    </row>
    <row r="4727" spans="1:7" x14ac:dyDescent="0.3">
      <c r="A4727" s="761">
        <v>45658</v>
      </c>
      <c r="B4727">
        <v>3010200</v>
      </c>
      <c r="C4727">
        <v>5000</v>
      </c>
      <c r="E4727" s="80">
        <v>45816</v>
      </c>
      <c r="F4727">
        <v>1010100</v>
      </c>
      <c r="G4727">
        <v>380.42</v>
      </c>
    </row>
    <row r="4728" spans="1:7" x14ac:dyDescent="0.3">
      <c r="A4728" s="761">
        <v>45658</v>
      </c>
      <c r="B4728">
        <v>3010200</v>
      </c>
      <c r="C4728">
        <v>5000</v>
      </c>
      <c r="E4728" s="80">
        <v>45816</v>
      </c>
      <c r="F4728">
        <v>1010100</v>
      </c>
      <c r="G4728">
        <v>1256.26</v>
      </c>
    </row>
    <row r="4729" spans="1:7" x14ac:dyDescent="0.3">
      <c r="A4729" s="761">
        <v>45658</v>
      </c>
      <c r="B4729">
        <v>3010200</v>
      </c>
      <c r="C4729">
        <v>5000</v>
      </c>
      <c r="E4729" s="80">
        <v>45815</v>
      </c>
      <c r="F4729">
        <v>1010100</v>
      </c>
      <c r="G4729">
        <v>1256.26</v>
      </c>
    </row>
    <row r="4730" spans="1:7" x14ac:dyDescent="0.3">
      <c r="A4730" s="761">
        <v>45658</v>
      </c>
      <c r="B4730">
        <v>3010200</v>
      </c>
      <c r="C4730">
        <v>5000</v>
      </c>
      <c r="E4730" s="80">
        <v>45814</v>
      </c>
      <c r="F4730">
        <v>1010100</v>
      </c>
      <c r="G4730">
        <v>879.38</v>
      </c>
    </row>
    <row r="4731" spans="1:7" x14ac:dyDescent="0.3">
      <c r="A4731" s="761">
        <v>45658</v>
      </c>
      <c r="B4731">
        <v>3010200</v>
      </c>
      <c r="C4731">
        <v>5000</v>
      </c>
      <c r="E4731" s="80">
        <v>45814</v>
      </c>
      <c r="F4731">
        <v>1010100</v>
      </c>
      <c r="G4731">
        <v>1256.26</v>
      </c>
    </row>
    <row r="4732" spans="1:7" x14ac:dyDescent="0.3">
      <c r="A4732" s="761">
        <v>45658</v>
      </c>
      <c r="B4732">
        <v>3010200</v>
      </c>
      <c r="C4732">
        <v>5000</v>
      </c>
      <c r="E4732" s="80">
        <v>45814</v>
      </c>
      <c r="F4732">
        <v>1010100</v>
      </c>
      <c r="G4732">
        <v>1142.02</v>
      </c>
    </row>
    <row r="4733" spans="1:7" x14ac:dyDescent="0.3">
      <c r="A4733" s="761">
        <v>45658</v>
      </c>
      <c r="B4733">
        <v>3010200</v>
      </c>
      <c r="C4733">
        <v>5000</v>
      </c>
      <c r="E4733" s="80">
        <v>45814</v>
      </c>
      <c r="F4733">
        <v>1010100</v>
      </c>
      <c r="G4733">
        <v>1758.76</v>
      </c>
    </row>
    <row r="4734" spans="1:7" x14ac:dyDescent="0.3">
      <c r="A4734" s="761">
        <v>45658</v>
      </c>
      <c r="B4734">
        <v>3010200</v>
      </c>
      <c r="C4734">
        <v>2630</v>
      </c>
      <c r="E4734" s="80">
        <v>45813</v>
      </c>
      <c r="F4734">
        <v>1010100</v>
      </c>
      <c r="G4734">
        <v>879.38</v>
      </c>
    </row>
    <row r="4735" spans="1:7" x14ac:dyDescent="0.3">
      <c r="A4735" s="761">
        <v>45658</v>
      </c>
      <c r="B4735">
        <v>3010200</v>
      </c>
      <c r="C4735">
        <v>5000</v>
      </c>
      <c r="E4735" s="80">
        <v>45813</v>
      </c>
      <c r="F4735">
        <v>1010100</v>
      </c>
      <c r="G4735">
        <v>879.38</v>
      </c>
    </row>
    <row r="4736" spans="1:7" x14ac:dyDescent="0.3">
      <c r="A4736" s="761">
        <v>45658</v>
      </c>
      <c r="B4736">
        <v>3010200</v>
      </c>
      <c r="C4736">
        <v>5000</v>
      </c>
      <c r="E4736" s="80">
        <v>45813</v>
      </c>
      <c r="F4736">
        <v>1010100</v>
      </c>
      <c r="G4736">
        <v>879.38</v>
      </c>
    </row>
    <row r="4737" spans="1:7" x14ac:dyDescent="0.3">
      <c r="A4737" s="761">
        <v>45658</v>
      </c>
      <c r="B4737">
        <v>3010200</v>
      </c>
      <c r="C4737">
        <v>5000</v>
      </c>
      <c r="E4737" s="80">
        <v>45813</v>
      </c>
      <c r="F4737">
        <v>1010100</v>
      </c>
      <c r="G4737">
        <v>170.98</v>
      </c>
    </row>
    <row r="4738" spans="1:7" x14ac:dyDescent="0.3">
      <c r="A4738" s="761">
        <v>45658</v>
      </c>
      <c r="B4738">
        <v>3010200</v>
      </c>
      <c r="C4738">
        <v>5000</v>
      </c>
      <c r="E4738" s="80">
        <v>45813</v>
      </c>
      <c r="F4738">
        <v>1010100</v>
      </c>
      <c r="G4738">
        <v>170.98</v>
      </c>
    </row>
    <row r="4739" spans="1:7" x14ac:dyDescent="0.3">
      <c r="A4739" s="761">
        <v>45658</v>
      </c>
      <c r="B4739">
        <v>3010200</v>
      </c>
      <c r="C4739">
        <v>5000</v>
      </c>
      <c r="E4739" s="80">
        <v>45813</v>
      </c>
      <c r="F4739">
        <v>1010100</v>
      </c>
      <c r="G4739">
        <v>879.38</v>
      </c>
    </row>
    <row r="4740" spans="1:7" x14ac:dyDescent="0.3">
      <c r="A4740" s="761">
        <v>45838</v>
      </c>
      <c r="B4740">
        <v>3010200</v>
      </c>
      <c r="C4740">
        <v>5000</v>
      </c>
      <c r="E4740" s="80">
        <v>45813</v>
      </c>
      <c r="F4740">
        <v>1010100</v>
      </c>
      <c r="G4740">
        <v>1142.02</v>
      </c>
    </row>
    <row r="4741" spans="1:7" x14ac:dyDescent="0.3">
      <c r="A4741" s="761">
        <v>45844</v>
      </c>
      <c r="B4741">
        <v>3010200</v>
      </c>
      <c r="C4741">
        <v>5000</v>
      </c>
      <c r="E4741" s="80">
        <v>45813</v>
      </c>
      <c r="F4741">
        <v>1010100</v>
      </c>
      <c r="G4741">
        <v>1865.54</v>
      </c>
    </row>
    <row r="4742" spans="1:7" x14ac:dyDescent="0.3">
      <c r="A4742" s="761">
        <v>45835</v>
      </c>
      <c r="B4742">
        <v>3010200</v>
      </c>
      <c r="C4742">
        <v>5000</v>
      </c>
      <c r="E4742" s="80">
        <v>45813</v>
      </c>
      <c r="F4742">
        <v>1010100</v>
      </c>
      <c r="G4742">
        <v>879.38</v>
      </c>
    </row>
    <row r="4743" spans="1:7" x14ac:dyDescent="0.3">
      <c r="A4743" s="761">
        <v>45844</v>
      </c>
      <c r="B4743">
        <v>3010200</v>
      </c>
      <c r="C4743">
        <v>5000</v>
      </c>
      <c r="E4743" s="80">
        <v>45813</v>
      </c>
      <c r="F4743">
        <v>1010100</v>
      </c>
      <c r="G4743">
        <v>879.38</v>
      </c>
    </row>
    <row r="4744" spans="1:7" x14ac:dyDescent="0.3">
      <c r="A4744" s="761">
        <v>45841</v>
      </c>
      <c r="B4744">
        <v>3010200</v>
      </c>
      <c r="C4744">
        <v>5000</v>
      </c>
      <c r="E4744" s="80">
        <v>45813</v>
      </c>
      <c r="F4744">
        <v>1010100</v>
      </c>
      <c r="G4744">
        <v>879.38</v>
      </c>
    </row>
    <row r="4745" spans="1:7" x14ac:dyDescent="0.3">
      <c r="A4745" s="761">
        <v>45833</v>
      </c>
      <c r="B4745">
        <v>3010200</v>
      </c>
      <c r="C4745">
        <v>5000</v>
      </c>
      <c r="E4745" s="80">
        <v>45813</v>
      </c>
      <c r="F4745">
        <v>1010100</v>
      </c>
      <c r="G4745">
        <v>879.38</v>
      </c>
    </row>
    <row r="4746" spans="1:7" x14ac:dyDescent="0.3">
      <c r="A4746" s="761">
        <v>45833</v>
      </c>
      <c r="B4746">
        <v>3010200</v>
      </c>
      <c r="C4746">
        <v>5000</v>
      </c>
      <c r="E4746" s="80">
        <v>45813</v>
      </c>
      <c r="F4746">
        <v>1010100</v>
      </c>
      <c r="G4746">
        <v>879.38</v>
      </c>
    </row>
    <row r="4747" spans="1:7" x14ac:dyDescent="0.3">
      <c r="A4747" s="761">
        <v>45833</v>
      </c>
      <c r="B4747">
        <v>3010200</v>
      </c>
      <c r="C4747">
        <v>5000</v>
      </c>
      <c r="E4747" s="80">
        <v>45813</v>
      </c>
      <c r="F4747">
        <v>1010100</v>
      </c>
      <c r="G4747">
        <v>879.38</v>
      </c>
    </row>
    <row r="4748" spans="1:7" x14ac:dyDescent="0.3">
      <c r="A4748" s="761">
        <v>45838</v>
      </c>
      <c r="B4748">
        <v>3010200</v>
      </c>
      <c r="C4748">
        <v>5000</v>
      </c>
      <c r="E4748" s="80">
        <v>45812</v>
      </c>
      <c r="F4748">
        <v>1010100</v>
      </c>
      <c r="G4748">
        <v>879.38</v>
      </c>
    </row>
    <row r="4749" spans="1:7" x14ac:dyDescent="0.3">
      <c r="A4749" s="761">
        <v>45828</v>
      </c>
      <c r="B4749">
        <v>3010200</v>
      </c>
      <c r="C4749">
        <v>5000</v>
      </c>
      <c r="E4749" s="80">
        <v>45812</v>
      </c>
      <c r="F4749">
        <v>1010100</v>
      </c>
      <c r="G4749">
        <v>879.38</v>
      </c>
    </row>
    <row r="4750" spans="1:7" x14ac:dyDescent="0.3">
      <c r="A4750" s="761">
        <v>45828</v>
      </c>
      <c r="B4750">
        <v>3010200</v>
      </c>
      <c r="C4750">
        <v>5000</v>
      </c>
      <c r="E4750" s="80">
        <v>45812</v>
      </c>
      <c r="F4750">
        <v>1010100</v>
      </c>
      <c r="G4750">
        <v>1865.54</v>
      </c>
    </row>
    <row r="4751" spans="1:7" x14ac:dyDescent="0.3">
      <c r="A4751" s="761">
        <v>45832</v>
      </c>
      <c r="B4751">
        <v>3010200</v>
      </c>
      <c r="C4751">
        <v>5000</v>
      </c>
      <c r="E4751" s="80">
        <v>45812</v>
      </c>
      <c r="F4751">
        <v>1010100</v>
      </c>
      <c r="G4751">
        <v>1142.02</v>
      </c>
    </row>
    <row r="4752" spans="1:7" x14ac:dyDescent="0.3">
      <c r="A4752" s="761">
        <v>45832</v>
      </c>
      <c r="B4752">
        <v>3010200</v>
      </c>
      <c r="C4752">
        <v>5000</v>
      </c>
      <c r="E4752" s="80">
        <v>45812</v>
      </c>
      <c r="F4752">
        <v>1010100</v>
      </c>
      <c r="G4752">
        <v>1142.02</v>
      </c>
    </row>
    <row r="4753" spans="1:7" x14ac:dyDescent="0.3">
      <c r="A4753" s="761">
        <v>45834</v>
      </c>
      <c r="B4753">
        <v>3010200</v>
      </c>
      <c r="C4753">
        <v>5000</v>
      </c>
      <c r="E4753" s="80">
        <v>45812</v>
      </c>
      <c r="F4753">
        <v>1010100</v>
      </c>
      <c r="G4753">
        <v>879.38</v>
      </c>
    </row>
    <row r="4754" spans="1:7" x14ac:dyDescent="0.3">
      <c r="A4754" s="761">
        <v>45838</v>
      </c>
      <c r="B4754">
        <v>3010200</v>
      </c>
      <c r="C4754">
        <v>5000</v>
      </c>
      <c r="E4754" s="80">
        <v>45812</v>
      </c>
      <c r="F4754">
        <v>1010100</v>
      </c>
      <c r="G4754">
        <v>879.38</v>
      </c>
    </row>
    <row r="4755" spans="1:7" x14ac:dyDescent="0.3">
      <c r="A4755" s="761">
        <v>45840</v>
      </c>
      <c r="B4755">
        <v>3010200</v>
      </c>
      <c r="C4755">
        <v>5000</v>
      </c>
      <c r="E4755" s="80">
        <v>45812</v>
      </c>
      <c r="F4755">
        <v>1010100</v>
      </c>
      <c r="G4755">
        <v>879.38</v>
      </c>
    </row>
    <row r="4756" spans="1:7" x14ac:dyDescent="0.3">
      <c r="A4756" s="761">
        <v>45840</v>
      </c>
      <c r="B4756">
        <v>3010200</v>
      </c>
      <c r="C4756">
        <v>5000</v>
      </c>
      <c r="E4756" s="80">
        <v>45812</v>
      </c>
      <c r="F4756">
        <v>1010100</v>
      </c>
      <c r="G4756">
        <v>879.38</v>
      </c>
    </row>
    <row r="4757" spans="1:7" x14ac:dyDescent="0.3">
      <c r="A4757" s="761">
        <v>45841</v>
      </c>
      <c r="B4757">
        <v>3010200</v>
      </c>
      <c r="C4757">
        <v>5000</v>
      </c>
      <c r="E4757" s="80">
        <v>45812</v>
      </c>
      <c r="F4757">
        <v>1010100</v>
      </c>
      <c r="G4757">
        <v>879.38</v>
      </c>
    </row>
    <row r="4758" spans="1:7" x14ac:dyDescent="0.3">
      <c r="A4758" s="761">
        <v>45841</v>
      </c>
      <c r="B4758">
        <v>3010200</v>
      </c>
      <c r="C4758">
        <v>5000</v>
      </c>
      <c r="E4758" s="80">
        <v>45812</v>
      </c>
      <c r="F4758">
        <v>1010100</v>
      </c>
      <c r="G4758">
        <v>879.38</v>
      </c>
    </row>
    <row r="4759" spans="1:7" x14ac:dyDescent="0.3">
      <c r="A4759" s="761">
        <v>45830</v>
      </c>
      <c r="B4759">
        <v>3010200</v>
      </c>
      <c r="C4759">
        <v>500</v>
      </c>
      <c r="E4759" s="80">
        <v>45812</v>
      </c>
      <c r="F4759">
        <v>1010100</v>
      </c>
      <c r="G4759">
        <v>879.38</v>
      </c>
    </row>
    <row r="4760" spans="1:7" x14ac:dyDescent="0.3">
      <c r="A4760" s="761">
        <v>45830</v>
      </c>
      <c r="B4760">
        <v>3010200</v>
      </c>
      <c r="C4760">
        <v>2630</v>
      </c>
      <c r="E4760" s="80">
        <v>45812</v>
      </c>
      <c r="F4760">
        <v>1010100</v>
      </c>
      <c r="G4760">
        <v>85.49</v>
      </c>
    </row>
    <row r="4761" spans="1:7" x14ac:dyDescent="0.3">
      <c r="A4761" s="761">
        <v>45830</v>
      </c>
      <c r="B4761">
        <v>3010200</v>
      </c>
      <c r="C4761">
        <v>5000</v>
      </c>
      <c r="E4761" s="80">
        <v>45812</v>
      </c>
      <c r="F4761">
        <v>1010100</v>
      </c>
      <c r="G4761">
        <v>879.38</v>
      </c>
    </row>
    <row r="4762" spans="1:7" x14ac:dyDescent="0.3">
      <c r="A4762" s="761">
        <v>45830</v>
      </c>
      <c r="B4762">
        <v>3010200</v>
      </c>
      <c r="C4762">
        <v>4500</v>
      </c>
      <c r="E4762" s="80">
        <v>45812</v>
      </c>
      <c r="F4762">
        <v>1010100</v>
      </c>
      <c r="G4762">
        <v>879.38</v>
      </c>
    </row>
    <row r="4763" spans="1:7" x14ac:dyDescent="0.3">
      <c r="A4763" s="761">
        <v>45832</v>
      </c>
      <c r="B4763">
        <v>3010200</v>
      </c>
      <c r="C4763">
        <v>5000</v>
      </c>
      <c r="E4763" s="80">
        <v>45812</v>
      </c>
      <c r="F4763">
        <v>1010100</v>
      </c>
      <c r="G4763">
        <v>1865.54</v>
      </c>
    </row>
    <row r="4764" spans="1:7" x14ac:dyDescent="0.3">
      <c r="A4764" s="761">
        <v>45832</v>
      </c>
      <c r="B4764">
        <v>3010200</v>
      </c>
      <c r="C4764">
        <v>9000</v>
      </c>
      <c r="E4764" s="80">
        <v>45812</v>
      </c>
      <c r="F4764">
        <v>1010100</v>
      </c>
      <c r="G4764">
        <v>170.98</v>
      </c>
    </row>
    <row r="4765" spans="1:7" x14ac:dyDescent="0.3">
      <c r="A4765" s="761">
        <v>45834</v>
      </c>
      <c r="B4765">
        <v>3010200</v>
      </c>
      <c r="C4765">
        <v>5000</v>
      </c>
      <c r="E4765" s="80">
        <v>45812</v>
      </c>
      <c r="F4765">
        <v>1010100</v>
      </c>
      <c r="G4765">
        <v>879.38</v>
      </c>
    </row>
    <row r="4766" spans="1:7" x14ac:dyDescent="0.3">
      <c r="A4766" s="761">
        <v>45834</v>
      </c>
      <c r="B4766">
        <v>3010200</v>
      </c>
      <c r="C4766">
        <v>5000</v>
      </c>
      <c r="E4766" s="80">
        <v>45812</v>
      </c>
      <c r="F4766">
        <v>1010100</v>
      </c>
      <c r="G4766">
        <v>879.38</v>
      </c>
    </row>
    <row r="4767" spans="1:7" x14ac:dyDescent="0.3">
      <c r="A4767" s="761">
        <v>45835</v>
      </c>
      <c r="B4767">
        <v>3010200</v>
      </c>
      <c r="C4767">
        <v>5000</v>
      </c>
      <c r="E4767" s="80">
        <v>45812</v>
      </c>
      <c r="F4767">
        <v>1010100</v>
      </c>
      <c r="G4767">
        <v>879.38</v>
      </c>
    </row>
    <row r="4768" spans="1:7" x14ac:dyDescent="0.3">
      <c r="A4768" s="761">
        <v>45835</v>
      </c>
      <c r="B4768">
        <v>3010200</v>
      </c>
      <c r="C4768">
        <v>2630</v>
      </c>
      <c r="E4768" s="80">
        <v>45812</v>
      </c>
      <c r="F4768">
        <v>1010100</v>
      </c>
      <c r="G4768">
        <v>879.38</v>
      </c>
    </row>
    <row r="4769" spans="1:7" x14ac:dyDescent="0.3">
      <c r="A4769" s="761">
        <v>45836</v>
      </c>
      <c r="B4769">
        <v>3010200</v>
      </c>
      <c r="C4769">
        <v>5000</v>
      </c>
      <c r="E4769" s="80">
        <v>45812</v>
      </c>
      <c r="F4769">
        <v>1010100</v>
      </c>
      <c r="G4769">
        <v>879.38</v>
      </c>
    </row>
    <row r="4770" spans="1:7" x14ac:dyDescent="0.3">
      <c r="A4770" s="761">
        <v>45837</v>
      </c>
      <c r="B4770">
        <v>3010200</v>
      </c>
      <c r="C4770">
        <v>5000</v>
      </c>
      <c r="E4770" s="80">
        <v>45812</v>
      </c>
      <c r="F4770">
        <v>1010100</v>
      </c>
      <c r="G4770">
        <v>879.38</v>
      </c>
    </row>
    <row r="4771" spans="1:7" x14ac:dyDescent="0.3">
      <c r="A4771" s="761">
        <v>45837</v>
      </c>
      <c r="B4771">
        <v>3010200</v>
      </c>
      <c r="C4771">
        <v>5000</v>
      </c>
      <c r="E4771" s="80">
        <v>45811</v>
      </c>
      <c r="F4771">
        <v>1010100</v>
      </c>
      <c r="G4771">
        <v>879.38</v>
      </c>
    </row>
    <row r="4772" spans="1:7" x14ac:dyDescent="0.3">
      <c r="A4772" s="761">
        <v>45838</v>
      </c>
      <c r="B4772">
        <v>3010200</v>
      </c>
      <c r="C4772">
        <v>5000</v>
      </c>
      <c r="E4772" s="80">
        <v>45811</v>
      </c>
      <c r="F4772">
        <v>1010100</v>
      </c>
      <c r="G4772">
        <v>879.38</v>
      </c>
    </row>
    <row r="4773" spans="1:7" x14ac:dyDescent="0.3">
      <c r="A4773" s="761">
        <v>45838</v>
      </c>
      <c r="B4773">
        <v>3010200</v>
      </c>
      <c r="C4773">
        <v>5000</v>
      </c>
      <c r="E4773" s="80">
        <v>45811</v>
      </c>
      <c r="F4773">
        <v>1010100</v>
      </c>
      <c r="G4773">
        <v>879.38</v>
      </c>
    </row>
    <row r="4774" spans="1:7" x14ac:dyDescent="0.3">
      <c r="A4774" s="761">
        <v>45839</v>
      </c>
      <c r="B4774">
        <v>3010200</v>
      </c>
      <c r="C4774">
        <v>5000</v>
      </c>
      <c r="E4774" s="80">
        <v>45811</v>
      </c>
      <c r="F4774">
        <v>1010100</v>
      </c>
      <c r="G4774">
        <v>1865.54</v>
      </c>
    </row>
    <row r="4775" spans="1:7" x14ac:dyDescent="0.3">
      <c r="A4775" s="761">
        <v>45839</v>
      </c>
      <c r="B4775">
        <v>3010200</v>
      </c>
      <c r="C4775">
        <v>5000</v>
      </c>
      <c r="E4775" s="80">
        <v>45811</v>
      </c>
      <c r="F4775">
        <v>1010100</v>
      </c>
      <c r="G4775">
        <v>879.38</v>
      </c>
    </row>
    <row r="4776" spans="1:7" x14ac:dyDescent="0.3">
      <c r="A4776" s="761">
        <v>45840</v>
      </c>
      <c r="B4776">
        <v>3010200</v>
      </c>
      <c r="C4776">
        <v>5000</v>
      </c>
      <c r="E4776" s="80">
        <v>45811</v>
      </c>
      <c r="F4776">
        <v>1010100</v>
      </c>
      <c r="G4776">
        <v>879.38</v>
      </c>
    </row>
    <row r="4777" spans="1:7" x14ac:dyDescent="0.3">
      <c r="A4777" s="761">
        <v>45840</v>
      </c>
      <c r="B4777">
        <v>3010200</v>
      </c>
      <c r="C4777">
        <v>5000</v>
      </c>
      <c r="E4777" s="80">
        <v>45811</v>
      </c>
      <c r="F4777">
        <v>1010100</v>
      </c>
      <c r="G4777">
        <v>879.38</v>
      </c>
    </row>
    <row r="4778" spans="1:7" x14ac:dyDescent="0.3">
      <c r="A4778" s="761">
        <v>45841</v>
      </c>
      <c r="B4778">
        <v>3010200</v>
      </c>
      <c r="C4778">
        <v>5000</v>
      </c>
      <c r="E4778" s="80">
        <v>45811</v>
      </c>
      <c r="F4778">
        <v>1010100</v>
      </c>
      <c r="G4778">
        <v>879.38</v>
      </c>
    </row>
    <row r="4779" spans="1:7" x14ac:dyDescent="0.3">
      <c r="A4779" s="761">
        <v>45841</v>
      </c>
      <c r="B4779">
        <v>3010200</v>
      </c>
      <c r="C4779">
        <v>5000</v>
      </c>
      <c r="E4779" s="80">
        <v>45811</v>
      </c>
      <c r="F4779">
        <v>1010100</v>
      </c>
      <c r="G4779">
        <v>879.38</v>
      </c>
    </row>
    <row r="4780" spans="1:7" x14ac:dyDescent="0.3">
      <c r="A4780" s="761">
        <v>45842</v>
      </c>
      <c r="B4780">
        <v>3010200</v>
      </c>
      <c r="C4780">
        <v>500</v>
      </c>
      <c r="E4780" s="80">
        <v>45811</v>
      </c>
      <c r="F4780">
        <v>1010100</v>
      </c>
      <c r="G4780">
        <v>879.38</v>
      </c>
    </row>
    <row r="4781" spans="1:7" x14ac:dyDescent="0.3">
      <c r="A4781" s="761">
        <v>45842</v>
      </c>
      <c r="B4781">
        <v>3010200</v>
      </c>
      <c r="C4781">
        <v>5000</v>
      </c>
      <c r="E4781" s="80">
        <v>45811</v>
      </c>
      <c r="F4781">
        <v>1010100</v>
      </c>
      <c r="G4781">
        <v>1758.76</v>
      </c>
    </row>
    <row r="4782" spans="1:7" x14ac:dyDescent="0.3">
      <c r="A4782" s="761">
        <v>45844</v>
      </c>
      <c r="B4782">
        <v>3010200</v>
      </c>
      <c r="C4782">
        <v>5000</v>
      </c>
      <c r="E4782" s="80">
        <v>45811</v>
      </c>
      <c r="F4782">
        <v>1010100</v>
      </c>
      <c r="G4782">
        <v>879.38</v>
      </c>
    </row>
    <row r="4783" spans="1:7" x14ac:dyDescent="0.3">
      <c r="A4783" s="761">
        <v>45844</v>
      </c>
      <c r="B4783">
        <v>3010200</v>
      </c>
      <c r="C4783">
        <v>5000</v>
      </c>
      <c r="E4783" s="80">
        <v>45810</v>
      </c>
      <c r="F4783">
        <v>1010100</v>
      </c>
      <c r="G4783">
        <v>879.38</v>
      </c>
    </row>
    <row r="4784" spans="1:7" x14ac:dyDescent="0.3">
      <c r="E4784" s="80">
        <v>45810</v>
      </c>
      <c r="F4784">
        <v>1010100</v>
      </c>
      <c r="G4784">
        <v>1865.54</v>
      </c>
    </row>
    <row r="4785" spans="5:7" x14ac:dyDescent="0.3">
      <c r="E4785" s="80">
        <v>45810</v>
      </c>
      <c r="F4785">
        <v>1010100</v>
      </c>
      <c r="G4785">
        <v>879.38</v>
      </c>
    </row>
    <row r="4786" spans="5:7" x14ac:dyDescent="0.3">
      <c r="E4786" s="80">
        <v>45810</v>
      </c>
      <c r="F4786">
        <v>1010100</v>
      </c>
      <c r="G4786">
        <v>879.38</v>
      </c>
    </row>
    <row r="4787" spans="5:7" x14ac:dyDescent="0.3">
      <c r="E4787" s="80">
        <v>45810</v>
      </c>
      <c r="F4787">
        <v>1010100</v>
      </c>
      <c r="G4787">
        <v>879.38</v>
      </c>
    </row>
    <row r="4788" spans="5:7" x14ac:dyDescent="0.3">
      <c r="E4788" s="80">
        <v>45810</v>
      </c>
      <c r="F4788">
        <v>1010100</v>
      </c>
      <c r="G4788">
        <v>879.38</v>
      </c>
    </row>
    <row r="4789" spans="5:7" x14ac:dyDescent="0.3">
      <c r="E4789" s="80">
        <v>45810</v>
      </c>
      <c r="F4789">
        <v>1010100</v>
      </c>
      <c r="G4789">
        <v>190.21</v>
      </c>
    </row>
    <row r="4790" spans="5:7" x14ac:dyDescent="0.3">
      <c r="E4790" s="80">
        <v>45810</v>
      </c>
      <c r="F4790">
        <v>1010100</v>
      </c>
      <c r="G4790">
        <v>879.38</v>
      </c>
    </row>
    <row r="4791" spans="5:7" x14ac:dyDescent="0.3">
      <c r="E4791" s="80">
        <v>45810</v>
      </c>
      <c r="F4791">
        <v>1010100</v>
      </c>
      <c r="G4791">
        <v>879.38</v>
      </c>
    </row>
    <row r="4792" spans="5:7" x14ac:dyDescent="0.3">
      <c r="E4792" s="80">
        <v>45810</v>
      </c>
      <c r="F4792">
        <v>1010100</v>
      </c>
      <c r="G4792">
        <v>879.38</v>
      </c>
    </row>
    <row r="4793" spans="5:7" x14ac:dyDescent="0.3">
      <c r="E4793" s="80">
        <v>45809</v>
      </c>
      <c r="F4793">
        <v>1010100</v>
      </c>
      <c r="G4793">
        <v>879.38</v>
      </c>
    </row>
    <row r="4794" spans="5:7" x14ac:dyDescent="0.3">
      <c r="E4794" s="80">
        <v>45809</v>
      </c>
      <c r="F4794">
        <v>1010100</v>
      </c>
      <c r="G4794">
        <v>879.38</v>
      </c>
    </row>
    <row r="4795" spans="5:7" x14ac:dyDescent="0.3">
      <c r="E4795" s="80">
        <v>45809</v>
      </c>
      <c r="F4795">
        <v>1010100</v>
      </c>
      <c r="G4795">
        <v>879.38</v>
      </c>
    </row>
    <row r="4796" spans="5:7" x14ac:dyDescent="0.3">
      <c r="E4796" s="80">
        <v>45809</v>
      </c>
      <c r="F4796">
        <v>1010100</v>
      </c>
      <c r="G4796">
        <v>1758.76</v>
      </c>
    </row>
    <row r="4797" spans="5:7" x14ac:dyDescent="0.3">
      <c r="E4797" s="80">
        <v>45809</v>
      </c>
      <c r="F4797">
        <v>1010100</v>
      </c>
      <c r="G4797">
        <v>879.38</v>
      </c>
    </row>
    <row r="4798" spans="5:7" x14ac:dyDescent="0.3">
      <c r="E4798" s="80">
        <v>45809</v>
      </c>
      <c r="F4798">
        <v>1010100</v>
      </c>
      <c r="G4798">
        <v>879.38</v>
      </c>
    </row>
    <row r="4799" spans="5:7" x14ac:dyDescent="0.3">
      <c r="E4799" s="80">
        <v>45809</v>
      </c>
      <c r="F4799">
        <v>1010100</v>
      </c>
      <c r="G4799">
        <v>879.38</v>
      </c>
    </row>
    <row r="4800" spans="5:7" x14ac:dyDescent="0.3">
      <c r="E4800" s="80">
        <v>45809</v>
      </c>
      <c r="F4800">
        <v>1010100</v>
      </c>
      <c r="G4800">
        <v>1142.02</v>
      </c>
    </row>
    <row r="4801" spans="5:7" x14ac:dyDescent="0.3">
      <c r="E4801" s="80">
        <v>45809</v>
      </c>
      <c r="F4801">
        <v>1010100</v>
      </c>
      <c r="G4801">
        <v>1142.02</v>
      </c>
    </row>
    <row r="4802" spans="5:7" x14ac:dyDescent="0.3">
      <c r="E4802" s="80">
        <v>45809</v>
      </c>
      <c r="F4802">
        <v>1010100</v>
      </c>
      <c r="G4802">
        <v>1142.02</v>
      </c>
    </row>
    <row r="4803" spans="5:7" x14ac:dyDescent="0.3">
      <c r="E4803" s="80">
        <v>45809</v>
      </c>
      <c r="F4803">
        <v>1010100</v>
      </c>
      <c r="G4803">
        <v>951.62</v>
      </c>
    </row>
    <row r="4804" spans="5:7" x14ac:dyDescent="0.3">
      <c r="E4804" s="80">
        <v>45809</v>
      </c>
      <c r="F4804">
        <v>1010100</v>
      </c>
      <c r="G4804">
        <v>951.62</v>
      </c>
    </row>
    <row r="4805" spans="5:7" x14ac:dyDescent="0.3">
      <c r="E4805" s="80">
        <v>45809</v>
      </c>
      <c r="F4805">
        <v>1010100</v>
      </c>
      <c r="G4805">
        <v>951.62</v>
      </c>
    </row>
    <row r="4806" spans="5:7" x14ac:dyDescent="0.3">
      <c r="E4806" s="80">
        <v>45808</v>
      </c>
      <c r="F4806">
        <v>1010100</v>
      </c>
      <c r="G4806">
        <v>951.62</v>
      </c>
    </row>
    <row r="4807" spans="5:7" x14ac:dyDescent="0.3">
      <c r="E4807" s="80">
        <v>45808</v>
      </c>
      <c r="F4807">
        <v>1010100</v>
      </c>
      <c r="G4807">
        <v>1142.02</v>
      </c>
    </row>
    <row r="4808" spans="5:7" x14ac:dyDescent="0.3">
      <c r="E4808" s="80">
        <v>45808</v>
      </c>
      <c r="F4808">
        <v>1010100</v>
      </c>
      <c r="G4808">
        <v>1865.54</v>
      </c>
    </row>
    <row r="4809" spans="5:7" x14ac:dyDescent="0.3">
      <c r="E4809" s="80">
        <v>45808</v>
      </c>
      <c r="F4809">
        <v>1010100</v>
      </c>
      <c r="G4809">
        <v>1865.54</v>
      </c>
    </row>
    <row r="4810" spans="5:7" x14ac:dyDescent="0.3">
      <c r="E4810" s="80">
        <v>45807</v>
      </c>
      <c r="F4810">
        <v>1010100</v>
      </c>
      <c r="G4810">
        <v>951.62</v>
      </c>
    </row>
    <row r="4811" spans="5:7" x14ac:dyDescent="0.3">
      <c r="E4811" s="80">
        <v>45807</v>
      </c>
      <c r="F4811">
        <v>1010100</v>
      </c>
      <c r="G4811">
        <v>951.62</v>
      </c>
    </row>
    <row r="4812" spans="5:7" x14ac:dyDescent="0.3">
      <c r="E4812" s="80">
        <v>45806</v>
      </c>
      <c r="F4812">
        <v>1010100</v>
      </c>
      <c r="G4812">
        <v>1142.02</v>
      </c>
    </row>
    <row r="4813" spans="5:7" x14ac:dyDescent="0.3">
      <c r="E4813" s="80">
        <v>45806</v>
      </c>
      <c r="F4813">
        <v>1010100</v>
      </c>
      <c r="G4813">
        <v>951.62</v>
      </c>
    </row>
    <row r="4814" spans="5:7" x14ac:dyDescent="0.3">
      <c r="E4814" s="80">
        <v>45805</v>
      </c>
      <c r="F4814">
        <v>1010100</v>
      </c>
      <c r="G4814">
        <v>951.62</v>
      </c>
    </row>
    <row r="4815" spans="5:7" x14ac:dyDescent="0.3">
      <c r="E4815" s="80">
        <v>45805</v>
      </c>
      <c r="F4815">
        <v>1010100</v>
      </c>
      <c r="G4815">
        <v>1865.54</v>
      </c>
    </row>
    <row r="4816" spans="5:7" x14ac:dyDescent="0.3">
      <c r="E4816" s="80">
        <v>45805</v>
      </c>
      <c r="F4816">
        <v>1010100</v>
      </c>
      <c r="G4816">
        <v>380.42</v>
      </c>
    </row>
    <row r="4817" spans="5:7" x14ac:dyDescent="0.3">
      <c r="E4817" s="80">
        <v>45805</v>
      </c>
      <c r="F4817">
        <v>1010100</v>
      </c>
      <c r="G4817">
        <v>951.62</v>
      </c>
    </row>
    <row r="4818" spans="5:7" x14ac:dyDescent="0.3">
      <c r="E4818" s="80">
        <v>45804</v>
      </c>
      <c r="F4818">
        <v>1010100</v>
      </c>
      <c r="G4818">
        <v>1142.02</v>
      </c>
    </row>
    <row r="4819" spans="5:7" x14ac:dyDescent="0.3">
      <c r="E4819" s="80">
        <v>45804</v>
      </c>
      <c r="F4819">
        <v>1010100</v>
      </c>
      <c r="G4819">
        <v>1142.02</v>
      </c>
    </row>
    <row r="4820" spans="5:7" x14ac:dyDescent="0.3">
      <c r="E4820" s="80">
        <v>45804</v>
      </c>
      <c r="F4820">
        <v>1010100</v>
      </c>
      <c r="G4820">
        <v>951.62</v>
      </c>
    </row>
    <row r="4821" spans="5:7" x14ac:dyDescent="0.3">
      <c r="E4821" s="80">
        <v>45804</v>
      </c>
      <c r="F4821">
        <v>1010100</v>
      </c>
      <c r="G4821">
        <v>0.38</v>
      </c>
    </row>
    <row r="4822" spans="5:7" x14ac:dyDescent="0.3">
      <c r="E4822" s="80">
        <v>45804</v>
      </c>
      <c r="F4822">
        <v>1010100</v>
      </c>
      <c r="G4822">
        <v>0.38</v>
      </c>
    </row>
    <row r="4823" spans="5:7" x14ac:dyDescent="0.3">
      <c r="E4823" s="80">
        <v>45804</v>
      </c>
      <c r="F4823">
        <v>1010100</v>
      </c>
      <c r="G4823">
        <v>0.38</v>
      </c>
    </row>
    <row r="4824" spans="5:7" x14ac:dyDescent="0.3">
      <c r="E4824" s="80">
        <v>45804</v>
      </c>
      <c r="F4824">
        <v>1010100</v>
      </c>
      <c r="G4824">
        <v>0.38</v>
      </c>
    </row>
    <row r="4825" spans="5:7" x14ac:dyDescent="0.3">
      <c r="E4825" s="80">
        <v>45804</v>
      </c>
      <c r="F4825">
        <v>1010100</v>
      </c>
      <c r="G4825">
        <v>0.38</v>
      </c>
    </row>
    <row r="4826" spans="5:7" x14ac:dyDescent="0.3">
      <c r="E4826" s="80">
        <v>45804</v>
      </c>
      <c r="F4826">
        <v>1010100</v>
      </c>
      <c r="G4826">
        <v>0.38</v>
      </c>
    </row>
    <row r="4827" spans="5:7" x14ac:dyDescent="0.3">
      <c r="E4827" s="80">
        <v>45804</v>
      </c>
      <c r="F4827">
        <v>1010100</v>
      </c>
      <c r="G4827">
        <v>951.62</v>
      </c>
    </row>
    <row r="4828" spans="5:7" x14ac:dyDescent="0.3">
      <c r="E4828" s="80">
        <v>45803</v>
      </c>
      <c r="F4828">
        <v>1010100</v>
      </c>
      <c r="G4828">
        <v>0.38</v>
      </c>
    </row>
    <row r="4829" spans="5:7" x14ac:dyDescent="0.3">
      <c r="E4829" s="80">
        <v>45803</v>
      </c>
      <c r="F4829">
        <v>1010100</v>
      </c>
      <c r="G4829">
        <v>1.9</v>
      </c>
    </row>
    <row r="4830" spans="5:7" x14ac:dyDescent="0.3">
      <c r="E4830" s="80">
        <v>45803</v>
      </c>
      <c r="F4830">
        <v>1010100</v>
      </c>
      <c r="G4830">
        <v>1.1399999999999999</v>
      </c>
    </row>
    <row r="4831" spans="5:7" x14ac:dyDescent="0.3">
      <c r="E4831" s="80">
        <v>45803</v>
      </c>
      <c r="F4831">
        <v>1010100</v>
      </c>
      <c r="G4831">
        <v>951.62</v>
      </c>
    </row>
    <row r="4832" spans="5:7" x14ac:dyDescent="0.3">
      <c r="E4832" s="80">
        <v>45803</v>
      </c>
      <c r="F4832">
        <v>1010100</v>
      </c>
      <c r="G4832">
        <v>951.62</v>
      </c>
    </row>
    <row r="4833" spans="5:7" x14ac:dyDescent="0.3">
      <c r="E4833" s="80">
        <v>45803</v>
      </c>
      <c r="F4833">
        <v>1010100</v>
      </c>
      <c r="G4833">
        <v>1142.02</v>
      </c>
    </row>
    <row r="4834" spans="5:7" x14ac:dyDescent="0.3">
      <c r="E4834" s="80">
        <v>45803</v>
      </c>
      <c r="F4834">
        <v>1010100</v>
      </c>
      <c r="G4834">
        <v>951.62</v>
      </c>
    </row>
    <row r="4835" spans="5:7" x14ac:dyDescent="0.3">
      <c r="E4835" s="80">
        <v>45802</v>
      </c>
      <c r="F4835">
        <v>1010100</v>
      </c>
      <c r="G4835">
        <v>1142.02</v>
      </c>
    </row>
    <row r="4836" spans="5:7" x14ac:dyDescent="0.3">
      <c r="E4836" s="80">
        <v>45802</v>
      </c>
      <c r="F4836">
        <v>1010100</v>
      </c>
      <c r="G4836">
        <v>951.62</v>
      </c>
    </row>
    <row r="4837" spans="5:7" x14ac:dyDescent="0.3">
      <c r="E4837" s="80">
        <v>45801</v>
      </c>
      <c r="F4837">
        <v>1010100</v>
      </c>
      <c r="G4837">
        <v>951.62</v>
      </c>
    </row>
    <row r="4838" spans="5:7" x14ac:dyDescent="0.3">
      <c r="E4838" s="80">
        <v>45801</v>
      </c>
      <c r="F4838">
        <v>1010100</v>
      </c>
      <c r="G4838">
        <v>951.62</v>
      </c>
    </row>
    <row r="4839" spans="5:7" x14ac:dyDescent="0.3">
      <c r="E4839" s="80">
        <v>45801</v>
      </c>
      <c r="F4839">
        <v>1010100</v>
      </c>
      <c r="G4839">
        <v>1142.02</v>
      </c>
    </row>
    <row r="4840" spans="5:7" x14ac:dyDescent="0.3">
      <c r="E4840" s="80">
        <v>45801</v>
      </c>
      <c r="F4840">
        <v>1010100</v>
      </c>
      <c r="G4840">
        <v>1142.02</v>
      </c>
    </row>
    <row r="4841" spans="5:7" x14ac:dyDescent="0.3">
      <c r="E4841" s="80">
        <v>45801</v>
      </c>
      <c r="F4841">
        <v>1010100</v>
      </c>
      <c r="G4841">
        <v>1865.54</v>
      </c>
    </row>
    <row r="4842" spans="5:7" x14ac:dyDescent="0.3">
      <c r="E4842" s="80">
        <v>45801</v>
      </c>
      <c r="F4842">
        <v>1010100</v>
      </c>
      <c r="G4842">
        <v>1142.02</v>
      </c>
    </row>
    <row r="4843" spans="5:7" x14ac:dyDescent="0.3">
      <c r="E4843" s="80">
        <v>45801</v>
      </c>
      <c r="F4843">
        <v>1010100</v>
      </c>
      <c r="G4843">
        <v>951.62</v>
      </c>
    </row>
    <row r="4844" spans="5:7" x14ac:dyDescent="0.3">
      <c r="E4844" s="80">
        <v>45801</v>
      </c>
      <c r="F4844">
        <v>1010100</v>
      </c>
      <c r="G4844">
        <v>1903.24</v>
      </c>
    </row>
    <row r="4845" spans="5:7" x14ac:dyDescent="0.3">
      <c r="E4845" s="80">
        <v>45801</v>
      </c>
      <c r="F4845">
        <v>1010100</v>
      </c>
      <c r="G4845">
        <v>951.62</v>
      </c>
    </row>
    <row r="4846" spans="5:7" x14ac:dyDescent="0.3">
      <c r="E4846" s="80">
        <v>45801</v>
      </c>
      <c r="F4846">
        <v>1010100</v>
      </c>
      <c r="G4846">
        <v>380.42</v>
      </c>
    </row>
    <row r="4847" spans="5:7" x14ac:dyDescent="0.3">
      <c r="E4847" s="80">
        <v>45800</v>
      </c>
      <c r="F4847">
        <v>1010100</v>
      </c>
      <c r="G4847">
        <v>380.42</v>
      </c>
    </row>
    <row r="4848" spans="5:7" x14ac:dyDescent="0.3">
      <c r="E4848" s="80">
        <v>45800</v>
      </c>
      <c r="F4848">
        <v>1010100</v>
      </c>
      <c r="G4848">
        <v>951.62</v>
      </c>
    </row>
    <row r="4849" spans="5:7" x14ac:dyDescent="0.3">
      <c r="E4849" s="80">
        <v>45800</v>
      </c>
      <c r="F4849">
        <v>1010100</v>
      </c>
      <c r="G4849">
        <v>1142.02</v>
      </c>
    </row>
    <row r="4850" spans="5:7" x14ac:dyDescent="0.3">
      <c r="E4850" s="80">
        <v>45800</v>
      </c>
      <c r="F4850">
        <v>1010100</v>
      </c>
      <c r="G4850">
        <v>951.62</v>
      </c>
    </row>
    <row r="4851" spans="5:7" x14ac:dyDescent="0.3">
      <c r="E4851" s="80">
        <v>45800</v>
      </c>
      <c r="F4851">
        <v>1010100</v>
      </c>
      <c r="G4851">
        <v>1142.02</v>
      </c>
    </row>
    <row r="4852" spans="5:7" x14ac:dyDescent="0.3">
      <c r="E4852" s="80">
        <v>45800</v>
      </c>
      <c r="F4852">
        <v>1010100</v>
      </c>
      <c r="G4852">
        <v>951.62</v>
      </c>
    </row>
    <row r="4853" spans="5:7" x14ac:dyDescent="0.3">
      <c r="E4853" s="80">
        <v>45800</v>
      </c>
      <c r="F4853">
        <v>1010100</v>
      </c>
      <c r="G4853">
        <v>1865.54</v>
      </c>
    </row>
    <row r="4854" spans="5:7" x14ac:dyDescent="0.3">
      <c r="E4854" s="80">
        <v>45799</v>
      </c>
      <c r="F4854">
        <v>1010100</v>
      </c>
      <c r="G4854">
        <v>951.62</v>
      </c>
    </row>
    <row r="4855" spans="5:7" x14ac:dyDescent="0.3">
      <c r="E4855" s="80">
        <v>45799</v>
      </c>
      <c r="F4855">
        <v>1010100</v>
      </c>
      <c r="G4855">
        <v>951.62</v>
      </c>
    </row>
    <row r="4856" spans="5:7" x14ac:dyDescent="0.3">
      <c r="E4856" s="80">
        <v>45799</v>
      </c>
      <c r="F4856">
        <v>1010100</v>
      </c>
      <c r="G4856">
        <v>951.62</v>
      </c>
    </row>
    <row r="4857" spans="5:7" x14ac:dyDescent="0.3">
      <c r="E4857" s="80">
        <v>45799</v>
      </c>
      <c r="F4857">
        <v>1010100</v>
      </c>
      <c r="G4857">
        <v>951.62</v>
      </c>
    </row>
    <row r="4858" spans="5:7" x14ac:dyDescent="0.3">
      <c r="E4858" s="80">
        <v>45798</v>
      </c>
      <c r="F4858">
        <v>1010100</v>
      </c>
      <c r="G4858">
        <v>190.21</v>
      </c>
    </row>
    <row r="4859" spans="5:7" x14ac:dyDescent="0.3">
      <c r="E4859" s="80">
        <v>45798</v>
      </c>
      <c r="F4859">
        <v>1010100</v>
      </c>
      <c r="G4859">
        <v>1903.24</v>
      </c>
    </row>
    <row r="4860" spans="5:7" x14ac:dyDescent="0.3">
      <c r="E4860" s="80">
        <v>45798</v>
      </c>
      <c r="F4860">
        <v>1010100</v>
      </c>
      <c r="G4860">
        <v>951.62</v>
      </c>
    </row>
    <row r="4861" spans="5:7" x14ac:dyDescent="0.3">
      <c r="E4861" s="80">
        <v>45798</v>
      </c>
      <c r="F4861">
        <v>1010100</v>
      </c>
      <c r="G4861">
        <v>1865.54</v>
      </c>
    </row>
    <row r="4862" spans="5:7" x14ac:dyDescent="0.3">
      <c r="E4862" s="80">
        <v>45798</v>
      </c>
      <c r="F4862">
        <v>1010100</v>
      </c>
      <c r="G4862">
        <v>1865.54</v>
      </c>
    </row>
    <row r="4863" spans="5:7" x14ac:dyDescent="0.3">
      <c r="E4863" s="80">
        <v>45798</v>
      </c>
      <c r="F4863">
        <v>1010100</v>
      </c>
      <c r="G4863">
        <v>951.62</v>
      </c>
    </row>
    <row r="4864" spans="5:7" x14ac:dyDescent="0.3">
      <c r="E4864" s="80">
        <v>45798</v>
      </c>
      <c r="F4864">
        <v>1010100</v>
      </c>
      <c r="G4864">
        <v>951.62</v>
      </c>
    </row>
    <row r="4865" spans="5:7" x14ac:dyDescent="0.3">
      <c r="E4865" s="80">
        <v>45797</v>
      </c>
      <c r="F4865">
        <v>1010100</v>
      </c>
      <c r="G4865">
        <v>951.62</v>
      </c>
    </row>
    <row r="4866" spans="5:7" x14ac:dyDescent="0.3">
      <c r="E4866" s="80">
        <v>45797</v>
      </c>
      <c r="F4866">
        <v>1010100</v>
      </c>
      <c r="G4866">
        <v>1142.02</v>
      </c>
    </row>
    <row r="4867" spans="5:7" x14ac:dyDescent="0.3">
      <c r="E4867" s="80">
        <v>45797</v>
      </c>
      <c r="F4867">
        <v>1010100</v>
      </c>
      <c r="G4867">
        <v>951.62</v>
      </c>
    </row>
    <row r="4868" spans="5:7" x14ac:dyDescent="0.3">
      <c r="E4868" s="80">
        <v>45797</v>
      </c>
      <c r="F4868">
        <v>1010100</v>
      </c>
      <c r="G4868">
        <v>951.62</v>
      </c>
    </row>
    <row r="4869" spans="5:7" x14ac:dyDescent="0.3">
      <c r="E4869" s="80">
        <v>45797</v>
      </c>
      <c r="F4869">
        <v>1010100</v>
      </c>
      <c r="G4869">
        <v>951.62</v>
      </c>
    </row>
    <row r="4870" spans="5:7" x14ac:dyDescent="0.3">
      <c r="E4870" s="80">
        <v>45797</v>
      </c>
      <c r="F4870">
        <v>1010100</v>
      </c>
      <c r="G4870">
        <v>951.62</v>
      </c>
    </row>
    <row r="4871" spans="5:7" x14ac:dyDescent="0.3">
      <c r="E4871" s="80">
        <v>45796</v>
      </c>
      <c r="F4871">
        <v>1010100</v>
      </c>
      <c r="G4871">
        <v>1142.02</v>
      </c>
    </row>
    <row r="4872" spans="5:7" x14ac:dyDescent="0.3">
      <c r="E4872" s="80">
        <v>45796</v>
      </c>
      <c r="F4872">
        <v>1010100</v>
      </c>
      <c r="G4872">
        <v>1142.02</v>
      </c>
    </row>
    <row r="4873" spans="5:7" x14ac:dyDescent="0.3">
      <c r="E4873" s="80">
        <v>45796</v>
      </c>
      <c r="F4873">
        <v>1010100</v>
      </c>
      <c r="G4873">
        <v>951.62</v>
      </c>
    </row>
    <row r="4874" spans="5:7" x14ac:dyDescent="0.3">
      <c r="E4874" s="80">
        <v>45795</v>
      </c>
      <c r="F4874">
        <v>1010100</v>
      </c>
      <c r="G4874">
        <v>951.62</v>
      </c>
    </row>
    <row r="4875" spans="5:7" x14ac:dyDescent="0.3">
      <c r="E4875" s="80">
        <v>45795</v>
      </c>
      <c r="F4875">
        <v>1010100</v>
      </c>
      <c r="G4875">
        <v>951.62</v>
      </c>
    </row>
    <row r="4876" spans="5:7" x14ac:dyDescent="0.3">
      <c r="E4876" s="80">
        <v>45795</v>
      </c>
      <c r="F4876">
        <v>1010100</v>
      </c>
      <c r="G4876">
        <v>1865.54</v>
      </c>
    </row>
    <row r="4877" spans="5:7" x14ac:dyDescent="0.3">
      <c r="E4877" s="80">
        <v>45795</v>
      </c>
      <c r="F4877">
        <v>1010100</v>
      </c>
      <c r="G4877">
        <v>951.62</v>
      </c>
    </row>
    <row r="4878" spans="5:7" x14ac:dyDescent="0.3">
      <c r="E4878" s="80">
        <v>45794</v>
      </c>
      <c r="F4878">
        <v>1010100</v>
      </c>
      <c r="G4878">
        <v>951.62</v>
      </c>
    </row>
    <row r="4879" spans="5:7" x14ac:dyDescent="0.3">
      <c r="E4879" s="80">
        <v>45794</v>
      </c>
      <c r="F4879">
        <v>1010100</v>
      </c>
      <c r="G4879">
        <v>951.62</v>
      </c>
    </row>
    <row r="4880" spans="5:7" x14ac:dyDescent="0.3">
      <c r="E4880" s="80">
        <v>45794</v>
      </c>
      <c r="F4880">
        <v>1010100</v>
      </c>
      <c r="G4880">
        <v>951.62</v>
      </c>
    </row>
    <row r="4881" spans="5:7" x14ac:dyDescent="0.3">
      <c r="E4881" s="80">
        <v>45793</v>
      </c>
      <c r="F4881">
        <v>1010100</v>
      </c>
      <c r="G4881">
        <v>951.62</v>
      </c>
    </row>
    <row r="4882" spans="5:7" x14ac:dyDescent="0.3">
      <c r="E4882" s="80">
        <v>45792</v>
      </c>
      <c r="F4882">
        <v>1010100</v>
      </c>
      <c r="G4882">
        <v>1142.02</v>
      </c>
    </row>
    <row r="4883" spans="5:7" x14ac:dyDescent="0.3">
      <c r="E4883" s="80">
        <v>45792</v>
      </c>
      <c r="F4883">
        <v>1010100</v>
      </c>
      <c r="G4883">
        <v>951.62</v>
      </c>
    </row>
    <row r="4884" spans="5:7" x14ac:dyDescent="0.3">
      <c r="E4884" s="80">
        <v>45792</v>
      </c>
      <c r="F4884">
        <v>1010100</v>
      </c>
      <c r="G4884">
        <v>380.42</v>
      </c>
    </row>
    <row r="4885" spans="5:7" x14ac:dyDescent="0.3">
      <c r="E4885" s="80">
        <v>45792</v>
      </c>
      <c r="F4885">
        <v>1010100</v>
      </c>
      <c r="G4885">
        <v>951.62</v>
      </c>
    </row>
    <row r="4886" spans="5:7" x14ac:dyDescent="0.3">
      <c r="E4886" s="80">
        <v>45791</v>
      </c>
      <c r="F4886">
        <v>1010100</v>
      </c>
      <c r="G4886">
        <v>951.62</v>
      </c>
    </row>
    <row r="4887" spans="5:7" x14ac:dyDescent="0.3">
      <c r="E4887" s="80">
        <v>45791</v>
      </c>
      <c r="F4887">
        <v>1010100</v>
      </c>
      <c r="G4887">
        <v>1142.02</v>
      </c>
    </row>
    <row r="4888" spans="5:7" x14ac:dyDescent="0.3">
      <c r="E4888" s="80">
        <v>45791</v>
      </c>
      <c r="F4888">
        <v>1010100</v>
      </c>
      <c r="G4888">
        <v>951.62</v>
      </c>
    </row>
    <row r="4889" spans="5:7" x14ac:dyDescent="0.3">
      <c r="E4889" s="80">
        <v>45791</v>
      </c>
      <c r="F4889">
        <v>1010100</v>
      </c>
      <c r="G4889">
        <v>1142.02</v>
      </c>
    </row>
    <row r="4890" spans="5:7" x14ac:dyDescent="0.3">
      <c r="E4890" s="80">
        <v>45790</v>
      </c>
      <c r="F4890">
        <v>1010100</v>
      </c>
      <c r="G4890">
        <v>951.62</v>
      </c>
    </row>
    <row r="4891" spans="5:7" x14ac:dyDescent="0.3">
      <c r="E4891" s="80">
        <v>45789</v>
      </c>
      <c r="F4891">
        <v>1010100</v>
      </c>
      <c r="G4891">
        <v>951.62</v>
      </c>
    </row>
    <row r="4892" spans="5:7" x14ac:dyDescent="0.3">
      <c r="E4892" s="80">
        <v>45789</v>
      </c>
      <c r="F4892">
        <v>1010100</v>
      </c>
      <c r="G4892">
        <v>951.62</v>
      </c>
    </row>
    <row r="4893" spans="5:7" x14ac:dyDescent="0.3">
      <c r="E4893" s="80">
        <v>45789</v>
      </c>
      <c r="F4893">
        <v>1010100</v>
      </c>
      <c r="G4893">
        <v>951.62</v>
      </c>
    </row>
    <row r="4894" spans="5:7" x14ac:dyDescent="0.3">
      <c r="E4894" s="80">
        <v>45788</v>
      </c>
      <c r="F4894">
        <v>1010100</v>
      </c>
      <c r="G4894">
        <v>951.62</v>
      </c>
    </row>
    <row r="4895" spans="5:7" x14ac:dyDescent="0.3">
      <c r="E4895" s="80">
        <v>45788</v>
      </c>
      <c r="F4895">
        <v>1010100</v>
      </c>
      <c r="G4895">
        <v>951.62</v>
      </c>
    </row>
    <row r="4896" spans="5:7" x14ac:dyDescent="0.3">
      <c r="E4896" s="80">
        <v>45788</v>
      </c>
      <c r="F4896">
        <v>1010100</v>
      </c>
      <c r="G4896">
        <v>951.62</v>
      </c>
    </row>
    <row r="4897" spans="5:7" x14ac:dyDescent="0.3">
      <c r="E4897" s="80">
        <v>45788</v>
      </c>
      <c r="F4897">
        <v>1010100</v>
      </c>
      <c r="G4897">
        <v>1903.24</v>
      </c>
    </row>
    <row r="4898" spans="5:7" x14ac:dyDescent="0.3">
      <c r="E4898" s="80">
        <v>45788</v>
      </c>
      <c r="F4898">
        <v>1010100</v>
      </c>
      <c r="G4898">
        <v>951.62</v>
      </c>
    </row>
    <row r="4899" spans="5:7" x14ac:dyDescent="0.3">
      <c r="E4899" s="80">
        <v>45788</v>
      </c>
      <c r="F4899">
        <v>1010100</v>
      </c>
      <c r="G4899">
        <v>951.62</v>
      </c>
    </row>
    <row r="4900" spans="5:7" x14ac:dyDescent="0.3">
      <c r="E4900" s="80">
        <v>45787</v>
      </c>
      <c r="F4900">
        <v>1010100</v>
      </c>
      <c r="G4900">
        <v>1865.54</v>
      </c>
    </row>
    <row r="4901" spans="5:7" x14ac:dyDescent="0.3">
      <c r="E4901" s="80">
        <v>45787</v>
      </c>
      <c r="F4901">
        <v>1010100</v>
      </c>
      <c r="G4901">
        <v>951.62</v>
      </c>
    </row>
    <row r="4902" spans="5:7" x14ac:dyDescent="0.3">
      <c r="E4902" s="80">
        <v>45787</v>
      </c>
      <c r="F4902">
        <v>1010100</v>
      </c>
      <c r="G4902">
        <v>951.62</v>
      </c>
    </row>
    <row r="4903" spans="5:7" x14ac:dyDescent="0.3">
      <c r="E4903" s="80">
        <v>45787</v>
      </c>
      <c r="F4903">
        <v>1010100</v>
      </c>
      <c r="G4903">
        <v>951.62</v>
      </c>
    </row>
    <row r="4904" spans="5:7" x14ac:dyDescent="0.3">
      <c r="E4904" s="80">
        <v>45786</v>
      </c>
      <c r="F4904">
        <v>1010100</v>
      </c>
      <c r="G4904">
        <v>1142.02</v>
      </c>
    </row>
    <row r="4905" spans="5:7" x14ac:dyDescent="0.3">
      <c r="E4905" s="80">
        <v>45786</v>
      </c>
      <c r="F4905">
        <v>1010100</v>
      </c>
      <c r="G4905">
        <v>951.62</v>
      </c>
    </row>
    <row r="4906" spans="5:7" x14ac:dyDescent="0.3">
      <c r="E4906" s="80">
        <v>45786</v>
      </c>
      <c r="F4906">
        <v>1010100</v>
      </c>
      <c r="G4906">
        <v>190.21</v>
      </c>
    </row>
    <row r="4907" spans="5:7" x14ac:dyDescent="0.3">
      <c r="E4907" s="80">
        <v>45786</v>
      </c>
      <c r="F4907">
        <v>1010100</v>
      </c>
      <c r="G4907">
        <v>951.62</v>
      </c>
    </row>
    <row r="4908" spans="5:7" x14ac:dyDescent="0.3">
      <c r="E4908" s="80">
        <v>45786</v>
      </c>
      <c r="F4908">
        <v>1010100</v>
      </c>
      <c r="G4908">
        <v>951.62</v>
      </c>
    </row>
    <row r="4909" spans="5:7" x14ac:dyDescent="0.3">
      <c r="E4909" s="80">
        <v>45786</v>
      </c>
      <c r="F4909">
        <v>1010100</v>
      </c>
      <c r="G4909">
        <v>951.62</v>
      </c>
    </row>
    <row r="4910" spans="5:7" x14ac:dyDescent="0.3">
      <c r="E4910" s="80">
        <v>45786</v>
      </c>
      <c r="F4910">
        <v>1010100</v>
      </c>
      <c r="G4910">
        <v>951.62</v>
      </c>
    </row>
    <row r="4911" spans="5:7" x14ac:dyDescent="0.3">
      <c r="E4911" s="80">
        <v>45785</v>
      </c>
      <c r="F4911">
        <v>1010100</v>
      </c>
      <c r="G4911">
        <v>951.62</v>
      </c>
    </row>
    <row r="4912" spans="5:7" x14ac:dyDescent="0.3">
      <c r="E4912" s="80">
        <v>45785</v>
      </c>
      <c r="F4912">
        <v>1010100</v>
      </c>
      <c r="G4912">
        <v>951.62</v>
      </c>
    </row>
    <row r="4913" spans="5:7" x14ac:dyDescent="0.3">
      <c r="E4913" s="80">
        <v>45785</v>
      </c>
      <c r="F4913">
        <v>1010100</v>
      </c>
      <c r="G4913">
        <v>1142.02</v>
      </c>
    </row>
    <row r="4914" spans="5:7" x14ac:dyDescent="0.3">
      <c r="E4914" s="80">
        <v>45785</v>
      </c>
      <c r="F4914">
        <v>1010100</v>
      </c>
      <c r="G4914">
        <v>951.62</v>
      </c>
    </row>
    <row r="4915" spans="5:7" x14ac:dyDescent="0.3">
      <c r="E4915" s="80">
        <v>45785</v>
      </c>
      <c r="F4915">
        <v>1010100</v>
      </c>
      <c r="G4915">
        <v>1903.24</v>
      </c>
    </row>
    <row r="4916" spans="5:7" x14ac:dyDescent="0.3">
      <c r="E4916" s="80">
        <v>45785</v>
      </c>
      <c r="F4916">
        <v>1010100</v>
      </c>
      <c r="G4916">
        <v>951.62</v>
      </c>
    </row>
    <row r="4917" spans="5:7" x14ac:dyDescent="0.3">
      <c r="E4917" s="80">
        <v>45784</v>
      </c>
      <c r="F4917">
        <v>1010100</v>
      </c>
      <c r="G4917">
        <v>951.62</v>
      </c>
    </row>
    <row r="4918" spans="5:7" x14ac:dyDescent="0.3">
      <c r="E4918" s="80">
        <v>45784</v>
      </c>
      <c r="F4918">
        <v>1010100</v>
      </c>
      <c r="G4918">
        <v>1142.02</v>
      </c>
    </row>
    <row r="4919" spans="5:7" x14ac:dyDescent="0.3">
      <c r="E4919" s="80">
        <v>45784</v>
      </c>
      <c r="F4919">
        <v>1010100</v>
      </c>
      <c r="G4919">
        <v>951.62</v>
      </c>
    </row>
    <row r="4920" spans="5:7" x14ac:dyDescent="0.3">
      <c r="E4920" s="80">
        <v>45783</v>
      </c>
      <c r="F4920">
        <v>1010100</v>
      </c>
      <c r="G4920">
        <v>1142.02</v>
      </c>
    </row>
    <row r="4921" spans="5:7" x14ac:dyDescent="0.3">
      <c r="E4921" s="80">
        <v>45783</v>
      </c>
      <c r="F4921">
        <v>1010100</v>
      </c>
      <c r="G4921">
        <v>951.62</v>
      </c>
    </row>
    <row r="4922" spans="5:7" x14ac:dyDescent="0.3">
      <c r="E4922" s="80">
        <v>45783</v>
      </c>
      <c r="F4922">
        <v>1010100</v>
      </c>
      <c r="G4922">
        <v>951.62</v>
      </c>
    </row>
    <row r="4923" spans="5:7" x14ac:dyDescent="0.3">
      <c r="E4923" s="80">
        <v>45783</v>
      </c>
      <c r="F4923">
        <v>1010100</v>
      </c>
      <c r="G4923">
        <v>951.62</v>
      </c>
    </row>
    <row r="4924" spans="5:7" x14ac:dyDescent="0.3">
      <c r="E4924" s="80">
        <v>45783</v>
      </c>
      <c r="F4924">
        <v>1010100</v>
      </c>
      <c r="G4924">
        <v>1103.94</v>
      </c>
    </row>
    <row r="4925" spans="5:7" x14ac:dyDescent="0.3">
      <c r="E4925" s="80">
        <v>45782</v>
      </c>
      <c r="F4925">
        <v>1010100</v>
      </c>
      <c r="G4925">
        <v>1142.02</v>
      </c>
    </row>
    <row r="4926" spans="5:7" x14ac:dyDescent="0.3">
      <c r="E4926" s="80">
        <v>45782</v>
      </c>
      <c r="F4926">
        <v>1010100</v>
      </c>
      <c r="G4926">
        <v>951.62</v>
      </c>
    </row>
    <row r="4927" spans="5:7" x14ac:dyDescent="0.3">
      <c r="E4927" s="80">
        <v>45782</v>
      </c>
      <c r="F4927">
        <v>1010100</v>
      </c>
      <c r="G4927">
        <v>951.62</v>
      </c>
    </row>
    <row r="4928" spans="5:7" x14ac:dyDescent="0.3">
      <c r="E4928" s="80">
        <v>45782</v>
      </c>
      <c r="F4928">
        <v>1010100</v>
      </c>
      <c r="G4928">
        <v>1865.54</v>
      </c>
    </row>
    <row r="4929" spans="5:7" x14ac:dyDescent="0.3">
      <c r="E4929" s="80">
        <v>45782</v>
      </c>
      <c r="F4929">
        <v>1010100</v>
      </c>
      <c r="G4929">
        <v>951.62</v>
      </c>
    </row>
    <row r="4930" spans="5:7" x14ac:dyDescent="0.3">
      <c r="E4930" s="80">
        <v>45782</v>
      </c>
      <c r="F4930">
        <v>1010100</v>
      </c>
      <c r="G4930">
        <v>951.62</v>
      </c>
    </row>
    <row r="4931" spans="5:7" x14ac:dyDescent="0.3">
      <c r="E4931" s="80">
        <v>45782</v>
      </c>
      <c r="F4931">
        <v>1010100</v>
      </c>
      <c r="G4931">
        <v>380.42</v>
      </c>
    </row>
    <row r="4932" spans="5:7" x14ac:dyDescent="0.3">
      <c r="E4932" s="80">
        <v>45782</v>
      </c>
      <c r="F4932">
        <v>1010100</v>
      </c>
      <c r="G4932">
        <v>380.42</v>
      </c>
    </row>
    <row r="4933" spans="5:7" x14ac:dyDescent="0.3">
      <c r="E4933" s="80">
        <v>45782</v>
      </c>
      <c r="F4933">
        <v>1010100</v>
      </c>
      <c r="G4933">
        <v>1903.24</v>
      </c>
    </row>
    <row r="4934" spans="5:7" x14ac:dyDescent="0.3">
      <c r="E4934" s="80">
        <v>45782</v>
      </c>
      <c r="F4934">
        <v>1010100</v>
      </c>
      <c r="G4934">
        <v>951.62</v>
      </c>
    </row>
    <row r="4935" spans="5:7" x14ac:dyDescent="0.3">
      <c r="E4935" s="80">
        <v>45782</v>
      </c>
      <c r="F4935">
        <v>1010100</v>
      </c>
      <c r="G4935">
        <v>951.62</v>
      </c>
    </row>
    <row r="4936" spans="5:7" x14ac:dyDescent="0.3">
      <c r="E4936" s="80">
        <v>45782</v>
      </c>
      <c r="F4936">
        <v>1010100</v>
      </c>
      <c r="G4936">
        <v>1142.02</v>
      </c>
    </row>
    <row r="4937" spans="5:7" x14ac:dyDescent="0.3">
      <c r="E4937" s="80">
        <v>45782</v>
      </c>
      <c r="F4937">
        <v>1010100</v>
      </c>
      <c r="G4937">
        <v>951.62</v>
      </c>
    </row>
    <row r="4938" spans="5:7" x14ac:dyDescent="0.3">
      <c r="E4938" s="80">
        <v>45781</v>
      </c>
      <c r="F4938">
        <v>1010100</v>
      </c>
      <c r="G4938">
        <v>951.62</v>
      </c>
    </row>
    <row r="4939" spans="5:7" x14ac:dyDescent="0.3">
      <c r="E4939" s="80">
        <v>45781</v>
      </c>
      <c r="F4939">
        <v>1010100</v>
      </c>
      <c r="G4939">
        <v>951.62</v>
      </c>
    </row>
    <row r="4940" spans="5:7" x14ac:dyDescent="0.3">
      <c r="E4940" s="80">
        <v>45781</v>
      </c>
      <c r="F4940">
        <v>1010100</v>
      </c>
      <c r="G4940">
        <v>951.62</v>
      </c>
    </row>
    <row r="4941" spans="5:7" x14ac:dyDescent="0.3">
      <c r="E4941" s="80">
        <v>45781</v>
      </c>
      <c r="F4941">
        <v>1010100</v>
      </c>
      <c r="G4941">
        <v>951.62</v>
      </c>
    </row>
    <row r="4942" spans="5:7" x14ac:dyDescent="0.3">
      <c r="E4942" s="80">
        <v>45781</v>
      </c>
      <c r="F4942">
        <v>1010100</v>
      </c>
      <c r="G4942">
        <v>951.62</v>
      </c>
    </row>
    <row r="4943" spans="5:7" x14ac:dyDescent="0.3">
      <c r="E4943" s="80">
        <v>45780</v>
      </c>
      <c r="F4943">
        <v>1010100</v>
      </c>
      <c r="G4943">
        <v>951.62</v>
      </c>
    </row>
    <row r="4944" spans="5:7" x14ac:dyDescent="0.3">
      <c r="E4944" s="80">
        <v>45780</v>
      </c>
      <c r="F4944">
        <v>1010100</v>
      </c>
      <c r="G4944">
        <v>1142.02</v>
      </c>
    </row>
    <row r="4945" spans="5:7" x14ac:dyDescent="0.3">
      <c r="E4945" s="80">
        <v>45780</v>
      </c>
      <c r="F4945">
        <v>1010100</v>
      </c>
      <c r="G4945">
        <v>951.62</v>
      </c>
    </row>
    <row r="4946" spans="5:7" x14ac:dyDescent="0.3">
      <c r="E4946" s="80">
        <v>45780</v>
      </c>
      <c r="F4946">
        <v>1010100</v>
      </c>
      <c r="G4946">
        <v>951.62</v>
      </c>
    </row>
    <row r="4947" spans="5:7" x14ac:dyDescent="0.3">
      <c r="E4947" s="80">
        <v>45779</v>
      </c>
      <c r="F4947">
        <v>1010100</v>
      </c>
      <c r="G4947">
        <v>951.62</v>
      </c>
    </row>
    <row r="4948" spans="5:7" x14ac:dyDescent="0.3">
      <c r="E4948" s="80">
        <v>45779</v>
      </c>
      <c r="F4948">
        <v>1010100</v>
      </c>
      <c r="G4948">
        <v>1142.02</v>
      </c>
    </row>
    <row r="4949" spans="5:7" x14ac:dyDescent="0.3">
      <c r="E4949" s="80">
        <v>45779</v>
      </c>
      <c r="F4949">
        <v>1010100</v>
      </c>
      <c r="G4949">
        <v>951.62</v>
      </c>
    </row>
    <row r="4950" spans="5:7" x14ac:dyDescent="0.3">
      <c r="E4950" s="80">
        <v>45779</v>
      </c>
      <c r="F4950">
        <v>1010100</v>
      </c>
      <c r="G4950">
        <v>951.62</v>
      </c>
    </row>
    <row r="4951" spans="5:7" x14ac:dyDescent="0.3">
      <c r="E4951" s="80">
        <v>45778</v>
      </c>
      <c r="F4951">
        <v>1010100</v>
      </c>
      <c r="G4951">
        <v>951.62</v>
      </c>
    </row>
    <row r="4952" spans="5:7" x14ac:dyDescent="0.3">
      <c r="E4952" s="80">
        <v>45778</v>
      </c>
      <c r="F4952">
        <v>1010100</v>
      </c>
      <c r="G4952">
        <v>951.62</v>
      </c>
    </row>
    <row r="4953" spans="5:7" x14ac:dyDescent="0.3">
      <c r="E4953" s="80">
        <v>45777</v>
      </c>
      <c r="F4953">
        <v>1010100</v>
      </c>
      <c r="G4953">
        <v>951.62</v>
      </c>
    </row>
    <row r="4954" spans="5:7" x14ac:dyDescent="0.3">
      <c r="E4954" s="80">
        <v>45777</v>
      </c>
      <c r="F4954">
        <v>1010100</v>
      </c>
      <c r="G4954">
        <v>951.62</v>
      </c>
    </row>
    <row r="4955" spans="5:7" x14ac:dyDescent="0.3">
      <c r="E4955" s="80">
        <v>45777</v>
      </c>
      <c r="F4955">
        <v>1010100</v>
      </c>
      <c r="G4955">
        <v>1142.02</v>
      </c>
    </row>
    <row r="4956" spans="5:7" x14ac:dyDescent="0.3">
      <c r="E4956" s="80">
        <v>45777</v>
      </c>
      <c r="F4956">
        <v>1010100</v>
      </c>
      <c r="G4956">
        <v>951.62</v>
      </c>
    </row>
    <row r="4957" spans="5:7" x14ac:dyDescent="0.3">
      <c r="E4957" s="80">
        <v>45777</v>
      </c>
      <c r="F4957">
        <v>1010100</v>
      </c>
      <c r="G4957">
        <v>1142.02</v>
      </c>
    </row>
    <row r="4958" spans="5:7" x14ac:dyDescent="0.3">
      <c r="E4958" s="80">
        <v>45776</v>
      </c>
      <c r="F4958">
        <v>1010100</v>
      </c>
      <c r="G4958">
        <v>951.62</v>
      </c>
    </row>
    <row r="4959" spans="5:7" x14ac:dyDescent="0.3">
      <c r="E4959" s="80">
        <v>45776</v>
      </c>
      <c r="F4959">
        <v>1010100</v>
      </c>
      <c r="G4959">
        <v>951.62</v>
      </c>
    </row>
    <row r="4960" spans="5:7" x14ac:dyDescent="0.3">
      <c r="E4960" s="80">
        <v>45776</v>
      </c>
      <c r="F4960">
        <v>1010100</v>
      </c>
      <c r="G4960">
        <v>951.62</v>
      </c>
    </row>
    <row r="4961" spans="5:7" x14ac:dyDescent="0.3">
      <c r="E4961" s="80">
        <v>45776</v>
      </c>
      <c r="F4961">
        <v>1010100</v>
      </c>
      <c r="G4961">
        <v>951.62</v>
      </c>
    </row>
    <row r="4962" spans="5:7" x14ac:dyDescent="0.3">
      <c r="E4962" s="80">
        <v>45776</v>
      </c>
      <c r="F4962">
        <v>1010100</v>
      </c>
      <c r="G4962">
        <v>951.62</v>
      </c>
    </row>
    <row r="4963" spans="5:7" x14ac:dyDescent="0.3">
      <c r="E4963" s="80">
        <v>45776</v>
      </c>
      <c r="F4963">
        <v>1010100</v>
      </c>
      <c r="G4963">
        <v>951.62</v>
      </c>
    </row>
    <row r="4964" spans="5:7" x14ac:dyDescent="0.3">
      <c r="E4964" s="80">
        <v>45776</v>
      </c>
      <c r="F4964">
        <v>1010100</v>
      </c>
      <c r="G4964">
        <v>951.62</v>
      </c>
    </row>
    <row r="4965" spans="5:7" x14ac:dyDescent="0.3">
      <c r="E4965" s="80">
        <v>45775</v>
      </c>
      <c r="F4965">
        <v>1010100</v>
      </c>
      <c r="G4965">
        <v>1005.01</v>
      </c>
    </row>
    <row r="4966" spans="5:7" x14ac:dyDescent="0.3">
      <c r="E4966" s="80">
        <v>45775</v>
      </c>
      <c r="F4966">
        <v>1010100</v>
      </c>
      <c r="G4966">
        <v>190.21</v>
      </c>
    </row>
    <row r="4967" spans="5:7" x14ac:dyDescent="0.3">
      <c r="E4967" s="80">
        <v>45775</v>
      </c>
      <c r="F4967">
        <v>1010100</v>
      </c>
      <c r="G4967">
        <v>951.62</v>
      </c>
    </row>
    <row r="4968" spans="5:7" x14ac:dyDescent="0.3">
      <c r="E4968" s="80">
        <v>45774</v>
      </c>
      <c r="F4968">
        <v>1010100</v>
      </c>
      <c r="G4968">
        <v>951.62</v>
      </c>
    </row>
    <row r="4969" spans="5:7" x14ac:dyDescent="0.3">
      <c r="E4969" s="80">
        <v>45774</v>
      </c>
      <c r="F4969">
        <v>1010100</v>
      </c>
      <c r="G4969">
        <v>951.62</v>
      </c>
    </row>
    <row r="4970" spans="5:7" x14ac:dyDescent="0.3">
      <c r="E4970" s="80">
        <v>45774</v>
      </c>
      <c r="F4970">
        <v>1010100</v>
      </c>
      <c r="G4970">
        <v>1005.01</v>
      </c>
    </row>
    <row r="4971" spans="5:7" x14ac:dyDescent="0.3">
      <c r="E4971" s="80">
        <v>45774</v>
      </c>
      <c r="F4971">
        <v>1010100</v>
      </c>
      <c r="G4971">
        <v>951.62</v>
      </c>
    </row>
    <row r="4972" spans="5:7" x14ac:dyDescent="0.3">
      <c r="E4972" s="80">
        <v>45774</v>
      </c>
      <c r="F4972">
        <v>1010100</v>
      </c>
      <c r="G4972">
        <v>1142.02</v>
      </c>
    </row>
    <row r="4973" spans="5:7" x14ac:dyDescent="0.3">
      <c r="E4973" s="80">
        <v>45774</v>
      </c>
      <c r="F4973">
        <v>1010100</v>
      </c>
      <c r="G4973">
        <v>1005.01</v>
      </c>
    </row>
    <row r="4974" spans="5:7" x14ac:dyDescent="0.3">
      <c r="E4974" s="80">
        <v>45774</v>
      </c>
      <c r="F4974">
        <v>1010100</v>
      </c>
      <c r="G4974">
        <v>951.62</v>
      </c>
    </row>
    <row r="4975" spans="5:7" x14ac:dyDescent="0.3">
      <c r="E4975" s="80">
        <v>45773</v>
      </c>
      <c r="F4975">
        <v>1010100</v>
      </c>
      <c r="G4975">
        <v>951.62</v>
      </c>
    </row>
    <row r="4976" spans="5:7" x14ac:dyDescent="0.3">
      <c r="E4976" s="80">
        <v>45773</v>
      </c>
      <c r="F4976">
        <v>1010100</v>
      </c>
      <c r="G4976">
        <v>1142.02</v>
      </c>
    </row>
    <row r="4977" spans="5:7" x14ac:dyDescent="0.3">
      <c r="E4977" s="80">
        <v>45773</v>
      </c>
      <c r="F4977">
        <v>1010100</v>
      </c>
      <c r="G4977">
        <v>951.62</v>
      </c>
    </row>
    <row r="4978" spans="5:7" x14ac:dyDescent="0.3">
      <c r="E4978" s="80">
        <v>45773</v>
      </c>
      <c r="F4978">
        <v>1010100</v>
      </c>
      <c r="G4978">
        <v>1142.02</v>
      </c>
    </row>
    <row r="4979" spans="5:7" x14ac:dyDescent="0.3">
      <c r="E4979" s="80">
        <v>45773</v>
      </c>
      <c r="F4979">
        <v>1010100</v>
      </c>
      <c r="G4979">
        <v>1142.02</v>
      </c>
    </row>
    <row r="4980" spans="5:7" x14ac:dyDescent="0.3">
      <c r="E4980" s="80">
        <v>45773</v>
      </c>
      <c r="F4980">
        <v>1010100</v>
      </c>
      <c r="G4980">
        <v>1142.02</v>
      </c>
    </row>
    <row r="4981" spans="5:7" x14ac:dyDescent="0.3">
      <c r="E4981" s="80">
        <v>45773</v>
      </c>
      <c r="F4981">
        <v>1010100</v>
      </c>
      <c r="G4981">
        <v>1142.02</v>
      </c>
    </row>
    <row r="4982" spans="5:7" x14ac:dyDescent="0.3">
      <c r="E4982" s="80">
        <v>45773</v>
      </c>
      <c r="F4982">
        <v>1010100</v>
      </c>
      <c r="G4982">
        <v>951.62</v>
      </c>
    </row>
    <row r="4983" spans="5:7" x14ac:dyDescent="0.3">
      <c r="E4983" s="80">
        <v>45773</v>
      </c>
      <c r="F4983">
        <v>1010100</v>
      </c>
      <c r="G4983">
        <v>1005.01</v>
      </c>
    </row>
    <row r="4984" spans="5:7" x14ac:dyDescent="0.3">
      <c r="E4984" s="80">
        <v>45773</v>
      </c>
      <c r="F4984">
        <v>1010100</v>
      </c>
      <c r="G4984">
        <v>1005.01</v>
      </c>
    </row>
    <row r="4985" spans="5:7" x14ac:dyDescent="0.3">
      <c r="E4985" s="80">
        <v>45773</v>
      </c>
      <c r="F4985">
        <v>1010100</v>
      </c>
      <c r="G4985">
        <v>1005.01</v>
      </c>
    </row>
    <row r="4986" spans="5:7" x14ac:dyDescent="0.3">
      <c r="E4986" s="80">
        <v>45772</v>
      </c>
      <c r="F4986">
        <v>1010100</v>
      </c>
      <c r="G4986">
        <v>951.62</v>
      </c>
    </row>
    <row r="4987" spans="5:7" x14ac:dyDescent="0.3">
      <c r="E4987" s="80">
        <v>45772</v>
      </c>
      <c r="F4987">
        <v>1010100</v>
      </c>
      <c r="G4987">
        <v>1142.02</v>
      </c>
    </row>
    <row r="4988" spans="5:7" x14ac:dyDescent="0.3">
      <c r="E4988" s="80">
        <v>45772</v>
      </c>
      <c r="F4988">
        <v>1010100</v>
      </c>
      <c r="G4988">
        <v>1142.02</v>
      </c>
    </row>
    <row r="4989" spans="5:7" x14ac:dyDescent="0.3">
      <c r="E4989" s="80">
        <v>45772</v>
      </c>
      <c r="F4989">
        <v>1010100</v>
      </c>
      <c r="G4989">
        <v>1005.01</v>
      </c>
    </row>
    <row r="4990" spans="5:7" x14ac:dyDescent="0.3">
      <c r="E4990" s="80">
        <v>45772</v>
      </c>
      <c r="F4990">
        <v>1010100</v>
      </c>
      <c r="G4990">
        <v>190.21</v>
      </c>
    </row>
    <row r="4991" spans="5:7" x14ac:dyDescent="0.3">
      <c r="E4991" s="80">
        <v>45772</v>
      </c>
      <c r="F4991">
        <v>1010100</v>
      </c>
      <c r="G4991">
        <v>951.62</v>
      </c>
    </row>
    <row r="4992" spans="5:7" x14ac:dyDescent="0.3">
      <c r="E4992" s="80">
        <v>45772</v>
      </c>
      <c r="F4992">
        <v>1010100</v>
      </c>
      <c r="G4992">
        <v>190.21</v>
      </c>
    </row>
    <row r="4993" spans="5:7" x14ac:dyDescent="0.3">
      <c r="E4993" s="80">
        <v>45772</v>
      </c>
      <c r="F4993">
        <v>1010100</v>
      </c>
      <c r="G4993">
        <v>951.62</v>
      </c>
    </row>
    <row r="4994" spans="5:7" x14ac:dyDescent="0.3">
      <c r="E4994" s="80">
        <v>45772</v>
      </c>
      <c r="F4994">
        <v>1010100</v>
      </c>
      <c r="G4994">
        <v>951.62</v>
      </c>
    </row>
    <row r="4995" spans="5:7" x14ac:dyDescent="0.3">
      <c r="E4995" s="80">
        <v>45772</v>
      </c>
      <c r="F4995">
        <v>1010100</v>
      </c>
      <c r="G4995">
        <v>1005.01</v>
      </c>
    </row>
    <row r="4996" spans="5:7" x14ac:dyDescent="0.3">
      <c r="E4996" s="80">
        <v>45772</v>
      </c>
      <c r="F4996">
        <v>1010100</v>
      </c>
      <c r="G4996">
        <v>190.21</v>
      </c>
    </row>
    <row r="4997" spans="5:7" x14ac:dyDescent="0.3">
      <c r="E4997" s="80">
        <v>45772</v>
      </c>
      <c r="F4997">
        <v>1010100</v>
      </c>
      <c r="G4997">
        <v>1903.24</v>
      </c>
    </row>
    <row r="4998" spans="5:7" x14ac:dyDescent="0.3">
      <c r="E4998" s="80">
        <v>45772</v>
      </c>
      <c r="F4998">
        <v>1010100</v>
      </c>
      <c r="G4998">
        <v>1142.02</v>
      </c>
    </row>
    <row r="4999" spans="5:7" x14ac:dyDescent="0.3">
      <c r="E4999" s="80">
        <v>45772</v>
      </c>
      <c r="F4999">
        <v>1010100</v>
      </c>
      <c r="G4999">
        <v>1005.01</v>
      </c>
    </row>
    <row r="5000" spans="5:7" x14ac:dyDescent="0.3">
      <c r="E5000" s="80">
        <v>45771</v>
      </c>
      <c r="F5000">
        <v>1010100</v>
      </c>
      <c r="G5000">
        <v>1005.01</v>
      </c>
    </row>
    <row r="5001" spans="5:7" x14ac:dyDescent="0.3">
      <c r="E5001" s="80">
        <v>45771</v>
      </c>
      <c r="F5001">
        <v>1010100</v>
      </c>
      <c r="G5001">
        <v>380.42</v>
      </c>
    </row>
    <row r="5002" spans="5:7" x14ac:dyDescent="0.3">
      <c r="E5002" s="80">
        <v>45771</v>
      </c>
      <c r="F5002">
        <v>1010100</v>
      </c>
      <c r="G5002">
        <v>1005.01</v>
      </c>
    </row>
    <row r="5003" spans="5:7" x14ac:dyDescent="0.3">
      <c r="E5003" s="80">
        <v>45771</v>
      </c>
      <c r="F5003">
        <v>1010100</v>
      </c>
      <c r="G5003">
        <v>951.62</v>
      </c>
    </row>
    <row r="5004" spans="5:7" x14ac:dyDescent="0.3">
      <c r="E5004" s="80">
        <v>45771</v>
      </c>
      <c r="F5004">
        <v>1010100</v>
      </c>
      <c r="G5004">
        <v>951.62</v>
      </c>
    </row>
    <row r="5005" spans="5:7" x14ac:dyDescent="0.3">
      <c r="E5005" s="80">
        <v>45771</v>
      </c>
      <c r="F5005">
        <v>1010100</v>
      </c>
      <c r="G5005">
        <v>1005.01</v>
      </c>
    </row>
    <row r="5006" spans="5:7" x14ac:dyDescent="0.3">
      <c r="E5006" s="80">
        <v>45771</v>
      </c>
      <c r="F5006">
        <v>1010100</v>
      </c>
      <c r="G5006">
        <v>1142.02</v>
      </c>
    </row>
    <row r="5007" spans="5:7" x14ac:dyDescent="0.3">
      <c r="E5007" s="80">
        <v>45771</v>
      </c>
      <c r="F5007">
        <v>1010100</v>
      </c>
      <c r="G5007">
        <v>1142.02</v>
      </c>
    </row>
    <row r="5008" spans="5:7" x14ac:dyDescent="0.3">
      <c r="E5008" s="80">
        <v>45770</v>
      </c>
      <c r="F5008">
        <v>1010100</v>
      </c>
      <c r="G5008">
        <v>1005.01</v>
      </c>
    </row>
    <row r="5009" spans="5:7" x14ac:dyDescent="0.3">
      <c r="E5009" s="80">
        <v>45770</v>
      </c>
      <c r="F5009">
        <v>1010100</v>
      </c>
      <c r="G5009">
        <v>1005.01</v>
      </c>
    </row>
    <row r="5010" spans="5:7" x14ac:dyDescent="0.3">
      <c r="E5010" s="80">
        <v>45770</v>
      </c>
      <c r="F5010">
        <v>1010100</v>
      </c>
      <c r="G5010">
        <v>1142.02</v>
      </c>
    </row>
    <row r="5011" spans="5:7" x14ac:dyDescent="0.3">
      <c r="E5011" s="80">
        <v>45770</v>
      </c>
      <c r="F5011">
        <v>1010100</v>
      </c>
      <c r="G5011">
        <v>951.62</v>
      </c>
    </row>
    <row r="5012" spans="5:7" x14ac:dyDescent="0.3">
      <c r="E5012" s="80">
        <v>45770</v>
      </c>
      <c r="F5012">
        <v>1010100</v>
      </c>
      <c r="G5012">
        <v>190.21</v>
      </c>
    </row>
    <row r="5013" spans="5:7" x14ac:dyDescent="0.3">
      <c r="E5013" s="80">
        <v>45769</v>
      </c>
      <c r="F5013">
        <v>1010100</v>
      </c>
      <c r="G5013">
        <v>1142.02</v>
      </c>
    </row>
    <row r="5014" spans="5:7" x14ac:dyDescent="0.3">
      <c r="E5014" s="80">
        <v>45769</v>
      </c>
      <c r="F5014">
        <v>1010100</v>
      </c>
      <c r="G5014">
        <v>1142.02</v>
      </c>
    </row>
    <row r="5015" spans="5:7" x14ac:dyDescent="0.3">
      <c r="E5015" s="80">
        <v>45768</v>
      </c>
      <c r="F5015">
        <v>1010100</v>
      </c>
      <c r="G5015">
        <v>1005.01</v>
      </c>
    </row>
    <row r="5016" spans="5:7" x14ac:dyDescent="0.3">
      <c r="E5016" s="80">
        <v>45768</v>
      </c>
      <c r="F5016">
        <v>1010100</v>
      </c>
      <c r="G5016">
        <v>1025.57</v>
      </c>
    </row>
    <row r="5017" spans="5:7" x14ac:dyDescent="0.3">
      <c r="E5017" s="80">
        <v>45768</v>
      </c>
      <c r="F5017">
        <v>1010100</v>
      </c>
      <c r="G5017">
        <v>1865.54</v>
      </c>
    </row>
    <row r="5018" spans="5:7" x14ac:dyDescent="0.3">
      <c r="E5018" s="80">
        <v>45768</v>
      </c>
      <c r="F5018">
        <v>1010100</v>
      </c>
      <c r="G5018">
        <v>1005.01</v>
      </c>
    </row>
    <row r="5019" spans="5:7" x14ac:dyDescent="0.3">
      <c r="E5019" s="80">
        <v>45768</v>
      </c>
      <c r="F5019">
        <v>1010100</v>
      </c>
      <c r="G5019">
        <v>1025.57</v>
      </c>
    </row>
    <row r="5020" spans="5:7" x14ac:dyDescent="0.3">
      <c r="E5020" s="80">
        <v>45768</v>
      </c>
      <c r="F5020">
        <v>1010100</v>
      </c>
      <c r="G5020">
        <v>1005.01</v>
      </c>
    </row>
    <row r="5021" spans="5:7" x14ac:dyDescent="0.3">
      <c r="E5021" s="80">
        <v>45768</v>
      </c>
      <c r="F5021">
        <v>1010100</v>
      </c>
      <c r="G5021">
        <v>1025.57</v>
      </c>
    </row>
    <row r="5022" spans="5:7" x14ac:dyDescent="0.3">
      <c r="E5022" s="80">
        <v>45766</v>
      </c>
      <c r="F5022">
        <v>1010100</v>
      </c>
      <c r="G5022">
        <v>1005.01</v>
      </c>
    </row>
    <row r="5023" spans="5:7" x14ac:dyDescent="0.3">
      <c r="E5023" s="80">
        <v>45766</v>
      </c>
      <c r="F5023">
        <v>1010100</v>
      </c>
      <c r="G5023">
        <v>1025.57</v>
      </c>
    </row>
    <row r="5024" spans="5:7" x14ac:dyDescent="0.3">
      <c r="E5024" s="80">
        <v>45766</v>
      </c>
      <c r="F5024">
        <v>1010100</v>
      </c>
      <c r="G5024">
        <v>1142.02</v>
      </c>
    </row>
    <row r="5025" spans="5:7" x14ac:dyDescent="0.3">
      <c r="E5025" s="80">
        <v>45765</v>
      </c>
      <c r="F5025">
        <v>1010100</v>
      </c>
      <c r="G5025">
        <v>1005.01</v>
      </c>
    </row>
    <row r="5026" spans="5:7" x14ac:dyDescent="0.3">
      <c r="E5026" s="80">
        <v>45765</v>
      </c>
      <c r="F5026">
        <v>1010100</v>
      </c>
      <c r="G5026">
        <v>1005.01</v>
      </c>
    </row>
    <row r="5027" spans="5:7" x14ac:dyDescent="0.3">
      <c r="E5027" s="80">
        <v>45765</v>
      </c>
      <c r="F5027">
        <v>1010100</v>
      </c>
      <c r="G5027">
        <v>1005.01</v>
      </c>
    </row>
    <row r="5028" spans="5:7" x14ac:dyDescent="0.3">
      <c r="E5028" s="80">
        <v>45765</v>
      </c>
      <c r="F5028">
        <v>1010100</v>
      </c>
      <c r="G5028">
        <v>1005.01</v>
      </c>
    </row>
    <row r="5029" spans="5:7" x14ac:dyDescent="0.3">
      <c r="E5029" s="80">
        <v>45765</v>
      </c>
      <c r="F5029">
        <v>1010100</v>
      </c>
      <c r="G5029">
        <v>1025.57</v>
      </c>
    </row>
    <row r="5030" spans="5:7" x14ac:dyDescent="0.3">
      <c r="E5030" s="80">
        <v>45765</v>
      </c>
      <c r="F5030">
        <v>1010100</v>
      </c>
      <c r="G5030">
        <v>1005.01</v>
      </c>
    </row>
    <row r="5031" spans="5:7" x14ac:dyDescent="0.3">
      <c r="E5031" s="80">
        <v>45765</v>
      </c>
      <c r="F5031">
        <v>1010100</v>
      </c>
      <c r="G5031">
        <v>1005.01</v>
      </c>
    </row>
    <row r="5032" spans="5:7" x14ac:dyDescent="0.3">
      <c r="E5032" s="80">
        <v>45765</v>
      </c>
      <c r="F5032">
        <v>1010100</v>
      </c>
      <c r="G5032">
        <v>1005.01</v>
      </c>
    </row>
    <row r="5033" spans="5:7" x14ac:dyDescent="0.3">
      <c r="E5033" s="80">
        <v>45765</v>
      </c>
      <c r="F5033">
        <v>1010100</v>
      </c>
      <c r="G5033">
        <v>1025.57</v>
      </c>
    </row>
    <row r="5034" spans="5:7" x14ac:dyDescent="0.3">
      <c r="E5034" s="80">
        <v>45764</v>
      </c>
      <c r="F5034">
        <v>1010100</v>
      </c>
      <c r="G5034">
        <v>1005.01</v>
      </c>
    </row>
    <row r="5035" spans="5:7" x14ac:dyDescent="0.3">
      <c r="E5035" s="80">
        <v>45763</v>
      </c>
      <c r="F5035">
        <v>1010100</v>
      </c>
      <c r="G5035">
        <v>1005.01</v>
      </c>
    </row>
    <row r="5036" spans="5:7" x14ac:dyDescent="0.3">
      <c r="E5036" s="80">
        <v>45763</v>
      </c>
      <c r="F5036">
        <v>1010100</v>
      </c>
      <c r="G5036">
        <v>1025.57</v>
      </c>
    </row>
    <row r="5037" spans="5:7" x14ac:dyDescent="0.3">
      <c r="E5037" s="80">
        <v>45763</v>
      </c>
      <c r="F5037">
        <v>1010100</v>
      </c>
      <c r="G5037">
        <v>1025.57</v>
      </c>
    </row>
    <row r="5038" spans="5:7" x14ac:dyDescent="0.3">
      <c r="E5038" s="80">
        <v>45763</v>
      </c>
      <c r="F5038">
        <v>1010100</v>
      </c>
      <c r="G5038">
        <v>1005.01</v>
      </c>
    </row>
    <row r="5039" spans="5:7" x14ac:dyDescent="0.3">
      <c r="E5039" s="80">
        <v>45760</v>
      </c>
      <c r="F5039">
        <v>1010100</v>
      </c>
      <c r="G5039">
        <v>1142.02</v>
      </c>
    </row>
    <row r="5040" spans="5:7" x14ac:dyDescent="0.3">
      <c r="E5040" s="80">
        <v>45758</v>
      </c>
      <c r="F5040">
        <v>1010100</v>
      </c>
      <c r="G5040">
        <v>1865.54</v>
      </c>
    </row>
    <row r="5041" spans="5:7" x14ac:dyDescent="0.3">
      <c r="E5041" s="80">
        <v>45757</v>
      </c>
      <c r="F5041">
        <v>1010100</v>
      </c>
      <c r="G5041">
        <v>1025.57</v>
      </c>
    </row>
    <row r="5042" spans="5:7" x14ac:dyDescent="0.3">
      <c r="E5042" s="80">
        <v>45757</v>
      </c>
      <c r="F5042">
        <v>1010100</v>
      </c>
      <c r="G5042">
        <v>1025.57</v>
      </c>
    </row>
    <row r="5043" spans="5:7" x14ac:dyDescent="0.3">
      <c r="E5043" s="80">
        <v>45757</v>
      </c>
      <c r="F5043">
        <v>1010100</v>
      </c>
      <c r="G5043">
        <v>1025.57</v>
      </c>
    </row>
    <row r="5044" spans="5:7" x14ac:dyDescent="0.3">
      <c r="E5044" s="80">
        <v>45756</v>
      </c>
      <c r="F5044">
        <v>1010100</v>
      </c>
      <c r="G5044">
        <v>1142.02</v>
      </c>
    </row>
    <row r="5045" spans="5:7" x14ac:dyDescent="0.3">
      <c r="E5045" s="80">
        <v>45756</v>
      </c>
      <c r="F5045">
        <v>1010100</v>
      </c>
      <c r="G5045">
        <v>1142.02</v>
      </c>
    </row>
    <row r="5046" spans="5:7" x14ac:dyDescent="0.3">
      <c r="E5046" s="80">
        <v>45755</v>
      </c>
      <c r="F5046">
        <v>1010100</v>
      </c>
      <c r="G5046">
        <v>1865.54</v>
      </c>
    </row>
    <row r="5047" spans="5:7" x14ac:dyDescent="0.3">
      <c r="E5047" s="80">
        <v>45755</v>
      </c>
      <c r="F5047">
        <v>1010100</v>
      </c>
      <c r="G5047">
        <v>1142.02</v>
      </c>
    </row>
    <row r="5048" spans="5:7" x14ac:dyDescent="0.3">
      <c r="E5048" s="80">
        <v>45754</v>
      </c>
      <c r="F5048">
        <v>1010100</v>
      </c>
      <c r="G5048">
        <v>1256.26</v>
      </c>
    </row>
    <row r="5049" spans="5:7" x14ac:dyDescent="0.3">
      <c r="E5049" s="80">
        <v>45754</v>
      </c>
      <c r="F5049">
        <v>1010100</v>
      </c>
      <c r="G5049">
        <v>1256.26</v>
      </c>
    </row>
    <row r="5050" spans="5:7" x14ac:dyDescent="0.3">
      <c r="E5050" s="80">
        <v>45754</v>
      </c>
      <c r="F5050">
        <v>1010100</v>
      </c>
      <c r="G5050">
        <v>1142.02</v>
      </c>
    </row>
    <row r="5051" spans="5:7" x14ac:dyDescent="0.3">
      <c r="E5051" s="80">
        <v>45753</v>
      </c>
      <c r="F5051">
        <v>1010100</v>
      </c>
      <c r="G5051">
        <v>879.38</v>
      </c>
    </row>
    <row r="5052" spans="5:7" x14ac:dyDescent="0.3">
      <c r="E5052" s="80">
        <v>45753</v>
      </c>
      <c r="F5052">
        <v>1010100</v>
      </c>
      <c r="G5052">
        <v>879.38</v>
      </c>
    </row>
    <row r="5053" spans="5:7" x14ac:dyDescent="0.3">
      <c r="E5053" s="80">
        <v>45753</v>
      </c>
      <c r="F5053">
        <v>1010100</v>
      </c>
      <c r="G5053">
        <v>879.38</v>
      </c>
    </row>
    <row r="5054" spans="5:7" x14ac:dyDescent="0.3">
      <c r="E5054" s="80">
        <v>45753</v>
      </c>
      <c r="F5054">
        <v>1010100</v>
      </c>
      <c r="G5054">
        <v>1865.54</v>
      </c>
    </row>
    <row r="5055" spans="5:7" x14ac:dyDescent="0.3">
      <c r="E5055" s="80">
        <v>45753</v>
      </c>
      <c r="F5055">
        <v>1010100</v>
      </c>
      <c r="G5055">
        <v>1142.02</v>
      </c>
    </row>
    <row r="5056" spans="5:7" x14ac:dyDescent="0.3">
      <c r="E5056" s="80">
        <v>45752</v>
      </c>
      <c r="F5056">
        <v>1010100</v>
      </c>
      <c r="G5056">
        <v>1865.54</v>
      </c>
    </row>
    <row r="5057" spans="5:7" x14ac:dyDescent="0.3">
      <c r="E5057" s="80">
        <v>45752</v>
      </c>
      <c r="F5057">
        <v>1010100</v>
      </c>
      <c r="G5057">
        <v>772.76</v>
      </c>
    </row>
    <row r="5058" spans="5:7" x14ac:dyDescent="0.3">
      <c r="E5058" s="80">
        <v>45752</v>
      </c>
      <c r="F5058">
        <v>1010100</v>
      </c>
      <c r="G5058">
        <v>1005.01</v>
      </c>
    </row>
    <row r="5059" spans="5:7" x14ac:dyDescent="0.3">
      <c r="E5059" s="80">
        <v>45752</v>
      </c>
      <c r="F5059">
        <v>1010100</v>
      </c>
      <c r="G5059">
        <v>879.38</v>
      </c>
    </row>
    <row r="5060" spans="5:7" x14ac:dyDescent="0.3">
      <c r="E5060" s="80">
        <v>45752</v>
      </c>
      <c r="F5060">
        <v>1010100</v>
      </c>
      <c r="G5060">
        <v>1865.54</v>
      </c>
    </row>
    <row r="5061" spans="5:7" x14ac:dyDescent="0.3">
      <c r="E5061" s="80">
        <v>45752</v>
      </c>
      <c r="F5061">
        <v>1010100</v>
      </c>
      <c r="G5061">
        <v>879.38</v>
      </c>
    </row>
    <row r="5062" spans="5:7" x14ac:dyDescent="0.3">
      <c r="E5062" s="80">
        <v>45751</v>
      </c>
      <c r="F5062">
        <v>1010100</v>
      </c>
      <c r="G5062">
        <v>304.33999999999997</v>
      </c>
    </row>
    <row r="5063" spans="5:7" x14ac:dyDescent="0.3">
      <c r="E5063" s="80">
        <v>45751</v>
      </c>
      <c r="F5063">
        <v>1010100</v>
      </c>
      <c r="G5063">
        <v>304.33999999999997</v>
      </c>
    </row>
    <row r="5064" spans="5:7" x14ac:dyDescent="0.3">
      <c r="E5064" s="80">
        <v>45751</v>
      </c>
      <c r="F5064">
        <v>1010100</v>
      </c>
      <c r="G5064">
        <v>879.38</v>
      </c>
    </row>
    <row r="5065" spans="5:7" x14ac:dyDescent="0.3">
      <c r="E5065" s="80">
        <v>45751</v>
      </c>
      <c r="F5065">
        <v>1010100</v>
      </c>
      <c r="G5065">
        <v>879.38</v>
      </c>
    </row>
    <row r="5066" spans="5:7" x14ac:dyDescent="0.3">
      <c r="E5066" s="80">
        <v>45751</v>
      </c>
      <c r="F5066">
        <v>1010100</v>
      </c>
      <c r="G5066">
        <v>879.38</v>
      </c>
    </row>
    <row r="5067" spans="5:7" x14ac:dyDescent="0.3">
      <c r="E5067" s="80">
        <v>45751</v>
      </c>
      <c r="F5067">
        <v>1010100</v>
      </c>
      <c r="G5067">
        <v>879.38</v>
      </c>
    </row>
    <row r="5068" spans="5:7" x14ac:dyDescent="0.3">
      <c r="E5068" s="80">
        <v>45751</v>
      </c>
      <c r="F5068">
        <v>1010100</v>
      </c>
      <c r="G5068">
        <v>879.38</v>
      </c>
    </row>
    <row r="5069" spans="5:7" x14ac:dyDescent="0.3">
      <c r="E5069" s="80">
        <v>45751</v>
      </c>
      <c r="F5069">
        <v>1010100</v>
      </c>
      <c r="G5069">
        <v>879.38</v>
      </c>
    </row>
    <row r="5070" spans="5:7" x14ac:dyDescent="0.3">
      <c r="E5070" s="80">
        <v>45751</v>
      </c>
      <c r="F5070">
        <v>1010100</v>
      </c>
      <c r="G5070">
        <v>879.38</v>
      </c>
    </row>
    <row r="5071" spans="5:7" x14ac:dyDescent="0.3">
      <c r="E5071" s="80">
        <v>45750</v>
      </c>
      <c r="F5071">
        <v>1010100</v>
      </c>
      <c r="G5071">
        <v>879.38</v>
      </c>
    </row>
    <row r="5072" spans="5:7" x14ac:dyDescent="0.3">
      <c r="E5072" s="80">
        <v>45750</v>
      </c>
      <c r="F5072">
        <v>1010100</v>
      </c>
      <c r="G5072">
        <v>1865.54</v>
      </c>
    </row>
    <row r="5073" spans="5:7" x14ac:dyDescent="0.3">
      <c r="E5073" s="80">
        <v>45750</v>
      </c>
      <c r="F5073">
        <v>1010100</v>
      </c>
      <c r="G5073">
        <v>1142.02</v>
      </c>
    </row>
    <row r="5074" spans="5:7" x14ac:dyDescent="0.3">
      <c r="E5074" s="80">
        <v>45750</v>
      </c>
      <c r="F5074">
        <v>1010100</v>
      </c>
      <c r="G5074">
        <v>1142.02</v>
      </c>
    </row>
    <row r="5075" spans="5:7" x14ac:dyDescent="0.3">
      <c r="E5075" s="80">
        <v>45750</v>
      </c>
      <c r="F5075">
        <v>1010100</v>
      </c>
      <c r="G5075">
        <v>879.38</v>
      </c>
    </row>
    <row r="5076" spans="5:7" x14ac:dyDescent="0.3">
      <c r="E5076" s="80">
        <v>45750</v>
      </c>
      <c r="F5076">
        <v>1010100</v>
      </c>
      <c r="G5076">
        <v>879.38</v>
      </c>
    </row>
    <row r="5077" spans="5:7" x14ac:dyDescent="0.3">
      <c r="E5077" s="80">
        <v>45749</v>
      </c>
      <c r="F5077">
        <v>1010100</v>
      </c>
      <c r="G5077">
        <v>879.38</v>
      </c>
    </row>
    <row r="5078" spans="5:7" x14ac:dyDescent="0.3">
      <c r="E5078" s="80">
        <v>45749</v>
      </c>
      <c r="F5078">
        <v>1010100</v>
      </c>
      <c r="G5078">
        <v>879.38</v>
      </c>
    </row>
    <row r="5079" spans="5:7" x14ac:dyDescent="0.3">
      <c r="E5079" s="80">
        <v>45749</v>
      </c>
      <c r="F5079">
        <v>1010100</v>
      </c>
      <c r="G5079">
        <v>879.38</v>
      </c>
    </row>
    <row r="5080" spans="5:7" x14ac:dyDescent="0.3">
      <c r="E5080" s="80">
        <v>45749</v>
      </c>
      <c r="F5080">
        <v>1010100</v>
      </c>
      <c r="G5080">
        <v>879.38</v>
      </c>
    </row>
    <row r="5081" spans="5:7" x14ac:dyDescent="0.3">
      <c r="E5081" s="80">
        <v>45749</v>
      </c>
      <c r="F5081">
        <v>1010100</v>
      </c>
      <c r="G5081">
        <v>879.38</v>
      </c>
    </row>
    <row r="5082" spans="5:7" x14ac:dyDescent="0.3">
      <c r="E5082" s="80">
        <v>45749</v>
      </c>
      <c r="F5082">
        <v>1010100</v>
      </c>
      <c r="G5082">
        <v>879.38</v>
      </c>
    </row>
    <row r="5083" spans="5:7" x14ac:dyDescent="0.3">
      <c r="E5083" s="80">
        <v>45749</v>
      </c>
      <c r="F5083">
        <v>1010100</v>
      </c>
      <c r="G5083">
        <v>1865.54</v>
      </c>
    </row>
    <row r="5084" spans="5:7" x14ac:dyDescent="0.3">
      <c r="E5084" s="80">
        <v>45748</v>
      </c>
      <c r="F5084">
        <v>1010100</v>
      </c>
      <c r="G5084">
        <v>970.7</v>
      </c>
    </row>
    <row r="5085" spans="5:7" x14ac:dyDescent="0.3">
      <c r="E5085" s="80">
        <v>45748</v>
      </c>
      <c r="F5085">
        <v>1010100</v>
      </c>
      <c r="G5085">
        <v>1005.01</v>
      </c>
    </row>
    <row r="5086" spans="5:7" x14ac:dyDescent="0.3">
      <c r="E5086" s="80">
        <v>45748</v>
      </c>
      <c r="F5086">
        <v>1010100</v>
      </c>
      <c r="G5086">
        <v>772.76</v>
      </c>
    </row>
    <row r="5087" spans="5:7" x14ac:dyDescent="0.3">
      <c r="E5087" s="80">
        <v>45747</v>
      </c>
      <c r="F5087">
        <v>1010100</v>
      </c>
      <c r="G5087">
        <v>1142.02</v>
      </c>
    </row>
    <row r="5088" spans="5:7" x14ac:dyDescent="0.3">
      <c r="E5088" s="80">
        <v>45747</v>
      </c>
      <c r="F5088">
        <v>1010100</v>
      </c>
      <c r="G5088">
        <v>879.38</v>
      </c>
    </row>
    <row r="5089" spans="5:7" x14ac:dyDescent="0.3">
      <c r="E5089" s="80">
        <v>45747</v>
      </c>
      <c r="F5089">
        <v>1010100</v>
      </c>
      <c r="G5089">
        <v>1142.02</v>
      </c>
    </row>
    <row r="5090" spans="5:7" x14ac:dyDescent="0.3">
      <c r="E5090" s="80">
        <v>45747</v>
      </c>
      <c r="F5090">
        <v>1010100</v>
      </c>
      <c r="G5090">
        <v>1142.02</v>
      </c>
    </row>
    <row r="5091" spans="5:7" x14ac:dyDescent="0.3">
      <c r="E5091" s="80">
        <v>45747</v>
      </c>
      <c r="F5091">
        <v>1010100</v>
      </c>
      <c r="G5091">
        <v>879.38</v>
      </c>
    </row>
    <row r="5092" spans="5:7" x14ac:dyDescent="0.3">
      <c r="E5092" s="80">
        <v>45747</v>
      </c>
      <c r="F5092">
        <v>1010100</v>
      </c>
      <c r="G5092">
        <v>1142.02</v>
      </c>
    </row>
    <row r="5093" spans="5:7" x14ac:dyDescent="0.3">
      <c r="E5093" s="80">
        <v>45747</v>
      </c>
      <c r="F5093">
        <v>1010100</v>
      </c>
      <c r="G5093">
        <v>1005.01</v>
      </c>
    </row>
    <row r="5094" spans="5:7" x14ac:dyDescent="0.3">
      <c r="E5094" s="80">
        <v>45747</v>
      </c>
      <c r="F5094">
        <v>1010100</v>
      </c>
      <c r="G5094">
        <v>1005.01</v>
      </c>
    </row>
    <row r="5095" spans="5:7" x14ac:dyDescent="0.3">
      <c r="E5095" s="80">
        <v>45746</v>
      </c>
      <c r="F5095">
        <v>1010100</v>
      </c>
      <c r="G5095">
        <v>1865.54</v>
      </c>
    </row>
    <row r="5096" spans="5:7" x14ac:dyDescent="0.3">
      <c r="E5096" s="80">
        <v>45746</v>
      </c>
      <c r="F5096">
        <v>1010100</v>
      </c>
      <c r="G5096">
        <v>1005.01</v>
      </c>
    </row>
    <row r="5097" spans="5:7" x14ac:dyDescent="0.3">
      <c r="E5097" s="80">
        <v>45746</v>
      </c>
      <c r="F5097">
        <v>1010100</v>
      </c>
      <c r="G5097">
        <v>1005.01</v>
      </c>
    </row>
    <row r="5098" spans="5:7" x14ac:dyDescent="0.3">
      <c r="E5098" s="80">
        <v>45746</v>
      </c>
      <c r="F5098">
        <v>1010100</v>
      </c>
      <c r="G5098">
        <v>1005.01</v>
      </c>
    </row>
    <row r="5099" spans="5:7" x14ac:dyDescent="0.3">
      <c r="E5099" s="80">
        <v>45746</v>
      </c>
      <c r="F5099">
        <v>1010100</v>
      </c>
      <c r="G5099">
        <v>1865.54</v>
      </c>
    </row>
    <row r="5100" spans="5:7" x14ac:dyDescent="0.3">
      <c r="E5100" s="80">
        <v>45745</v>
      </c>
      <c r="F5100">
        <v>1010100</v>
      </c>
      <c r="G5100">
        <v>1142.02</v>
      </c>
    </row>
    <row r="5101" spans="5:7" x14ac:dyDescent="0.3">
      <c r="E5101" s="80">
        <v>45745</v>
      </c>
      <c r="F5101">
        <v>1010100</v>
      </c>
      <c r="G5101">
        <v>1142.02</v>
      </c>
    </row>
    <row r="5102" spans="5:7" x14ac:dyDescent="0.3">
      <c r="E5102" s="80">
        <v>45744</v>
      </c>
      <c r="F5102">
        <v>1010100</v>
      </c>
      <c r="G5102">
        <v>1142.02</v>
      </c>
    </row>
    <row r="5103" spans="5:7" x14ac:dyDescent="0.3">
      <c r="E5103" s="80">
        <v>45744</v>
      </c>
      <c r="F5103">
        <v>1010100</v>
      </c>
      <c r="G5103">
        <v>1142.02</v>
      </c>
    </row>
    <row r="5104" spans="5:7" x14ac:dyDescent="0.3">
      <c r="E5104" s="80">
        <v>45744</v>
      </c>
      <c r="F5104">
        <v>1010100</v>
      </c>
      <c r="G5104">
        <v>1142.02</v>
      </c>
    </row>
    <row r="5105" spans="5:7" x14ac:dyDescent="0.3">
      <c r="E5105" s="80">
        <v>45743</v>
      </c>
      <c r="F5105">
        <v>1010100</v>
      </c>
      <c r="G5105">
        <v>1142.02</v>
      </c>
    </row>
    <row r="5106" spans="5:7" x14ac:dyDescent="0.3">
      <c r="E5106" s="80">
        <v>45743</v>
      </c>
      <c r="F5106">
        <v>1010100</v>
      </c>
      <c r="G5106">
        <v>1142.02</v>
      </c>
    </row>
    <row r="5107" spans="5:7" x14ac:dyDescent="0.3">
      <c r="E5107" s="80">
        <v>45743</v>
      </c>
      <c r="F5107">
        <v>1010100</v>
      </c>
      <c r="G5107">
        <v>380.42</v>
      </c>
    </row>
    <row r="5108" spans="5:7" x14ac:dyDescent="0.3">
      <c r="E5108" s="80">
        <v>45743</v>
      </c>
      <c r="F5108">
        <v>1010100</v>
      </c>
      <c r="G5108">
        <v>951.62</v>
      </c>
    </row>
    <row r="5109" spans="5:7" x14ac:dyDescent="0.3">
      <c r="E5109" s="80">
        <v>45743</v>
      </c>
      <c r="F5109">
        <v>1010100</v>
      </c>
      <c r="G5109">
        <v>1142.02</v>
      </c>
    </row>
    <row r="5110" spans="5:7" x14ac:dyDescent="0.3">
      <c r="E5110" s="80">
        <v>45743</v>
      </c>
      <c r="F5110">
        <v>1010100</v>
      </c>
      <c r="G5110">
        <v>1142.02</v>
      </c>
    </row>
    <row r="5111" spans="5:7" x14ac:dyDescent="0.3">
      <c r="E5111" s="80">
        <v>45743</v>
      </c>
      <c r="F5111">
        <v>1010100</v>
      </c>
      <c r="G5111">
        <v>1142.02</v>
      </c>
    </row>
    <row r="5112" spans="5:7" x14ac:dyDescent="0.3">
      <c r="E5112" s="80">
        <v>45740</v>
      </c>
      <c r="F5112">
        <v>1010100</v>
      </c>
      <c r="G5112">
        <v>2284.04</v>
      </c>
    </row>
    <row r="5113" spans="5:7" x14ac:dyDescent="0.3">
      <c r="E5113" s="80">
        <v>45740</v>
      </c>
      <c r="F5113">
        <v>1010100</v>
      </c>
      <c r="G5113">
        <v>1142.02</v>
      </c>
    </row>
    <row r="5114" spans="5:7" x14ac:dyDescent="0.3">
      <c r="E5114" s="80">
        <v>45739</v>
      </c>
      <c r="F5114">
        <v>1010100</v>
      </c>
      <c r="G5114">
        <v>1142.02</v>
      </c>
    </row>
    <row r="5115" spans="5:7" x14ac:dyDescent="0.3">
      <c r="E5115" s="80">
        <v>45739</v>
      </c>
      <c r="F5115">
        <v>1010100</v>
      </c>
      <c r="G5115">
        <v>380.42</v>
      </c>
    </row>
    <row r="5116" spans="5:7" x14ac:dyDescent="0.3">
      <c r="E5116" s="80">
        <v>45739</v>
      </c>
      <c r="F5116">
        <v>1010100</v>
      </c>
      <c r="G5116">
        <v>1142.02</v>
      </c>
    </row>
    <row r="5117" spans="5:7" x14ac:dyDescent="0.3">
      <c r="E5117" s="80">
        <v>45738</v>
      </c>
      <c r="F5117">
        <v>1010100</v>
      </c>
      <c r="G5117">
        <v>1142.02</v>
      </c>
    </row>
    <row r="5118" spans="5:7" x14ac:dyDescent="0.3">
      <c r="E5118" s="80">
        <v>45738</v>
      </c>
      <c r="F5118">
        <v>1010100</v>
      </c>
      <c r="G5118">
        <v>1142.02</v>
      </c>
    </row>
    <row r="5119" spans="5:7" x14ac:dyDescent="0.3">
      <c r="E5119" s="80">
        <v>45737</v>
      </c>
      <c r="F5119">
        <v>1010100</v>
      </c>
      <c r="G5119">
        <v>1142.02</v>
      </c>
    </row>
    <row r="5120" spans="5:7" x14ac:dyDescent="0.3">
      <c r="E5120" s="80">
        <v>45737</v>
      </c>
      <c r="F5120">
        <v>1010100</v>
      </c>
      <c r="G5120">
        <v>1865.54</v>
      </c>
    </row>
    <row r="5121" spans="5:7" x14ac:dyDescent="0.3">
      <c r="E5121" s="80">
        <v>45736</v>
      </c>
      <c r="F5121">
        <v>1010100</v>
      </c>
      <c r="G5121">
        <v>1142.02</v>
      </c>
    </row>
    <row r="5122" spans="5:7" x14ac:dyDescent="0.3">
      <c r="E5122" s="80">
        <v>45736</v>
      </c>
      <c r="F5122">
        <v>1010100</v>
      </c>
      <c r="G5122">
        <v>1142.02</v>
      </c>
    </row>
    <row r="5123" spans="5:7" x14ac:dyDescent="0.3">
      <c r="E5123" s="80">
        <v>45736</v>
      </c>
      <c r="F5123">
        <v>1010100</v>
      </c>
      <c r="G5123">
        <v>1142.02</v>
      </c>
    </row>
    <row r="5124" spans="5:7" x14ac:dyDescent="0.3">
      <c r="E5124" s="80">
        <v>45736</v>
      </c>
      <c r="F5124">
        <v>1010100</v>
      </c>
      <c r="G5124">
        <v>1142.02</v>
      </c>
    </row>
    <row r="5125" spans="5:7" x14ac:dyDescent="0.3">
      <c r="E5125" s="80">
        <v>45736</v>
      </c>
      <c r="F5125">
        <v>1010100</v>
      </c>
      <c r="G5125">
        <v>1142.02</v>
      </c>
    </row>
    <row r="5126" spans="5:7" x14ac:dyDescent="0.3">
      <c r="E5126" s="80">
        <v>45735</v>
      </c>
      <c r="F5126">
        <v>1010100</v>
      </c>
      <c r="G5126">
        <v>1142.02</v>
      </c>
    </row>
    <row r="5127" spans="5:7" x14ac:dyDescent="0.3">
      <c r="E5127" s="80">
        <v>45735</v>
      </c>
      <c r="F5127">
        <v>1010100</v>
      </c>
      <c r="G5127">
        <v>1142.02</v>
      </c>
    </row>
    <row r="5128" spans="5:7" x14ac:dyDescent="0.3">
      <c r="E5128" s="80">
        <v>45735</v>
      </c>
      <c r="F5128">
        <v>1010100</v>
      </c>
      <c r="G5128">
        <v>1142.02</v>
      </c>
    </row>
    <row r="5129" spans="5:7" x14ac:dyDescent="0.3">
      <c r="E5129" s="80">
        <v>45734</v>
      </c>
      <c r="F5129">
        <v>1010100</v>
      </c>
      <c r="G5129">
        <v>827.86</v>
      </c>
    </row>
    <row r="5130" spans="5:7" x14ac:dyDescent="0.3">
      <c r="E5130" s="80">
        <v>45734</v>
      </c>
      <c r="F5130">
        <v>1010100</v>
      </c>
      <c r="G5130">
        <v>1027.82</v>
      </c>
    </row>
    <row r="5131" spans="5:7" x14ac:dyDescent="0.3">
      <c r="E5131" s="80">
        <v>45734</v>
      </c>
      <c r="F5131">
        <v>1010100</v>
      </c>
      <c r="G5131">
        <v>1142.02</v>
      </c>
    </row>
    <row r="5132" spans="5:7" x14ac:dyDescent="0.3">
      <c r="E5132" s="80">
        <v>45734</v>
      </c>
      <c r="F5132">
        <v>1010100</v>
      </c>
      <c r="G5132">
        <v>1142.02</v>
      </c>
    </row>
    <row r="5133" spans="5:7" x14ac:dyDescent="0.3">
      <c r="E5133" s="80">
        <v>45734</v>
      </c>
      <c r="F5133">
        <v>1010100</v>
      </c>
      <c r="G5133">
        <v>1142.02</v>
      </c>
    </row>
    <row r="5134" spans="5:7" x14ac:dyDescent="0.3">
      <c r="E5134" s="80">
        <v>45733</v>
      </c>
      <c r="F5134">
        <v>1010100</v>
      </c>
      <c r="G5134">
        <v>1142.02</v>
      </c>
    </row>
    <row r="5135" spans="5:7" x14ac:dyDescent="0.3">
      <c r="E5135" s="80">
        <v>45733</v>
      </c>
      <c r="F5135">
        <v>1010100</v>
      </c>
      <c r="G5135">
        <v>1142.02</v>
      </c>
    </row>
    <row r="5136" spans="5:7" x14ac:dyDescent="0.3">
      <c r="E5136" s="80">
        <v>45733</v>
      </c>
      <c r="F5136">
        <v>1010100</v>
      </c>
      <c r="G5136">
        <v>1142.02</v>
      </c>
    </row>
    <row r="5137" spans="5:7" x14ac:dyDescent="0.3">
      <c r="E5137" s="80">
        <v>45733</v>
      </c>
      <c r="F5137">
        <v>1010100</v>
      </c>
      <c r="G5137">
        <v>1142.02</v>
      </c>
    </row>
    <row r="5138" spans="5:7" x14ac:dyDescent="0.3">
      <c r="E5138" s="80">
        <v>45733</v>
      </c>
      <c r="F5138">
        <v>1010100</v>
      </c>
      <c r="G5138">
        <v>1027.82</v>
      </c>
    </row>
    <row r="5139" spans="5:7" x14ac:dyDescent="0.3">
      <c r="E5139" s="80">
        <v>45733</v>
      </c>
      <c r="F5139">
        <v>1010100</v>
      </c>
      <c r="G5139">
        <v>1142.02</v>
      </c>
    </row>
    <row r="5140" spans="5:7" x14ac:dyDescent="0.3">
      <c r="E5140" s="80">
        <v>45733</v>
      </c>
      <c r="F5140">
        <v>1010100</v>
      </c>
      <c r="G5140">
        <v>1142.02</v>
      </c>
    </row>
    <row r="5141" spans="5:7" x14ac:dyDescent="0.3">
      <c r="E5141" s="80">
        <v>45733</v>
      </c>
      <c r="F5141">
        <v>1010100</v>
      </c>
      <c r="G5141">
        <v>1142.02</v>
      </c>
    </row>
    <row r="5142" spans="5:7" x14ac:dyDescent="0.3">
      <c r="E5142" s="80">
        <v>45732</v>
      </c>
      <c r="F5142">
        <v>1010100</v>
      </c>
      <c r="G5142">
        <v>1142.02</v>
      </c>
    </row>
    <row r="5143" spans="5:7" x14ac:dyDescent="0.3">
      <c r="E5143" s="80">
        <v>45732</v>
      </c>
      <c r="F5143">
        <v>1010100</v>
      </c>
      <c r="G5143">
        <v>1142.02</v>
      </c>
    </row>
    <row r="5144" spans="5:7" x14ac:dyDescent="0.3">
      <c r="E5144" s="80">
        <v>45731</v>
      </c>
      <c r="F5144">
        <v>1010100</v>
      </c>
      <c r="G5144">
        <v>1027.82</v>
      </c>
    </row>
    <row r="5145" spans="5:7" x14ac:dyDescent="0.3">
      <c r="E5145" s="80">
        <v>45731</v>
      </c>
      <c r="F5145">
        <v>1010100</v>
      </c>
      <c r="G5145">
        <v>342.38</v>
      </c>
    </row>
    <row r="5146" spans="5:7" x14ac:dyDescent="0.3">
      <c r="E5146" s="80">
        <v>45731</v>
      </c>
      <c r="F5146">
        <v>1010100</v>
      </c>
      <c r="G5146">
        <v>1142.02</v>
      </c>
    </row>
    <row r="5147" spans="5:7" x14ac:dyDescent="0.3">
      <c r="E5147" s="80">
        <v>45730</v>
      </c>
      <c r="F5147">
        <v>1010100</v>
      </c>
      <c r="G5147">
        <v>1142.02</v>
      </c>
    </row>
    <row r="5148" spans="5:7" x14ac:dyDescent="0.3">
      <c r="E5148" s="80">
        <v>45730</v>
      </c>
      <c r="F5148">
        <v>1010100</v>
      </c>
      <c r="G5148">
        <v>1027.82</v>
      </c>
    </row>
    <row r="5149" spans="5:7" x14ac:dyDescent="0.3">
      <c r="E5149" s="80">
        <v>45730</v>
      </c>
      <c r="F5149">
        <v>1010100</v>
      </c>
      <c r="G5149">
        <v>1142.02</v>
      </c>
    </row>
    <row r="5150" spans="5:7" x14ac:dyDescent="0.3">
      <c r="E5150" s="80">
        <v>45729</v>
      </c>
      <c r="F5150">
        <v>1010100</v>
      </c>
      <c r="G5150">
        <v>1142.02</v>
      </c>
    </row>
    <row r="5151" spans="5:7" x14ac:dyDescent="0.3">
      <c r="E5151" s="80">
        <v>45728</v>
      </c>
      <c r="F5151">
        <v>1010100</v>
      </c>
      <c r="G5151">
        <v>1142.02</v>
      </c>
    </row>
    <row r="5152" spans="5:7" x14ac:dyDescent="0.3">
      <c r="E5152" s="80">
        <v>45728</v>
      </c>
      <c r="F5152">
        <v>1010100</v>
      </c>
      <c r="G5152">
        <v>1142.02</v>
      </c>
    </row>
    <row r="5153" spans="5:7" x14ac:dyDescent="0.3">
      <c r="E5153" s="80">
        <v>45727</v>
      </c>
      <c r="F5153">
        <v>1010100</v>
      </c>
      <c r="G5153">
        <v>1027.82</v>
      </c>
    </row>
    <row r="5154" spans="5:7" x14ac:dyDescent="0.3">
      <c r="E5154" s="80">
        <v>45727</v>
      </c>
      <c r="F5154">
        <v>1010100</v>
      </c>
      <c r="G5154">
        <v>1027.82</v>
      </c>
    </row>
    <row r="5155" spans="5:7" x14ac:dyDescent="0.3">
      <c r="E5155" s="80">
        <v>45727</v>
      </c>
      <c r="F5155">
        <v>1010100</v>
      </c>
      <c r="G5155">
        <v>1655.72</v>
      </c>
    </row>
    <row r="5156" spans="5:7" x14ac:dyDescent="0.3">
      <c r="E5156" s="80">
        <v>45727</v>
      </c>
      <c r="F5156">
        <v>1010100</v>
      </c>
      <c r="G5156">
        <v>1027.82</v>
      </c>
    </row>
    <row r="5157" spans="5:7" x14ac:dyDescent="0.3">
      <c r="E5157" s="80">
        <v>45727</v>
      </c>
      <c r="F5157">
        <v>1010100</v>
      </c>
      <c r="G5157">
        <v>2284.04</v>
      </c>
    </row>
    <row r="5158" spans="5:7" x14ac:dyDescent="0.3">
      <c r="E5158" s="80">
        <v>45726</v>
      </c>
      <c r="F5158">
        <v>1010100</v>
      </c>
      <c r="G5158">
        <v>827.86</v>
      </c>
    </row>
    <row r="5159" spans="5:7" x14ac:dyDescent="0.3">
      <c r="E5159" s="80">
        <v>45726</v>
      </c>
      <c r="F5159">
        <v>1010100</v>
      </c>
      <c r="G5159">
        <v>1142.02</v>
      </c>
    </row>
    <row r="5160" spans="5:7" x14ac:dyDescent="0.3">
      <c r="E5160" s="80">
        <v>45726</v>
      </c>
      <c r="F5160">
        <v>1010100</v>
      </c>
      <c r="G5160">
        <v>1142.02</v>
      </c>
    </row>
    <row r="5161" spans="5:7" x14ac:dyDescent="0.3">
      <c r="E5161" s="80">
        <v>45726</v>
      </c>
      <c r="F5161">
        <v>1010100</v>
      </c>
      <c r="G5161">
        <v>1142.02</v>
      </c>
    </row>
    <row r="5162" spans="5:7" x14ac:dyDescent="0.3">
      <c r="E5162" s="80">
        <v>45726</v>
      </c>
      <c r="F5162">
        <v>1010100</v>
      </c>
      <c r="G5162">
        <v>1142.02</v>
      </c>
    </row>
    <row r="5163" spans="5:7" x14ac:dyDescent="0.3">
      <c r="E5163" s="80">
        <v>45725</v>
      </c>
      <c r="F5163">
        <v>1010100</v>
      </c>
      <c r="G5163">
        <v>1142.02</v>
      </c>
    </row>
    <row r="5164" spans="5:7" x14ac:dyDescent="0.3">
      <c r="E5164" s="80">
        <v>45725</v>
      </c>
      <c r="F5164">
        <v>1010100</v>
      </c>
      <c r="G5164">
        <v>1142.02</v>
      </c>
    </row>
    <row r="5165" spans="5:7" x14ac:dyDescent="0.3">
      <c r="E5165" s="80">
        <v>45725</v>
      </c>
      <c r="F5165">
        <v>1010100</v>
      </c>
      <c r="G5165">
        <v>1142.02</v>
      </c>
    </row>
    <row r="5166" spans="5:7" x14ac:dyDescent="0.3">
      <c r="E5166" s="80">
        <v>45725</v>
      </c>
      <c r="F5166">
        <v>1010100</v>
      </c>
      <c r="G5166">
        <v>380.42</v>
      </c>
    </row>
    <row r="5167" spans="5:7" x14ac:dyDescent="0.3">
      <c r="E5167" s="80">
        <v>45725</v>
      </c>
      <c r="F5167">
        <v>1010100</v>
      </c>
      <c r="G5167">
        <v>1142.02</v>
      </c>
    </row>
    <row r="5168" spans="5:7" x14ac:dyDescent="0.3">
      <c r="E5168" s="80">
        <v>45725</v>
      </c>
      <c r="F5168">
        <v>1010100</v>
      </c>
      <c r="G5168">
        <v>1142.02</v>
      </c>
    </row>
    <row r="5169" spans="5:7" x14ac:dyDescent="0.3">
      <c r="E5169" s="80">
        <v>45725</v>
      </c>
      <c r="F5169">
        <v>1010100</v>
      </c>
      <c r="G5169">
        <v>1142.02</v>
      </c>
    </row>
    <row r="5170" spans="5:7" x14ac:dyDescent="0.3">
      <c r="E5170" s="80">
        <v>45725</v>
      </c>
      <c r="F5170">
        <v>1010100</v>
      </c>
      <c r="G5170">
        <v>1142.02</v>
      </c>
    </row>
    <row r="5171" spans="5:7" x14ac:dyDescent="0.3">
      <c r="E5171" s="80">
        <v>45725</v>
      </c>
      <c r="F5171">
        <v>1010100</v>
      </c>
      <c r="G5171">
        <v>1142.02</v>
      </c>
    </row>
    <row r="5172" spans="5:7" x14ac:dyDescent="0.3">
      <c r="E5172" s="80">
        <v>45725</v>
      </c>
      <c r="F5172">
        <v>1010100</v>
      </c>
      <c r="G5172">
        <v>1142.02</v>
      </c>
    </row>
    <row r="5173" spans="5:7" x14ac:dyDescent="0.3">
      <c r="E5173" s="80">
        <v>45724</v>
      </c>
      <c r="F5173">
        <v>1010100</v>
      </c>
      <c r="G5173">
        <v>1142.02</v>
      </c>
    </row>
    <row r="5174" spans="5:7" x14ac:dyDescent="0.3">
      <c r="E5174" s="80">
        <v>45724</v>
      </c>
      <c r="F5174">
        <v>1010100</v>
      </c>
      <c r="G5174">
        <v>1142.02</v>
      </c>
    </row>
    <row r="5175" spans="5:7" x14ac:dyDescent="0.3">
      <c r="E5175" s="80">
        <v>45723</v>
      </c>
      <c r="F5175">
        <v>1010100</v>
      </c>
      <c r="G5175">
        <v>1142.02</v>
      </c>
    </row>
    <row r="5176" spans="5:7" x14ac:dyDescent="0.3">
      <c r="E5176" s="80">
        <v>45723</v>
      </c>
      <c r="F5176">
        <v>1010100</v>
      </c>
      <c r="G5176">
        <v>1027.82</v>
      </c>
    </row>
    <row r="5177" spans="5:7" x14ac:dyDescent="0.3">
      <c r="E5177" s="80">
        <v>45723</v>
      </c>
      <c r="F5177">
        <v>1010100</v>
      </c>
      <c r="G5177">
        <v>1142.02</v>
      </c>
    </row>
    <row r="5178" spans="5:7" x14ac:dyDescent="0.3">
      <c r="E5178" s="80">
        <v>45723</v>
      </c>
      <c r="F5178">
        <v>1010100</v>
      </c>
      <c r="G5178">
        <v>1142.02</v>
      </c>
    </row>
    <row r="5179" spans="5:7" x14ac:dyDescent="0.3">
      <c r="E5179" s="80">
        <v>45722</v>
      </c>
      <c r="F5179">
        <v>1010100</v>
      </c>
      <c r="G5179">
        <v>1142.02</v>
      </c>
    </row>
    <row r="5180" spans="5:7" x14ac:dyDescent="0.3">
      <c r="E5180" s="80">
        <v>45722</v>
      </c>
      <c r="F5180">
        <v>1010100</v>
      </c>
      <c r="G5180">
        <v>1142.02</v>
      </c>
    </row>
    <row r="5181" spans="5:7" x14ac:dyDescent="0.3">
      <c r="E5181" s="80">
        <v>45722</v>
      </c>
      <c r="F5181">
        <v>1010100</v>
      </c>
      <c r="G5181">
        <v>1142.02</v>
      </c>
    </row>
    <row r="5182" spans="5:7" x14ac:dyDescent="0.3">
      <c r="E5182" s="80">
        <v>45722</v>
      </c>
      <c r="F5182">
        <v>1010100</v>
      </c>
      <c r="G5182">
        <v>1142.02</v>
      </c>
    </row>
    <row r="5183" spans="5:7" x14ac:dyDescent="0.3">
      <c r="E5183" s="80">
        <v>45721</v>
      </c>
      <c r="F5183">
        <v>1010100</v>
      </c>
      <c r="G5183">
        <v>1142.02</v>
      </c>
    </row>
    <row r="5184" spans="5:7" x14ac:dyDescent="0.3">
      <c r="E5184" s="80">
        <v>45721</v>
      </c>
      <c r="F5184">
        <v>1010100</v>
      </c>
      <c r="G5184">
        <v>1142.02</v>
      </c>
    </row>
    <row r="5185" spans="5:7" x14ac:dyDescent="0.3">
      <c r="E5185" s="80">
        <v>45721</v>
      </c>
      <c r="F5185">
        <v>1010100</v>
      </c>
      <c r="G5185">
        <v>1142.02</v>
      </c>
    </row>
    <row r="5186" spans="5:7" x14ac:dyDescent="0.3">
      <c r="E5186" s="80">
        <v>45720</v>
      </c>
      <c r="F5186">
        <v>1010100</v>
      </c>
      <c r="G5186">
        <v>1142.02</v>
      </c>
    </row>
    <row r="5187" spans="5:7" x14ac:dyDescent="0.3">
      <c r="E5187" s="80">
        <v>45720</v>
      </c>
      <c r="F5187">
        <v>1010100</v>
      </c>
      <c r="G5187">
        <v>1142.02</v>
      </c>
    </row>
    <row r="5188" spans="5:7" x14ac:dyDescent="0.3">
      <c r="E5188" s="80">
        <v>45720</v>
      </c>
      <c r="F5188">
        <v>1010100</v>
      </c>
      <c r="G5188">
        <v>827.86</v>
      </c>
    </row>
    <row r="5189" spans="5:7" x14ac:dyDescent="0.3">
      <c r="E5189" s="80">
        <v>45720</v>
      </c>
      <c r="F5189">
        <v>1010100</v>
      </c>
      <c r="G5189">
        <v>1142.02</v>
      </c>
    </row>
    <row r="5190" spans="5:7" x14ac:dyDescent="0.3">
      <c r="E5190" s="80">
        <v>45719</v>
      </c>
      <c r="F5190">
        <v>1010100</v>
      </c>
      <c r="G5190">
        <v>1142.02</v>
      </c>
    </row>
    <row r="5191" spans="5:7" x14ac:dyDescent="0.3">
      <c r="E5191" s="80">
        <v>45719</v>
      </c>
      <c r="F5191">
        <v>1010100</v>
      </c>
      <c r="G5191">
        <v>2284.04</v>
      </c>
    </row>
    <row r="5192" spans="5:7" x14ac:dyDescent="0.3">
      <c r="E5192" s="80">
        <v>45719</v>
      </c>
      <c r="F5192">
        <v>1010100</v>
      </c>
      <c r="G5192">
        <v>1142.02</v>
      </c>
    </row>
    <row r="5193" spans="5:7" x14ac:dyDescent="0.3">
      <c r="E5193" s="80">
        <v>45719</v>
      </c>
      <c r="F5193">
        <v>1010100</v>
      </c>
      <c r="G5193">
        <v>1142.02</v>
      </c>
    </row>
    <row r="5194" spans="5:7" x14ac:dyDescent="0.3">
      <c r="E5194" s="80">
        <v>45718</v>
      </c>
      <c r="F5194">
        <v>1010100</v>
      </c>
      <c r="G5194">
        <v>1142.02</v>
      </c>
    </row>
    <row r="5195" spans="5:7" x14ac:dyDescent="0.3">
      <c r="E5195" s="80">
        <v>45718</v>
      </c>
      <c r="F5195">
        <v>1010100</v>
      </c>
      <c r="G5195">
        <v>1142.02</v>
      </c>
    </row>
    <row r="5196" spans="5:7" x14ac:dyDescent="0.3">
      <c r="E5196" s="80">
        <v>45718</v>
      </c>
      <c r="F5196">
        <v>1010100</v>
      </c>
      <c r="G5196">
        <v>1142.02</v>
      </c>
    </row>
    <row r="5197" spans="5:7" x14ac:dyDescent="0.3">
      <c r="E5197" s="80">
        <v>45718</v>
      </c>
      <c r="F5197">
        <v>1010100</v>
      </c>
      <c r="G5197">
        <v>827.86</v>
      </c>
    </row>
    <row r="5198" spans="5:7" x14ac:dyDescent="0.3">
      <c r="E5198" s="80">
        <v>45718</v>
      </c>
      <c r="F5198">
        <v>1010100</v>
      </c>
      <c r="G5198">
        <v>1142.02</v>
      </c>
    </row>
    <row r="5199" spans="5:7" x14ac:dyDescent="0.3">
      <c r="E5199" s="80">
        <v>45718</v>
      </c>
      <c r="F5199">
        <v>1010100</v>
      </c>
      <c r="G5199">
        <v>1142.02</v>
      </c>
    </row>
    <row r="5200" spans="5:7" x14ac:dyDescent="0.3">
      <c r="E5200" s="80">
        <v>45718</v>
      </c>
      <c r="F5200">
        <v>1010100</v>
      </c>
      <c r="G5200">
        <v>827.86</v>
      </c>
    </row>
    <row r="5201" spans="5:7" x14ac:dyDescent="0.3">
      <c r="E5201" s="80">
        <v>45718</v>
      </c>
      <c r="F5201">
        <v>1010100</v>
      </c>
      <c r="G5201">
        <v>1142.02</v>
      </c>
    </row>
    <row r="5202" spans="5:7" x14ac:dyDescent="0.3">
      <c r="E5202" s="80">
        <v>45718</v>
      </c>
      <c r="F5202">
        <v>1010100</v>
      </c>
      <c r="G5202">
        <v>342.38</v>
      </c>
    </row>
    <row r="5203" spans="5:7" x14ac:dyDescent="0.3">
      <c r="E5203" s="80">
        <v>45718</v>
      </c>
      <c r="F5203">
        <v>1010100</v>
      </c>
      <c r="G5203">
        <v>1027.82</v>
      </c>
    </row>
    <row r="5204" spans="5:7" x14ac:dyDescent="0.3">
      <c r="E5204" s="80">
        <v>45717</v>
      </c>
      <c r="F5204">
        <v>1010100</v>
      </c>
      <c r="G5204">
        <v>1142.02</v>
      </c>
    </row>
    <row r="5205" spans="5:7" x14ac:dyDescent="0.3">
      <c r="E5205" s="80">
        <v>45717</v>
      </c>
      <c r="F5205">
        <v>1010100</v>
      </c>
      <c r="G5205">
        <v>1142.02</v>
      </c>
    </row>
    <row r="5206" spans="5:7" x14ac:dyDescent="0.3">
      <c r="E5206" s="80">
        <v>45717</v>
      </c>
      <c r="F5206">
        <v>1010100</v>
      </c>
      <c r="G5206">
        <v>1142.02</v>
      </c>
    </row>
    <row r="5207" spans="5:7" x14ac:dyDescent="0.3">
      <c r="E5207" s="80">
        <v>45717</v>
      </c>
      <c r="F5207">
        <v>1010100</v>
      </c>
      <c r="G5207">
        <v>1142.02</v>
      </c>
    </row>
    <row r="5208" spans="5:7" x14ac:dyDescent="0.3">
      <c r="E5208" s="80">
        <v>45717</v>
      </c>
      <c r="F5208">
        <v>1010100</v>
      </c>
      <c r="G5208">
        <v>1142.02</v>
      </c>
    </row>
    <row r="5209" spans="5:7" x14ac:dyDescent="0.3">
      <c r="E5209" s="80">
        <v>45717</v>
      </c>
      <c r="F5209">
        <v>1010100</v>
      </c>
      <c r="G5209">
        <v>1142.02</v>
      </c>
    </row>
    <row r="5210" spans="5:7" x14ac:dyDescent="0.3">
      <c r="E5210" s="80">
        <v>45717</v>
      </c>
      <c r="F5210">
        <v>1010100</v>
      </c>
      <c r="G5210">
        <v>1142.02</v>
      </c>
    </row>
    <row r="5211" spans="5:7" x14ac:dyDescent="0.3">
      <c r="E5211" s="80">
        <v>45717</v>
      </c>
      <c r="F5211">
        <v>1010100</v>
      </c>
      <c r="G5211">
        <v>1142.02</v>
      </c>
    </row>
    <row r="5212" spans="5:7" x14ac:dyDescent="0.3">
      <c r="E5212" s="80">
        <v>45716</v>
      </c>
      <c r="F5212">
        <v>1010100</v>
      </c>
      <c r="G5212">
        <v>1142.02</v>
      </c>
    </row>
    <row r="5213" spans="5:7" x14ac:dyDescent="0.3">
      <c r="E5213" s="80">
        <v>45716</v>
      </c>
      <c r="F5213">
        <v>1010100</v>
      </c>
      <c r="G5213">
        <v>1142.02</v>
      </c>
    </row>
    <row r="5214" spans="5:7" x14ac:dyDescent="0.3">
      <c r="E5214" s="80">
        <v>45716</v>
      </c>
      <c r="F5214">
        <v>1010100</v>
      </c>
      <c r="G5214">
        <v>827.86</v>
      </c>
    </row>
    <row r="5215" spans="5:7" x14ac:dyDescent="0.3">
      <c r="E5215" s="80">
        <v>45716</v>
      </c>
      <c r="F5215">
        <v>1010100</v>
      </c>
      <c r="G5215">
        <v>1142.02</v>
      </c>
    </row>
    <row r="5216" spans="5:7" x14ac:dyDescent="0.3">
      <c r="E5216" s="80">
        <v>45716</v>
      </c>
      <c r="F5216">
        <v>1010100</v>
      </c>
      <c r="G5216">
        <v>1142.02</v>
      </c>
    </row>
    <row r="5217" spans="5:7" x14ac:dyDescent="0.3">
      <c r="E5217" s="80">
        <v>45716</v>
      </c>
      <c r="F5217">
        <v>1010100</v>
      </c>
      <c r="G5217">
        <v>380.42</v>
      </c>
    </row>
    <row r="5218" spans="5:7" x14ac:dyDescent="0.3">
      <c r="E5218" s="80">
        <v>45716</v>
      </c>
      <c r="F5218">
        <v>1010100</v>
      </c>
      <c r="G5218">
        <v>1142.02</v>
      </c>
    </row>
    <row r="5219" spans="5:7" x14ac:dyDescent="0.3">
      <c r="E5219" s="80">
        <v>45716</v>
      </c>
      <c r="F5219">
        <v>1010100</v>
      </c>
      <c r="G5219">
        <v>1142.02</v>
      </c>
    </row>
    <row r="5220" spans="5:7" x14ac:dyDescent="0.3">
      <c r="E5220" s="80">
        <v>45715</v>
      </c>
      <c r="F5220">
        <v>1010100</v>
      </c>
      <c r="G5220">
        <v>827.86</v>
      </c>
    </row>
    <row r="5221" spans="5:7" x14ac:dyDescent="0.3">
      <c r="E5221" s="80">
        <v>45715</v>
      </c>
      <c r="F5221">
        <v>1010100</v>
      </c>
      <c r="G5221">
        <v>1142.02</v>
      </c>
    </row>
    <row r="5222" spans="5:7" x14ac:dyDescent="0.3">
      <c r="E5222" s="80">
        <v>45715</v>
      </c>
      <c r="F5222">
        <v>1010100</v>
      </c>
      <c r="G5222">
        <v>1142.02</v>
      </c>
    </row>
    <row r="5223" spans="5:7" x14ac:dyDescent="0.3">
      <c r="E5223" s="80">
        <v>45715</v>
      </c>
      <c r="F5223">
        <v>1010100</v>
      </c>
      <c r="G5223">
        <v>1142.02</v>
      </c>
    </row>
    <row r="5224" spans="5:7" x14ac:dyDescent="0.3">
      <c r="E5224" s="80">
        <v>45714</v>
      </c>
      <c r="F5224">
        <v>1010100</v>
      </c>
      <c r="G5224">
        <v>1142.02</v>
      </c>
    </row>
    <row r="5225" spans="5:7" x14ac:dyDescent="0.3">
      <c r="E5225" s="80">
        <v>45714</v>
      </c>
      <c r="F5225">
        <v>1010100</v>
      </c>
      <c r="G5225">
        <v>380.42</v>
      </c>
    </row>
    <row r="5226" spans="5:7" x14ac:dyDescent="0.3">
      <c r="E5226" s="80">
        <v>45714</v>
      </c>
      <c r="F5226">
        <v>1010100</v>
      </c>
      <c r="G5226">
        <v>1142.02</v>
      </c>
    </row>
    <row r="5227" spans="5:7" x14ac:dyDescent="0.3">
      <c r="E5227" s="80">
        <v>45714</v>
      </c>
      <c r="F5227">
        <v>1010100</v>
      </c>
      <c r="G5227">
        <v>1142.02</v>
      </c>
    </row>
    <row r="5228" spans="5:7" x14ac:dyDescent="0.3">
      <c r="E5228" s="80">
        <v>45713</v>
      </c>
      <c r="F5228">
        <v>1010100</v>
      </c>
      <c r="G5228">
        <v>1142.02</v>
      </c>
    </row>
    <row r="5229" spans="5:7" x14ac:dyDescent="0.3">
      <c r="E5229" s="80">
        <v>45713</v>
      </c>
      <c r="F5229">
        <v>1010100</v>
      </c>
      <c r="G5229">
        <v>1142.02</v>
      </c>
    </row>
    <row r="5230" spans="5:7" x14ac:dyDescent="0.3">
      <c r="E5230" s="80">
        <v>45713</v>
      </c>
      <c r="F5230">
        <v>1010100</v>
      </c>
      <c r="G5230">
        <v>1142.02</v>
      </c>
    </row>
    <row r="5231" spans="5:7" x14ac:dyDescent="0.3">
      <c r="E5231" s="80">
        <v>45713</v>
      </c>
      <c r="F5231">
        <v>1010100</v>
      </c>
      <c r="G5231">
        <v>1142.02</v>
      </c>
    </row>
    <row r="5232" spans="5:7" x14ac:dyDescent="0.3">
      <c r="E5232" s="80">
        <v>45712</v>
      </c>
      <c r="F5232">
        <v>1010100</v>
      </c>
      <c r="G5232">
        <v>1142.02</v>
      </c>
    </row>
    <row r="5233" spans="5:7" x14ac:dyDescent="0.3">
      <c r="E5233" s="80">
        <v>45712</v>
      </c>
      <c r="F5233">
        <v>1010100</v>
      </c>
      <c r="G5233">
        <v>1142.02</v>
      </c>
    </row>
    <row r="5234" spans="5:7" x14ac:dyDescent="0.3">
      <c r="E5234" s="80">
        <v>45712</v>
      </c>
      <c r="F5234">
        <v>1010100</v>
      </c>
      <c r="G5234">
        <v>1027.82</v>
      </c>
    </row>
    <row r="5235" spans="5:7" x14ac:dyDescent="0.3">
      <c r="E5235" s="80">
        <v>45712</v>
      </c>
      <c r="F5235">
        <v>1010100</v>
      </c>
      <c r="G5235">
        <v>837.38</v>
      </c>
    </row>
    <row r="5236" spans="5:7" x14ac:dyDescent="0.3">
      <c r="E5236" s="80">
        <v>45712</v>
      </c>
      <c r="F5236">
        <v>1010100</v>
      </c>
      <c r="G5236">
        <v>1142.02</v>
      </c>
    </row>
    <row r="5237" spans="5:7" x14ac:dyDescent="0.3">
      <c r="E5237" s="80">
        <v>45711</v>
      </c>
      <c r="F5237">
        <v>1010100</v>
      </c>
      <c r="G5237">
        <v>1142.02</v>
      </c>
    </row>
    <row r="5238" spans="5:7" x14ac:dyDescent="0.3">
      <c r="E5238" s="80">
        <v>45711</v>
      </c>
      <c r="F5238">
        <v>1010100</v>
      </c>
      <c r="G5238">
        <v>1142.02</v>
      </c>
    </row>
    <row r="5239" spans="5:7" x14ac:dyDescent="0.3">
      <c r="E5239" s="80">
        <v>45710</v>
      </c>
      <c r="F5239">
        <v>1010100</v>
      </c>
      <c r="G5239">
        <v>1142.02</v>
      </c>
    </row>
    <row r="5240" spans="5:7" x14ac:dyDescent="0.3">
      <c r="E5240" s="80">
        <v>45710</v>
      </c>
      <c r="F5240">
        <v>1010100</v>
      </c>
      <c r="G5240">
        <v>1142.02</v>
      </c>
    </row>
    <row r="5241" spans="5:7" x14ac:dyDescent="0.3">
      <c r="E5241" s="80">
        <v>45710</v>
      </c>
      <c r="F5241">
        <v>1010100</v>
      </c>
      <c r="G5241">
        <v>1142.02</v>
      </c>
    </row>
    <row r="5242" spans="5:7" x14ac:dyDescent="0.3">
      <c r="E5242" s="80">
        <v>45710</v>
      </c>
      <c r="F5242">
        <v>1010100</v>
      </c>
      <c r="G5242">
        <v>1142.02</v>
      </c>
    </row>
    <row r="5243" spans="5:7" x14ac:dyDescent="0.3">
      <c r="E5243" s="80">
        <v>45710</v>
      </c>
      <c r="F5243">
        <v>1010100</v>
      </c>
      <c r="G5243">
        <v>1142.02</v>
      </c>
    </row>
    <row r="5244" spans="5:7" x14ac:dyDescent="0.3">
      <c r="E5244" s="80">
        <v>45710</v>
      </c>
      <c r="F5244">
        <v>1010100</v>
      </c>
      <c r="G5244">
        <v>1142.02</v>
      </c>
    </row>
    <row r="5245" spans="5:7" x14ac:dyDescent="0.3">
      <c r="E5245" s="80">
        <v>45710</v>
      </c>
      <c r="F5245">
        <v>1010100</v>
      </c>
      <c r="G5245">
        <v>1142.02</v>
      </c>
    </row>
    <row r="5246" spans="5:7" x14ac:dyDescent="0.3">
      <c r="E5246" s="80">
        <v>45710</v>
      </c>
      <c r="F5246">
        <v>1010100</v>
      </c>
      <c r="G5246">
        <v>1142.02</v>
      </c>
    </row>
    <row r="5247" spans="5:7" x14ac:dyDescent="0.3">
      <c r="E5247" s="80">
        <v>45710</v>
      </c>
      <c r="F5247">
        <v>1010100</v>
      </c>
      <c r="G5247">
        <v>1027.82</v>
      </c>
    </row>
    <row r="5248" spans="5:7" x14ac:dyDescent="0.3">
      <c r="E5248" s="80">
        <v>45710</v>
      </c>
      <c r="F5248">
        <v>1010100</v>
      </c>
      <c r="G5248">
        <v>1142.02</v>
      </c>
    </row>
    <row r="5249" spans="5:7" x14ac:dyDescent="0.3">
      <c r="E5249" s="80">
        <v>45709</v>
      </c>
      <c r="F5249">
        <v>1010100</v>
      </c>
      <c r="G5249">
        <v>1142.02</v>
      </c>
    </row>
    <row r="5250" spans="5:7" x14ac:dyDescent="0.3">
      <c r="E5250" s="80">
        <v>45709</v>
      </c>
      <c r="F5250">
        <v>1010100</v>
      </c>
      <c r="G5250">
        <v>1142.02</v>
      </c>
    </row>
    <row r="5251" spans="5:7" x14ac:dyDescent="0.3">
      <c r="E5251" s="80">
        <v>45709</v>
      </c>
      <c r="F5251">
        <v>1010100</v>
      </c>
      <c r="G5251">
        <v>380.42</v>
      </c>
    </row>
    <row r="5252" spans="5:7" x14ac:dyDescent="0.3">
      <c r="E5252" s="80">
        <v>45709</v>
      </c>
      <c r="F5252">
        <v>1010100</v>
      </c>
      <c r="G5252">
        <v>1142.02</v>
      </c>
    </row>
    <row r="5253" spans="5:7" x14ac:dyDescent="0.3">
      <c r="E5253" s="80">
        <v>45709</v>
      </c>
      <c r="F5253">
        <v>1010100</v>
      </c>
      <c r="G5253">
        <v>1142.02</v>
      </c>
    </row>
    <row r="5254" spans="5:7" x14ac:dyDescent="0.3">
      <c r="E5254" s="80">
        <v>45709</v>
      </c>
      <c r="F5254">
        <v>1010100</v>
      </c>
      <c r="G5254">
        <v>1142.02</v>
      </c>
    </row>
    <row r="5255" spans="5:7" x14ac:dyDescent="0.3">
      <c r="E5255" s="80">
        <v>45709</v>
      </c>
      <c r="F5255">
        <v>1010100</v>
      </c>
      <c r="G5255">
        <v>1142.02</v>
      </c>
    </row>
    <row r="5256" spans="5:7" x14ac:dyDescent="0.3">
      <c r="E5256" s="80">
        <v>45709</v>
      </c>
      <c r="F5256">
        <v>1010100</v>
      </c>
      <c r="G5256">
        <v>1142.02</v>
      </c>
    </row>
    <row r="5257" spans="5:7" x14ac:dyDescent="0.3">
      <c r="E5257" s="80">
        <v>45709</v>
      </c>
      <c r="F5257">
        <v>1010100</v>
      </c>
      <c r="G5257">
        <v>1142.02</v>
      </c>
    </row>
    <row r="5258" spans="5:7" x14ac:dyDescent="0.3">
      <c r="E5258" s="80">
        <v>45709</v>
      </c>
      <c r="F5258">
        <v>1010100</v>
      </c>
      <c r="G5258">
        <v>1142.02</v>
      </c>
    </row>
    <row r="5259" spans="5:7" x14ac:dyDescent="0.3">
      <c r="E5259" s="80">
        <v>45709</v>
      </c>
      <c r="F5259">
        <v>1010100</v>
      </c>
      <c r="G5259">
        <v>1142.02</v>
      </c>
    </row>
    <row r="5260" spans="5:7" x14ac:dyDescent="0.3">
      <c r="E5260" s="80">
        <v>45709</v>
      </c>
      <c r="F5260">
        <v>1010100</v>
      </c>
      <c r="G5260">
        <v>1142.02</v>
      </c>
    </row>
    <row r="5261" spans="5:7" x14ac:dyDescent="0.3">
      <c r="E5261" s="80">
        <v>45708</v>
      </c>
      <c r="F5261">
        <v>1010100</v>
      </c>
      <c r="G5261">
        <v>1142.02</v>
      </c>
    </row>
    <row r="5262" spans="5:7" x14ac:dyDescent="0.3">
      <c r="E5262" s="80">
        <v>45708</v>
      </c>
      <c r="F5262">
        <v>1010100</v>
      </c>
      <c r="G5262">
        <v>1142.02</v>
      </c>
    </row>
    <row r="5263" spans="5:7" x14ac:dyDescent="0.3">
      <c r="E5263" s="80">
        <v>45708</v>
      </c>
      <c r="F5263">
        <v>1010100</v>
      </c>
      <c r="G5263">
        <v>1142.02</v>
      </c>
    </row>
    <row r="5264" spans="5:7" x14ac:dyDescent="0.3">
      <c r="E5264" s="80">
        <v>45708</v>
      </c>
      <c r="F5264">
        <v>1010100</v>
      </c>
      <c r="G5264">
        <v>837.38</v>
      </c>
    </row>
    <row r="5265" spans="5:7" x14ac:dyDescent="0.3">
      <c r="E5265" s="80">
        <v>45708</v>
      </c>
      <c r="F5265">
        <v>1010100</v>
      </c>
      <c r="G5265">
        <v>1142.02</v>
      </c>
    </row>
    <row r="5266" spans="5:7" x14ac:dyDescent="0.3">
      <c r="E5266" s="80">
        <v>45708</v>
      </c>
      <c r="F5266">
        <v>1010100</v>
      </c>
      <c r="G5266">
        <v>951.62</v>
      </c>
    </row>
    <row r="5267" spans="5:7" x14ac:dyDescent="0.3">
      <c r="E5267" s="80">
        <v>45708</v>
      </c>
      <c r="F5267">
        <v>1010100</v>
      </c>
      <c r="G5267">
        <v>1142.02</v>
      </c>
    </row>
    <row r="5268" spans="5:7" x14ac:dyDescent="0.3">
      <c r="E5268" s="80">
        <v>45707</v>
      </c>
      <c r="F5268">
        <v>1010100</v>
      </c>
      <c r="G5268">
        <v>837.38</v>
      </c>
    </row>
    <row r="5269" spans="5:7" x14ac:dyDescent="0.3">
      <c r="E5269" s="80">
        <v>45705</v>
      </c>
      <c r="F5269">
        <v>1010100</v>
      </c>
      <c r="G5269">
        <v>837.38</v>
      </c>
    </row>
    <row r="5270" spans="5:7" x14ac:dyDescent="0.3">
      <c r="E5270" s="80">
        <v>45705</v>
      </c>
      <c r="F5270">
        <v>1010100</v>
      </c>
      <c r="G5270">
        <v>1142.02</v>
      </c>
    </row>
    <row r="5271" spans="5:7" x14ac:dyDescent="0.3">
      <c r="E5271" s="80">
        <v>45705</v>
      </c>
      <c r="F5271">
        <v>1010100</v>
      </c>
      <c r="G5271">
        <v>837.38</v>
      </c>
    </row>
    <row r="5272" spans="5:7" x14ac:dyDescent="0.3">
      <c r="E5272" s="80">
        <v>45704</v>
      </c>
      <c r="F5272">
        <v>1010100</v>
      </c>
      <c r="G5272">
        <v>837.38</v>
      </c>
    </row>
    <row r="5273" spans="5:7" x14ac:dyDescent="0.3">
      <c r="E5273" s="80">
        <v>45704</v>
      </c>
      <c r="F5273">
        <v>1010100</v>
      </c>
      <c r="G5273">
        <v>951.62</v>
      </c>
    </row>
    <row r="5274" spans="5:7" x14ac:dyDescent="0.3">
      <c r="E5274" s="80">
        <v>45704</v>
      </c>
      <c r="F5274">
        <v>1010100</v>
      </c>
      <c r="G5274">
        <v>1142.02</v>
      </c>
    </row>
    <row r="5275" spans="5:7" x14ac:dyDescent="0.3">
      <c r="E5275" s="80">
        <v>45703</v>
      </c>
      <c r="F5275">
        <v>1010100</v>
      </c>
      <c r="G5275">
        <v>837.38</v>
      </c>
    </row>
    <row r="5276" spans="5:7" x14ac:dyDescent="0.3">
      <c r="E5276" s="80">
        <v>45703</v>
      </c>
      <c r="F5276">
        <v>1010100</v>
      </c>
      <c r="G5276">
        <v>1142.02</v>
      </c>
    </row>
    <row r="5277" spans="5:7" x14ac:dyDescent="0.3">
      <c r="E5277" s="80">
        <v>45703</v>
      </c>
      <c r="F5277">
        <v>1010100</v>
      </c>
      <c r="G5277">
        <v>1142.02</v>
      </c>
    </row>
    <row r="5278" spans="5:7" x14ac:dyDescent="0.3">
      <c r="E5278" s="80">
        <v>45703</v>
      </c>
      <c r="F5278">
        <v>1010100</v>
      </c>
      <c r="G5278">
        <v>1142.02</v>
      </c>
    </row>
    <row r="5279" spans="5:7" x14ac:dyDescent="0.3">
      <c r="E5279" s="80">
        <v>45702</v>
      </c>
      <c r="F5279">
        <v>1010100</v>
      </c>
      <c r="G5279">
        <v>1142.02</v>
      </c>
    </row>
    <row r="5280" spans="5:7" x14ac:dyDescent="0.3">
      <c r="E5280" s="80">
        <v>45702</v>
      </c>
      <c r="F5280">
        <v>1010100</v>
      </c>
      <c r="G5280">
        <v>951.62</v>
      </c>
    </row>
    <row r="5281" spans="5:7" x14ac:dyDescent="0.3">
      <c r="E5281" s="80">
        <v>45701</v>
      </c>
      <c r="F5281">
        <v>1010100</v>
      </c>
      <c r="G5281">
        <v>827.86</v>
      </c>
    </row>
    <row r="5282" spans="5:7" x14ac:dyDescent="0.3">
      <c r="E5282" s="80">
        <v>45701</v>
      </c>
      <c r="F5282">
        <v>1010100</v>
      </c>
      <c r="G5282">
        <v>827.86</v>
      </c>
    </row>
    <row r="5283" spans="5:7" x14ac:dyDescent="0.3">
      <c r="E5283" s="80">
        <v>45701</v>
      </c>
      <c r="F5283">
        <v>1010100</v>
      </c>
      <c r="G5283">
        <v>827.86</v>
      </c>
    </row>
    <row r="5284" spans="5:7" x14ac:dyDescent="0.3">
      <c r="E5284" s="80">
        <v>45699</v>
      </c>
      <c r="F5284">
        <v>1010100</v>
      </c>
      <c r="G5284">
        <v>1142.02</v>
      </c>
    </row>
    <row r="5285" spans="5:7" x14ac:dyDescent="0.3">
      <c r="E5285" s="80">
        <v>45699</v>
      </c>
      <c r="F5285">
        <v>1010100</v>
      </c>
      <c r="G5285">
        <v>827.86</v>
      </c>
    </row>
    <row r="5286" spans="5:7" x14ac:dyDescent="0.3">
      <c r="E5286" s="80">
        <v>45699</v>
      </c>
      <c r="F5286">
        <v>1010100</v>
      </c>
      <c r="G5286">
        <v>827.86</v>
      </c>
    </row>
    <row r="5287" spans="5:7" x14ac:dyDescent="0.3">
      <c r="E5287" s="80">
        <v>45699</v>
      </c>
      <c r="F5287">
        <v>1010100</v>
      </c>
      <c r="G5287">
        <v>380.42</v>
      </c>
    </row>
    <row r="5288" spans="5:7" x14ac:dyDescent="0.3">
      <c r="E5288" s="80">
        <v>45698</v>
      </c>
      <c r="F5288">
        <v>1010100</v>
      </c>
      <c r="G5288">
        <v>827.86</v>
      </c>
    </row>
    <row r="5289" spans="5:7" x14ac:dyDescent="0.3">
      <c r="E5289" s="80">
        <v>45698</v>
      </c>
      <c r="F5289">
        <v>1010100</v>
      </c>
      <c r="G5289">
        <v>723.14</v>
      </c>
    </row>
    <row r="5290" spans="5:7" x14ac:dyDescent="0.3">
      <c r="E5290" s="80">
        <v>45698</v>
      </c>
      <c r="F5290">
        <v>1010100</v>
      </c>
      <c r="G5290">
        <v>827.86</v>
      </c>
    </row>
    <row r="5291" spans="5:7" x14ac:dyDescent="0.3">
      <c r="E5291" s="80">
        <v>45698</v>
      </c>
      <c r="F5291">
        <v>1010100</v>
      </c>
      <c r="G5291">
        <v>827.86</v>
      </c>
    </row>
    <row r="5292" spans="5:7" x14ac:dyDescent="0.3">
      <c r="E5292" s="80">
        <v>45698</v>
      </c>
      <c r="F5292">
        <v>1010100</v>
      </c>
      <c r="G5292">
        <v>827.86</v>
      </c>
    </row>
    <row r="5293" spans="5:7" x14ac:dyDescent="0.3">
      <c r="E5293" s="80">
        <v>45698</v>
      </c>
      <c r="F5293">
        <v>1010100</v>
      </c>
      <c r="G5293">
        <v>723.14</v>
      </c>
    </row>
    <row r="5294" spans="5:7" x14ac:dyDescent="0.3">
      <c r="E5294" s="80">
        <v>45697</v>
      </c>
      <c r="F5294">
        <v>1010100</v>
      </c>
      <c r="G5294">
        <v>827.86</v>
      </c>
    </row>
    <row r="5295" spans="5:7" x14ac:dyDescent="0.3">
      <c r="E5295" s="80">
        <v>45697</v>
      </c>
      <c r="F5295">
        <v>1010100</v>
      </c>
      <c r="G5295">
        <v>1142.02</v>
      </c>
    </row>
    <row r="5296" spans="5:7" x14ac:dyDescent="0.3">
      <c r="E5296" s="80">
        <v>45696</v>
      </c>
      <c r="F5296">
        <v>1010100</v>
      </c>
      <c r="G5296">
        <v>723.14</v>
      </c>
    </row>
    <row r="5297" spans="5:7" x14ac:dyDescent="0.3">
      <c r="E5297" s="80">
        <v>45696</v>
      </c>
      <c r="F5297">
        <v>1010100</v>
      </c>
      <c r="G5297">
        <v>1142.02</v>
      </c>
    </row>
    <row r="5298" spans="5:7" x14ac:dyDescent="0.3">
      <c r="E5298" s="80">
        <v>45696</v>
      </c>
      <c r="F5298">
        <v>1010100</v>
      </c>
      <c r="G5298">
        <v>1142.02</v>
      </c>
    </row>
    <row r="5299" spans="5:7" x14ac:dyDescent="0.3">
      <c r="E5299" s="80">
        <v>45696</v>
      </c>
      <c r="F5299">
        <v>1010100</v>
      </c>
      <c r="G5299">
        <v>827.86</v>
      </c>
    </row>
    <row r="5300" spans="5:7" x14ac:dyDescent="0.3">
      <c r="E5300" s="80">
        <v>45696</v>
      </c>
      <c r="F5300">
        <v>1010100</v>
      </c>
      <c r="G5300">
        <v>1142.02</v>
      </c>
    </row>
    <row r="5301" spans="5:7" x14ac:dyDescent="0.3">
      <c r="E5301" s="80">
        <v>45695</v>
      </c>
      <c r="F5301">
        <v>1010100</v>
      </c>
      <c r="G5301">
        <v>1142.02</v>
      </c>
    </row>
    <row r="5302" spans="5:7" x14ac:dyDescent="0.3">
      <c r="E5302" s="80">
        <v>45695</v>
      </c>
      <c r="F5302">
        <v>1010100</v>
      </c>
      <c r="G5302">
        <v>1142.02</v>
      </c>
    </row>
    <row r="5303" spans="5:7" x14ac:dyDescent="0.3">
      <c r="E5303" s="80">
        <v>45695</v>
      </c>
      <c r="F5303">
        <v>1010100</v>
      </c>
      <c r="G5303">
        <v>1142.02</v>
      </c>
    </row>
    <row r="5304" spans="5:7" x14ac:dyDescent="0.3">
      <c r="E5304" s="80">
        <v>45695</v>
      </c>
      <c r="F5304">
        <v>1010100</v>
      </c>
      <c r="G5304">
        <v>1142.02</v>
      </c>
    </row>
    <row r="5305" spans="5:7" x14ac:dyDescent="0.3">
      <c r="E5305" s="80">
        <v>45695</v>
      </c>
      <c r="F5305">
        <v>1010100</v>
      </c>
      <c r="G5305">
        <v>1142.02</v>
      </c>
    </row>
    <row r="5306" spans="5:7" x14ac:dyDescent="0.3">
      <c r="E5306" s="80">
        <v>45695</v>
      </c>
      <c r="F5306">
        <v>1010100</v>
      </c>
      <c r="G5306">
        <v>1142.02</v>
      </c>
    </row>
    <row r="5307" spans="5:7" x14ac:dyDescent="0.3">
      <c r="E5307" s="80">
        <v>45694</v>
      </c>
      <c r="F5307">
        <v>1010100</v>
      </c>
      <c r="G5307">
        <v>1142.02</v>
      </c>
    </row>
    <row r="5308" spans="5:7" x14ac:dyDescent="0.3">
      <c r="E5308" s="80">
        <v>45694</v>
      </c>
      <c r="F5308">
        <v>1010100</v>
      </c>
      <c r="G5308">
        <v>1142.02</v>
      </c>
    </row>
    <row r="5309" spans="5:7" x14ac:dyDescent="0.3">
      <c r="E5309" s="80">
        <v>45694</v>
      </c>
      <c r="F5309">
        <v>1010100</v>
      </c>
      <c r="G5309">
        <v>1142.02</v>
      </c>
    </row>
    <row r="5310" spans="5:7" x14ac:dyDescent="0.3">
      <c r="E5310" s="80">
        <v>45694</v>
      </c>
      <c r="F5310">
        <v>1010100</v>
      </c>
      <c r="G5310">
        <v>827.86</v>
      </c>
    </row>
    <row r="5311" spans="5:7" x14ac:dyDescent="0.3">
      <c r="E5311" s="80">
        <v>45694</v>
      </c>
      <c r="F5311">
        <v>1010100</v>
      </c>
      <c r="G5311">
        <v>1142.02</v>
      </c>
    </row>
    <row r="5312" spans="5:7" x14ac:dyDescent="0.3">
      <c r="E5312" s="80">
        <v>45694</v>
      </c>
      <c r="F5312">
        <v>1010100</v>
      </c>
      <c r="G5312">
        <v>380.42</v>
      </c>
    </row>
    <row r="5313" spans="5:7" x14ac:dyDescent="0.3">
      <c r="E5313" s="80">
        <v>45694</v>
      </c>
      <c r="F5313">
        <v>1010100</v>
      </c>
      <c r="G5313">
        <v>1142.02</v>
      </c>
    </row>
    <row r="5314" spans="5:7" x14ac:dyDescent="0.3">
      <c r="E5314" s="80">
        <v>45694</v>
      </c>
      <c r="F5314">
        <v>1010100</v>
      </c>
      <c r="G5314">
        <v>1655.72</v>
      </c>
    </row>
    <row r="5315" spans="5:7" x14ac:dyDescent="0.3">
      <c r="E5315" s="80">
        <v>45694</v>
      </c>
      <c r="F5315">
        <v>1010100</v>
      </c>
      <c r="G5315">
        <v>1142.02</v>
      </c>
    </row>
    <row r="5316" spans="5:7" x14ac:dyDescent="0.3">
      <c r="E5316" s="80">
        <v>45694</v>
      </c>
      <c r="F5316">
        <v>1010100</v>
      </c>
      <c r="G5316">
        <v>1142.02</v>
      </c>
    </row>
    <row r="5317" spans="5:7" x14ac:dyDescent="0.3">
      <c r="E5317" s="80">
        <v>45694</v>
      </c>
      <c r="F5317">
        <v>1010100</v>
      </c>
      <c r="G5317">
        <v>1142.02</v>
      </c>
    </row>
    <row r="5318" spans="5:7" x14ac:dyDescent="0.3">
      <c r="E5318" s="80">
        <v>45693</v>
      </c>
      <c r="F5318">
        <v>1010100</v>
      </c>
      <c r="G5318">
        <v>1142.02</v>
      </c>
    </row>
    <row r="5319" spans="5:7" x14ac:dyDescent="0.3">
      <c r="E5319" s="80">
        <v>45693</v>
      </c>
      <c r="F5319">
        <v>1010100</v>
      </c>
      <c r="G5319">
        <v>1142.02</v>
      </c>
    </row>
    <row r="5320" spans="5:7" x14ac:dyDescent="0.3">
      <c r="E5320" s="80">
        <v>45693</v>
      </c>
      <c r="F5320">
        <v>1010100</v>
      </c>
      <c r="G5320">
        <v>1142.02</v>
      </c>
    </row>
    <row r="5321" spans="5:7" x14ac:dyDescent="0.3">
      <c r="E5321" s="80">
        <v>45693</v>
      </c>
      <c r="F5321">
        <v>1010100</v>
      </c>
      <c r="G5321">
        <v>827.86</v>
      </c>
    </row>
    <row r="5322" spans="5:7" x14ac:dyDescent="0.3">
      <c r="E5322" s="80">
        <v>45693</v>
      </c>
      <c r="F5322">
        <v>1010100</v>
      </c>
      <c r="G5322">
        <v>827.86</v>
      </c>
    </row>
    <row r="5323" spans="5:7" x14ac:dyDescent="0.3">
      <c r="E5323" s="80">
        <v>45693</v>
      </c>
      <c r="F5323">
        <v>1010100</v>
      </c>
      <c r="G5323">
        <v>827.86</v>
      </c>
    </row>
    <row r="5324" spans="5:7" x14ac:dyDescent="0.3">
      <c r="E5324" s="80">
        <v>45693</v>
      </c>
      <c r="F5324">
        <v>1010100</v>
      </c>
      <c r="G5324">
        <v>1142.02</v>
      </c>
    </row>
    <row r="5325" spans="5:7" x14ac:dyDescent="0.3">
      <c r="E5325" s="80">
        <v>45693</v>
      </c>
      <c r="F5325">
        <v>1010100</v>
      </c>
      <c r="G5325">
        <v>1142.02</v>
      </c>
    </row>
    <row r="5326" spans="5:7" x14ac:dyDescent="0.3">
      <c r="E5326" s="80">
        <v>45693</v>
      </c>
      <c r="F5326">
        <v>1010100</v>
      </c>
      <c r="G5326">
        <v>1142.02</v>
      </c>
    </row>
    <row r="5327" spans="5:7" x14ac:dyDescent="0.3">
      <c r="E5327" s="80">
        <v>45693</v>
      </c>
      <c r="F5327">
        <v>1010100</v>
      </c>
      <c r="G5327">
        <v>1142.02</v>
      </c>
    </row>
    <row r="5328" spans="5:7" x14ac:dyDescent="0.3">
      <c r="E5328" s="80">
        <v>45693</v>
      </c>
      <c r="F5328">
        <v>1010100</v>
      </c>
      <c r="G5328">
        <v>827.86</v>
      </c>
    </row>
    <row r="5329" spans="5:7" x14ac:dyDescent="0.3">
      <c r="E5329" s="80">
        <v>45692</v>
      </c>
      <c r="F5329">
        <v>1010100</v>
      </c>
      <c r="G5329">
        <v>827.86</v>
      </c>
    </row>
    <row r="5330" spans="5:7" x14ac:dyDescent="0.3">
      <c r="E5330" s="80">
        <v>45692</v>
      </c>
      <c r="F5330">
        <v>1010100</v>
      </c>
      <c r="G5330">
        <v>827.86</v>
      </c>
    </row>
    <row r="5331" spans="5:7" x14ac:dyDescent="0.3">
      <c r="E5331" s="80">
        <v>45692</v>
      </c>
      <c r="F5331">
        <v>1010100</v>
      </c>
      <c r="G5331">
        <v>827.86</v>
      </c>
    </row>
    <row r="5332" spans="5:7" x14ac:dyDescent="0.3">
      <c r="E5332" s="80">
        <v>45692</v>
      </c>
      <c r="F5332">
        <v>1010100</v>
      </c>
      <c r="G5332">
        <v>1142.02</v>
      </c>
    </row>
    <row r="5333" spans="5:7" x14ac:dyDescent="0.3">
      <c r="E5333" s="80">
        <v>45692</v>
      </c>
      <c r="F5333">
        <v>1010100</v>
      </c>
      <c r="G5333">
        <v>1027.82</v>
      </c>
    </row>
    <row r="5334" spans="5:7" x14ac:dyDescent="0.3">
      <c r="E5334" s="80">
        <v>45692</v>
      </c>
      <c r="F5334">
        <v>1010100</v>
      </c>
      <c r="G5334">
        <v>1142.02</v>
      </c>
    </row>
    <row r="5335" spans="5:7" x14ac:dyDescent="0.3">
      <c r="E5335" s="80">
        <v>45692</v>
      </c>
      <c r="F5335">
        <v>1010100</v>
      </c>
      <c r="G5335">
        <v>1142.02</v>
      </c>
    </row>
    <row r="5336" spans="5:7" x14ac:dyDescent="0.3">
      <c r="E5336" s="80">
        <v>45692</v>
      </c>
      <c r="F5336">
        <v>1010100</v>
      </c>
      <c r="G5336">
        <v>1142.02</v>
      </c>
    </row>
    <row r="5337" spans="5:7" x14ac:dyDescent="0.3">
      <c r="E5337" s="80">
        <v>45691</v>
      </c>
      <c r="F5337">
        <v>1010100</v>
      </c>
      <c r="G5337">
        <v>827.86</v>
      </c>
    </row>
    <row r="5338" spans="5:7" x14ac:dyDescent="0.3">
      <c r="E5338" s="80">
        <v>45691</v>
      </c>
      <c r="F5338">
        <v>1010100</v>
      </c>
      <c r="G5338">
        <v>1142.02</v>
      </c>
    </row>
    <row r="5339" spans="5:7" x14ac:dyDescent="0.3">
      <c r="E5339" s="80">
        <v>45691</v>
      </c>
      <c r="F5339">
        <v>1010100</v>
      </c>
      <c r="G5339">
        <v>827.86</v>
      </c>
    </row>
    <row r="5340" spans="5:7" x14ac:dyDescent="0.3">
      <c r="E5340" s="80">
        <v>45691</v>
      </c>
      <c r="F5340">
        <v>1010100</v>
      </c>
      <c r="G5340">
        <v>1142.02</v>
      </c>
    </row>
    <row r="5341" spans="5:7" x14ac:dyDescent="0.3">
      <c r="E5341" s="80">
        <v>45691</v>
      </c>
      <c r="F5341">
        <v>1010100</v>
      </c>
      <c r="G5341">
        <v>827.86</v>
      </c>
    </row>
    <row r="5342" spans="5:7" x14ac:dyDescent="0.3">
      <c r="E5342" s="80">
        <v>45691</v>
      </c>
      <c r="F5342">
        <v>1010100</v>
      </c>
      <c r="G5342">
        <v>1142.02</v>
      </c>
    </row>
    <row r="5343" spans="5:7" x14ac:dyDescent="0.3">
      <c r="E5343" s="80">
        <v>45690</v>
      </c>
      <c r="F5343">
        <v>1010100</v>
      </c>
      <c r="G5343">
        <v>1142.02</v>
      </c>
    </row>
    <row r="5344" spans="5:7" x14ac:dyDescent="0.3">
      <c r="E5344" s="80">
        <v>45690</v>
      </c>
      <c r="F5344">
        <v>1010100</v>
      </c>
      <c r="G5344">
        <v>1256.26</v>
      </c>
    </row>
    <row r="5345" spans="5:7" x14ac:dyDescent="0.3">
      <c r="E5345" s="80">
        <v>45690</v>
      </c>
      <c r="F5345">
        <v>1010100</v>
      </c>
      <c r="G5345">
        <v>827.86</v>
      </c>
    </row>
    <row r="5346" spans="5:7" x14ac:dyDescent="0.3">
      <c r="E5346" s="80">
        <v>45690</v>
      </c>
      <c r="F5346">
        <v>1010100</v>
      </c>
      <c r="G5346">
        <v>1142.02</v>
      </c>
    </row>
    <row r="5347" spans="5:7" x14ac:dyDescent="0.3">
      <c r="E5347" s="80">
        <v>45690</v>
      </c>
      <c r="F5347">
        <v>1010100</v>
      </c>
      <c r="G5347">
        <v>1142.02</v>
      </c>
    </row>
    <row r="5348" spans="5:7" x14ac:dyDescent="0.3">
      <c r="E5348" s="80">
        <v>45690</v>
      </c>
      <c r="F5348">
        <v>1010100</v>
      </c>
      <c r="G5348">
        <v>1142.02</v>
      </c>
    </row>
    <row r="5349" spans="5:7" x14ac:dyDescent="0.3">
      <c r="E5349" s="80">
        <v>45690</v>
      </c>
      <c r="F5349">
        <v>1010100</v>
      </c>
      <c r="G5349">
        <v>1142.02</v>
      </c>
    </row>
    <row r="5350" spans="5:7" x14ac:dyDescent="0.3">
      <c r="E5350" s="80">
        <v>45690</v>
      </c>
      <c r="F5350">
        <v>1010100</v>
      </c>
      <c r="G5350">
        <v>1142.02</v>
      </c>
    </row>
    <row r="5351" spans="5:7" x14ac:dyDescent="0.3">
      <c r="E5351" s="80">
        <v>45690</v>
      </c>
      <c r="F5351">
        <v>1010100</v>
      </c>
      <c r="G5351">
        <v>1142.02</v>
      </c>
    </row>
    <row r="5352" spans="5:7" x14ac:dyDescent="0.3">
      <c r="E5352" s="80">
        <v>45690</v>
      </c>
      <c r="F5352">
        <v>1010100</v>
      </c>
      <c r="G5352">
        <v>1256.26</v>
      </c>
    </row>
    <row r="5353" spans="5:7" x14ac:dyDescent="0.3">
      <c r="E5353" s="80">
        <v>45690</v>
      </c>
      <c r="F5353">
        <v>1010100</v>
      </c>
      <c r="G5353">
        <v>1142.02</v>
      </c>
    </row>
    <row r="5354" spans="5:7" x14ac:dyDescent="0.3">
      <c r="E5354" s="80">
        <v>45690</v>
      </c>
      <c r="F5354">
        <v>1010100</v>
      </c>
      <c r="G5354">
        <v>1142.02</v>
      </c>
    </row>
    <row r="5355" spans="5:7" x14ac:dyDescent="0.3">
      <c r="E5355" s="80">
        <v>45690</v>
      </c>
      <c r="F5355">
        <v>1010100</v>
      </c>
      <c r="G5355">
        <v>1142.02</v>
      </c>
    </row>
    <row r="5356" spans="5:7" x14ac:dyDescent="0.3">
      <c r="E5356" s="80">
        <v>45690</v>
      </c>
      <c r="F5356">
        <v>1010100</v>
      </c>
      <c r="G5356">
        <v>1142.02</v>
      </c>
    </row>
    <row r="5357" spans="5:7" x14ac:dyDescent="0.3">
      <c r="E5357" s="80">
        <v>45690</v>
      </c>
      <c r="F5357">
        <v>1010100</v>
      </c>
      <c r="G5357">
        <v>1142.02</v>
      </c>
    </row>
    <row r="5358" spans="5:7" x14ac:dyDescent="0.3">
      <c r="E5358" s="80">
        <v>45690</v>
      </c>
      <c r="F5358">
        <v>1010100</v>
      </c>
      <c r="G5358">
        <v>827.86</v>
      </c>
    </row>
    <row r="5359" spans="5:7" x14ac:dyDescent="0.3">
      <c r="E5359" s="80">
        <v>45690</v>
      </c>
      <c r="F5359">
        <v>1010100</v>
      </c>
      <c r="G5359">
        <v>1142.02</v>
      </c>
    </row>
    <row r="5360" spans="5:7" x14ac:dyDescent="0.3">
      <c r="E5360" s="80">
        <v>45690</v>
      </c>
      <c r="F5360">
        <v>1010100</v>
      </c>
      <c r="G5360">
        <v>380.42</v>
      </c>
    </row>
    <row r="5361" spans="5:7" x14ac:dyDescent="0.3">
      <c r="E5361" s="80">
        <v>45690</v>
      </c>
      <c r="F5361">
        <v>1010100</v>
      </c>
      <c r="G5361">
        <v>2284.04</v>
      </c>
    </row>
    <row r="5362" spans="5:7" x14ac:dyDescent="0.3">
      <c r="E5362" s="80">
        <v>45690</v>
      </c>
      <c r="F5362">
        <v>1010100</v>
      </c>
      <c r="G5362">
        <v>1142.02</v>
      </c>
    </row>
    <row r="5363" spans="5:7" x14ac:dyDescent="0.3">
      <c r="E5363" s="80">
        <v>45690</v>
      </c>
      <c r="F5363">
        <v>1010100</v>
      </c>
      <c r="G5363">
        <v>1142.02</v>
      </c>
    </row>
    <row r="5364" spans="5:7" x14ac:dyDescent="0.3">
      <c r="E5364" s="80">
        <v>45690</v>
      </c>
      <c r="F5364">
        <v>1010100</v>
      </c>
      <c r="G5364">
        <v>1256.26</v>
      </c>
    </row>
    <row r="5365" spans="5:7" x14ac:dyDescent="0.3">
      <c r="E5365" s="80">
        <v>45689</v>
      </c>
      <c r="F5365">
        <v>1010100</v>
      </c>
      <c r="G5365">
        <v>1256.26</v>
      </c>
    </row>
    <row r="5366" spans="5:7" x14ac:dyDescent="0.3">
      <c r="E5366" s="80">
        <v>45689</v>
      </c>
      <c r="F5366">
        <v>1010100</v>
      </c>
      <c r="G5366">
        <v>1142.02</v>
      </c>
    </row>
    <row r="5367" spans="5:7" x14ac:dyDescent="0.3">
      <c r="E5367" s="80">
        <v>45689</v>
      </c>
      <c r="F5367">
        <v>1010100</v>
      </c>
      <c r="G5367">
        <v>1256.26</v>
      </c>
    </row>
    <row r="5368" spans="5:7" x14ac:dyDescent="0.3">
      <c r="E5368" s="80">
        <v>45689</v>
      </c>
      <c r="F5368">
        <v>1010100</v>
      </c>
      <c r="G5368">
        <v>827.86</v>
      </c>
    </row>
    <row r="5369" spans="5:7" x14ac:dyDescent="0.3">
      <c r="E5369" s="80">
        <v>45689</v>
      </c>
      <c r="F5369">
        <v>1010100</v>
      </c>
      <c r="G5369">
        <v>1142.02</v>
      </c>
    </row>
    <row r="5370" spans="5:7" x14ac:dyDescent="0.3">
      <c r="E5370" s="80">
        <v>45689</v>
      </c>
      <c r="F5370">
        <v>1010100</v>
      </c>
      <c r="G5370">
        <v>1142.02</v>
      </c>
    </row>
    <row r="5371" spans="5:7" x14ac:dyDescent="0.3">
      <c r="E5371" s="80">
        <v>45688</v>
      </c>
      <c r="F5371">
        <v>1010100</v>
      </c>
      <c r="G5371">
        <v>2284.04</v>
      </c>
    </row>
    <row r="5372" spans="5:7" x14ac:dyDescent="0.3">
      <c r="E5372" s="80">
        <v>45688</v>
      </c>
      <c r="F5372">
        <v>1010100</v>
      </c>
      <c r="G5372">
        <v>1142.02</v>
      </c>
    </row>
    <row r="5373" spans="5:7" x14ac:dyDescent="0.3">
      <c r="E5373" s="80">
        <v>45688</v>
      </c>
      <c r="F5373">
        <v>1010100</v>
      </c>
      <c r="G5373">
        <v>1142.02</v>
      </c>
    </row>
    <row r="5374" spans="5:7" x14ac:dyDescent="0.3">
      <c r="E5374" s="80">
        <v>45688</v>
      </c>
      <c r="F5374">
        <v>1010100</v>
      </c>
      <c r="G5374">
        <v>827.86</v>
      </c>
    </row>
    <row r="5375" spans="5:7" x14ac:dyDescent="0.3">
      <c r="E5375" s="80">
        <v>45688</v>
      </c>
      <c r="F5375">
        <v>1010100</v>
      </c>
      <c r="G5375">
        <v>1142.02</v>
      </c>
    </row>
    <row r="5376" spans="5:7" x14ac:dyDescent="0.3">
      <c r="E5376" s="80">
        <v>45688</v>
      </c>
      <c r="F5376">
        <v>1010100</v>
      </c>
      <c r="G5376">
        <v>1142.02</v>
      </c>
    </row>
    <row r="5377" spans="5:7" x14ac:dyDescent="0.3">
      <c r="E5377" s="80">
        <v>45687</v>
      </c>
      <c r="F5377">
        <v>1010100</v>
      </c>
      <c r="G5377">
        <v>1142.02</v>
      </c>
    </row>
    <row r="5378" spans="5:7" x14ac:dyDescent="0.3">
      <c r="E5378" s="80">
        <v>45687</v>
      </c>
      <c r="F5378">
        <v>1010100</v>
      </c>
      <c r="G5378">
        <v>827.86</v>
      </c>
    </row>
    <row r="5379" spans="5:7" x14ac:dyDescent="0.3">
      <c r="E5379" s="80">
        <v>45687</v>
      </c>
      <c r="F5379">
        <v>1010100</v>
      </c>
      <c r="G5379">
        <v>1142.02</v>
      </c>
    </row>
    <row r="5380" spans="5:7" x14ac:dyDescent="0.3">
      <c r="E5380" s="80">
        <v>45687</v>
      </c>
      <c r="F5380">
        <v>1010100</v>
      </c>
      <c r="G5380">
        <v>1142.02</v>
      </c>
    </row>
    <row r="5381" spans="5:7" x14ac:dyDescent="0.3">
      <c r="E5381" s="80">
        <v>45687</v>
      </c>
      <c r="F5381">
        <v>1010100</v>
      </c>
      <c r="G5381">
        <v>827.86</v>
      </c>
    </row>
    <row r="5382" spans="5:7" x14ac:dyDescent="0.3">
      <c r="E5382" s="80">
        <v>45687</v>
      </c>
      <c r="F5382">
        <v>1010100</v>
      </c>
      <c r="G5382">
        <v>827.86</v>
      </c>
    </row>
    <row r="5383" spans="5:7" x14ac:dyDescent="0.3">
      <c r="E5383" s="80">
        <v>45687</v>
      </c>
      <c r="F5383">
        <v>1010100</v>
      </c>
      <c r="G5383">
        <v>1256.26</v>
      </c>
    </row>
    <row r="5384" spans="5:7" x14ac:dyDescent="0.3">
      <c r="E5384" s="80">
        <v>45687</v>
      </c>
      <c r="F5384">
        <v>1010100</v>
      </c>
      <c r="G5384">
        <v>827.86</v>
      </c>
    </row>
    <row r="5385" spans="5:7" x14ac:dyDescent="0.3">
      <c r="E5385" s="80">
        <v>45687</v>
      </c>
      <c r="F5385">
        <v>1010100</v>
      </c>
      <c r="G5385">
        <v>1142.02</v>
      </c>
    </row>
    <row r="5386" spans="5:7" x14ac:dyDescent="0.3">
      <c r="E5386" s="80">
        <v>45687</v>
      </c>
      <c r="F5386">
        <v>1010100</v>
      </c>
      <c r="G5386">
        <v>1142.02</v>
      </c>
    </row>
    <row r="5387" spans="5:7" x14ac:dyDescent="0.3">
      <c r="E5387" s="80">
        <v>45687</v>
      </c>
      <c r="F5387">
        <v>1010100</v>
      </c>
      <c r="G5387">
        <v>827.86</v>
      </c>
    </row>
    <row r="5388" spans="5:7" x14ac:dyDescent="0.3">
      <c r="E5388" s="80">
        <v>45687</v>
      </c>
      <c r="F5388">
        <v>1010100</v>
      </c>
      <c r="G5388">
        <v>827.86</v>
      </c>
    </row>
    <row r="5389" spans="5:7" x14ac:dyDescent="0.3">
      <c r="E5389" s="80">
        <v>45687</v>
      </c>
      <c r="F5389">
        <v>1010100</v>
      </c>
      <c r="G5389">
        <v>1142.02</v>
      </c>
    </row>
    <row r="5390" spans="5:7" x14ac:dyDescent="0.3">
      <c r="E5390" s="80">
        <v>45687</v>
      </c>
      <c r="F5390">
        <v>1010100</v>
      </c>
      <c r="G5390">
        <v>1142.02</v>
      </c>
    </row>
    <row r="5391" spans="5:7" x14ac:dyDescent="0.3">
      <c r="E5391" s="80">
        <v>45687</v>
      </c>
      <c r="F5391">
        <v>1010100</v>
      </c>
      <c r="G5391">
        <v>1256.26</v>
      </c>
    </row>
    <row r="5392" spans="5:7" x14ac:dyDescent="0.3">
      <c r="E5392" s="80">
        <v>45687</v>
      </c>
      <c r="F5392">
        <v>1010100</v>
      </c>
      <c r="G5392">
        <v>1142.02</v>
      </c>
    </row>
    <row r="5393" spans="5:7" x14ac:dyDescent="0.3">
      <c r="E5393" s="80">
        <v>45687</v>
      </c>
      <c r="F5393">
        <v>1010100</v>
      </c>
      <c r="G5393">
        <v>1142.02</v>
      </c>
    </row>
    <row r="5394" spans="5:7" x14ac:dyDescent="0.3">
      <c r="E5394" s="80">
        <v>45686</v>
      </c>
      <c r="F5394">
        <v>1010100</v>
      </c>
      <c r="G5394">
        <v>2055.64</v>
      </c>
    </row>
    <row r="5395" spans="5:7" x14ac:dyDescent="0.3">
      <c r="E5395" s="80">
        <v>45686</v>
      </c>
      <c r="F5395">
        <v>1010100</v>
      </c>
      <c r="G5395">
        <v>1142.02</v>
      </c>
    </row>
    <row r="5396" spans="5:7" x14ac:dyDescent="0.3">
      <c r="E5396" s="80">
        <v>45686</v>
      </c>
      <c r="F5396">
        <v>1010100</v>
      </c>
      <c r="G5396">
        <v>1142.02</v>
      </c>
    </row>
    <row r="5397" spans="5:7" x14ac:dyDescent="0.3">
      <c r="E5397" s="80">
        <v>45686</v>
      </c>
      <c r="F5397">
        <v>1010100</v>
      </c>
      <c r="G5397">
        <v>1027.82</v>
      </c>
    </row>
    <row r="5398" spans="5:7" x14ac:dyDescent="0.3">
      <c r="E5398" s="80">
        <v>45686</v>
      </c>
      <c r="F5398">
        <v>1010100</v>
      </c>
      <c r="G5398">
        <v>1142.02</v>
      </c>
    </row>
    <row r="5399" spans="5:7" x14ac:dyDescent="0.3">
      <c r="E5399" s="80">
        <v>45686</v>
      </c>
      <c r="F5399">
        <v>1010100</v>
      </c>
      <c r="G5399">
        <v>1142.02</v>
      </c>
    </row>
    <row r="5400" spans="5:7" x14ac:dyDescent="0.3">
      <c r="E5400" s="80">
        <v>45686</v>
      </c>
      <c r="F5400">
        <v>1010100</v>
      </c>
      <c r="G5400">
        <v>1142.02</v>
      </c>
    </row>
    <row r="5401" spans="5:7" x14ac:dyDescent="0.3">
      <c r="E5401" s="80">
        <v>45686</v>
      </c>
      <c r="F5401">
        <v>1010100</v>
      </c>
      <c r="G5401">
        <v>1142.02</v>
      </c>
    </row>
    <row r="5402" spans="5:7" x14ac:dyDescent="0.3">
      <c r="E5402" s="80">
        <v>45686</v>
      </c>
      <c r="F5402">
        <v>1010100</v>
      </c>
      <c r="G5402">
        <v>1142.02</v>
      </c>
    </row>
    <row r="5403" spans="5:7" x14ac:dyDescent="0.3">
      <c r="E5403" s="80">
        <v>45686</v>
      </c>
      <c r="F5403">
        <v>1010100</v>
      </c>
      <c r="G5403">
        <v>1142.02</v>
      </c>
    </row>
    <row r="5404" spans="5:7" x14ac:dyDescent="0.3">
      <c r="E5404" s="80">
        <v>45686</v>
      </c>
      <c r="F5404">
        <v>1010100</v>
      </c>
      <c r="G5404">
        <v>1142.02</v>
      </c>
    </row>
    <row r="5405" spans="5:7" x14ac:dyDescent="0.3">
      <c r="E5405" s="80">
        <v>45686</v>
      </c>
      <c r="F5405">
        <v>1010100</v>
      </c>
      <c r="G5405">
        <v>1027.82</v>
      </c>
    </row>
    <row r="5406" spans="5:7" x14ac:dyDescent="0.3">
      <c r="E5406" s="80">
        <v>45685</v>
      </c>
      <c r="F5406">
        <v>1010100</v>
      </c>
      <c r="G5406">
        <v>1256.26</v>
      </c>
    </row>
    <row r="5407" spans="5:7" x14ac:dyDescent="0.3">
      <c r="E5407" s="80">
        <v>45685</v>
      </c>
      <c r="F5407">
        <v>1010100</v>
      </c>
      <c r="G5407">
        <v>1142.02</v>
      </c>
    </row>
    <row r="5408" spans="5:7" x14ac:dyDescent="0.3">
      <c r="E5408" s="80">
        <v>45685</v>
      </c>
      <c r="F5408">
        <v>1010100</v>
      </c>
      <c r="G5408">
        <v>1142.02</v>
      </c>
    </row>
    <row r="5409" spans="5:7" x14ac:dyDescent="0.3">
      <c r="E5409" s="80">
        <v>45685</v>
      </c>
      <c r="F5409">
        <v>1010100</v>
      </c>
      <c r="G5409">
        <v>1142.02</v>
      </c>
    </row>
    <row r="5410" spans="5:7" x14ac:dyDescent="0.3">
      <c r="E5410" s="80">
        <v>45685</v>
      </c>
      <c r="F5410">
        <v>1010100</v>
      </c>
      <c r="G5410">
        <v>1142.02</v>
      </c>
    </row>
    <row r="5411" spans="5:7" x14ac:dyDescent="0.3">
      <c r="E5411" s="80">
        <v>45685</v>
      </c>
      <c r="F5411">
        <v>1010100</v>
      </c>
      <c r="G5411">
        <v>1142.02</v>
      </c>
    </row>
    <row r="5412" spans="5:7" x14ac:dyDescent="0.3">
      <c r="E5412" s="80">
        <v>45685</v>
      </c>
      <c r="F5412">
        <v>1010100</v>
      </c>
      <c r="G5412">
        <v>1142.02</v>
      </c>
    </row>
    <row r="5413" spans="5:7" x14ac:dyDescent="0.3">
      <c r="E5413" s="80">
        <v>45685</v>
      </c>
      <c r="F5413">
        <v>1010100</v>
      </c>
      <c r="G5413">
        <v>1142.02</v>
      </c>
    </row>
    <row r="5414" spans="5:7" x14ac:dyDescent="0.3">
      <c r="E5414" s="80">
        <v>45684</v>
      </c>
      <c r="F5414">
        <v>1010100</v>
      </c>
      <c r="G5414">
        <v>1142.02</v>
      </c>
    </row>
    <row r="5415" spans="5:7" x14ac:dyDescent="0.3">
      <c r="E5415" s="80">
        <v>45684</v>
      </c>
      <c r="F5415">
        <v>1010100</v>
      </c>
      <c r="G5415">
        <v>1142.02</v>
      </c>
    </row>
    <row r="5416" spans="5:7" x14ac:dyDescent="0.3">
      <c r="E5416" s="80">
        <v>45684</v>
      </c>
      <c r="F5416">
        <v>1010100</v>
      </c>
      <c r="G5416">
        <v>1256.26</v>
      </c>
    </row>
    <row r="5417" spans="5:7" x14ac:dyDescent="0.3">
      <c r="E5417" s="80">
        <v>45684</v>
      </c>
      <c r="F5417">
        <v>1010100</v>
      </c>
      <c r="G5417">
        <v>1142.02</v>
      </c>
    </row>
    <row r="5418" spans="5:7" x14ac:dyDescent="0.3">
      <c r="E5418" s="80">
        <v>45684</v>
      </c>
      <c r="F5418">
        <v>1010100</v>
      </c>
      <c r="G5418">
        <v>1142.02</v>
      </c>
    </row>
    <row r="5419" spans="5:7" x14ac:dyDescent="0.3">
      <c r="E5419" s="80">
        <v>45684</v>
      </c>
      <c r="F5419">
        <v>1010100</v>
      </c>
      <c r="G5419">
        <v>1142.02</v>
      </c>
    </row>
    <row r="5420" spans="5:7" x14ac:dyDescent="0.3">
      <c r="E5420" s="80">
        <v>45684</v>
      </c>
      <c r="F5420">
        <v>1010100</v>
      </c>
      <c r="G5420">
        <v>2284.04</v>
      </c>
    </row>
    <row r="5421" spans="5:7" x14ac:dyDescent="0.3">
      <c r="E5421" s="80">
        <v>45684</v>
      </c>
      <c r="F5421">
        <v>1010100</v>
      </c>
      <c r="G5421">
        <v>1142.02</v>
      </c>
    </row>
    <row r="5422" spans="5:7" x14ac:dyDescent="0.3">
      <c r="E5422" s="80">
        <v>45683</v>
      </c>
      <c r="F5422">
        <v>1010100</v>
      </c>
      <c r="G5422">
        <v>1142.02</v>
      </c>
    </row>
    <row r="5423" spans="5:7" x14ac:dyDescent="0.3">
      <c r="E5423" s="80">
        <v>45683</v>
      </c>
      <c r="F5423">
        <v>1010100</v>
      </c>
      <c r="G5423">
        <v>1142.02</v>
      </c>
    </row>
    <row r="5424" spans="5:7" x14ac:dyDescent="0.3">
      <c r="E5424" s="80">
        <v>45683</v>
      </c>
      <c r="F5424">
        <v>1010100</v>
      </c>
      <c r="G5424">
        <v>1142.02</v>
      </c>
    </row>
    <row r="5425" spans="5:7" x14ac:dyDescent="0.3">
      <c r="E5425" s="80">
        <v>45683</v>
      </c>
      <c r="F5425">
        <v>1010100</v>
      </c>
      <c r="G5425">
        <v>1256.26</v>
      </c>
    </row>
    <row r="5426" spans="5:7" x14ac:dyDescent="0.3">
      <c r="E5426" s="80">
        <v>45683</v>
      </c>
      <c r="F5426">
        <v>1010100</v>
      </c>
      <c r="G5426">
        <v>1142.02</v>
      </c>
    </row>
    <row r="5427" spans="5:7" x14ac:dyDescent="0.3">
      <c r="E5427" s="80">
        <v>45683</v>
      </c>
      <c r="F5427">
        <v>1010100</v>
      </c>
      <c r="G5427">
        <v>1142.02</v>
      </c>
    </row>
    <row r="5428" spans="5:7" x14ac:dyDescent="0.3">
      <c r="E5428" s="80">
        <v>45683</v>
      </c>
      <c r="F5428">
        <v>1010100</v>
      </c>
      <c r="G5428">
        <v>1142.02</v>
      </c>
    </row>
    <row r="5429" spans="5:7" x14ac:dyDescent="0.3">
      <c r="E5429" s="80">
        <v>45683</v>
      </c>
      <c r="F5429">
        <v>1010100</v>
      </c>
      <c r="G5429">
        <v>1142.02</v>
      </c>
    </row>
    <row r="5430" spans="5:7" x14ac:dyDescent="0.3">
      <c r="E5430" s="80">
        <v>45682</v>
      </c>
      <c r="F5430">
        <v>1010100</v>
      </c>
      <c r="G5430">
        <v>1142.02</v>
      </c>
    </row>
    <row r="5431" spans="5:7" x14ac:dyDescent="0.3">
      <c r="E5431" s="80">
        <v>45682</v>
      </c>
      <c r="F5431">
        <v>1010100</v>
      </c>
      <c r="G5431">
        <v>1142.02</v>
      </c>
    </row>
    <row r="5432" spans="5:7" x14ac:dyDescent="0.3">
      <c r="E5432" s="80">
        <v>45682</v>
      </c>
      <c r="F5432">
        <v>1010100</v>
      </c>
      <c r="G5432">
        <v>1256.26</v>
      </c>
    </row>
    <row r="5433" spans="5:7" x14ac:dyDescent="0.3">
      <c r="E5433" s="80">
        <v>45682</v>
      </c>
      <c r="F5433">
        <v>1010100</v>
      </c>
      <c r="G5433">
        <v>1142.02</v>
      </c>
    </row>
    <row r="5434" spans="5:7" x14ac:dyDescent="0.3">
      <c r="E5434" s="80">
        <v>45682</v>
      </c>
      <c r="F5434">
        <v>1010100</v>
      </c>
      <c r="G5434">
        <v>1142.02</v>
      </c>
    </row>
    <row r="5435" spans="5:7" x14ac:dyDescent="0.3">
      <c r="E5435" s="80">
        <v>45682</v>
      </c>
      <c r="F5435">
        <v>1010100</v>
      </c>
      <c r="G5435">
        <v>1256.26</v>
      </c>
    </row>
    <row r="5436" spans="5:7" x14ac:dyDescent="0.3">
      <c r="E5436" s="80">
        <v>45682</v>
      </c>
      <c r="F5436">
        <v>1010100</v>
      </c>
      <c r="G5436">
        <v>1142.02</v>
      </c>
    </row>
    <row r="5437" spans="5:7" x14ac:dyDescent="0.3">
      <c r="E5437" s="80">
        <v>45682</v>
      </c>
      <c r="F5437">
        <v>1010100</v>
      </c>
      <c r="G5437">
        <v>1142.02</v>
      </c>
    </row>
    <row r="5438" spans="5:7" x14ac:dyDescent="0.3">
      <c r="E5438" s="80">
        <v>45682</v>
      </c>
      <c r="F5438">
        <v>1010100</v>
      </c>
      <c r="G5438">
        <v>1142.02</v>
      </c>
    </row>
    <row r="5439" spans="5:7" x14ac:dyDescent="0.3">
      <c r="E5439" s="80">
        <v>45682</v>
      </c>
      <c r="F5439">
        <v>1010100</v>
      </c>
      <c r="G5439">
        <v>1142.02</v>
      </c>
    </row>
    <row r="5440" spans="5:7" x14ac:dyDescent="0.3">
      <c r="E5440" s="80">
        <v>45682</v>
      </c>
      <c r="F5440">
        <v>1010100</v>
      </c>
      <c r="G5440">
        <v>1256.26</v>
      </c>
    </row>
    <row r="5441" spans="5:7" x14ac:dyDescent="0.3">
      <c r="E5441" s="80">
        <v>45682</v>
      </c>
      <c r="F5441">
        <v>1010100</v>
      </c>
      <c r="G5441">
        <v>1142.02</v>
      </c>
    </row>
    <row r="5442" spans="5:7" x14ac:dyDescent="0.3">
      <c r="E5442" s="80">
        <v>45682</v>
      </c>
      <c r="F5442">
        <v>1010100</v>
      </c>
      <c r="G5442">
        <v>1142.02</v>
      </c>
    </row>
    <row r="5443" spans="5:7" x14ac:dyDescent="0.3">
      <c r="E5443" s="80">
        <v>45682</v>
      </c>
      <c r="F5443">
        <v>1010100</v>
      </c>
      <c r="G5443">
        <v>1142.02</v>
      </c>
    </row>
    <row r="5444" spans="5:7" x14ac:dyDescent="0.3">
      <c r="E5444" s="80">
        <v>45682</v>
      </c>
      <c r="F5444">
        <v>1010100</v>
      </c>
      <c r="G5444">
        <v>1142.02</v>
      </c>
    </row>
    <row r="5445" spans="5:7" x14ac:dyDescent="0.3">
      <c r="E5445" s="80">
        <v>45681</v>
      </c>
      <c r="F5445">
        <v>1010100</v>
      </c>
      <c r="G5445">
        <v>1142.02</v>
      </c>
    </row>
    <row r="5446" spans="5:7" x14ac:dyDescent="0.3">
      <c r="E5446" s="80">
        <v>45681</v>
      </c>
      <c r="F5446">
        <v>1010100</v>
      </c>
      <c r="G5446">
        <v>1142.02</v>
      </c>
    </row>
    <row r="5447" spans="5:7" x14ac:dyDescent="0.3">
      <c r="E5447" s="80">
        <v>45681</v>
      </c>
      <c r="F5447">
        <v>1010100</v>
      </c>
      <c r="G5447">
        <v>1142.02</v>
      </c>
    </row>
    <row r="5448" spans="5:7" x14ac:dyDescent="0.3">
      <c r="E5448" s="80">
        <v>45681</v>
      </c>
      <c r="F5448">
        <v>1010100</v>
      </c>
      <c r="G5448">
        <v>1142.02</v>
      </c>
    </row>
    <row r="5449" spans="5:7" x14ac:dyDescent="0.3">
      <c r="E5449" s="80">
        <v>45681</v>
      </c>
      <c r="F5449">
        <v>1010100</v>
      </c>
      <c r="G5449">
        <v>1142.02</v>
      </c>
    </row>
    <row r="5450" spans="5:7" x14ac:dyDescent="0.3">
      <c r="E5450" s="80">
        <v>45681</v>
      </c>
      <c r="F5450">
        <v>1010100</v>
      </c>
      <c r="G5450">
        <v>1142.02</v>
      </c>
    </row>
    <row r="5451" spans="5:7" x14ac:dyDescent="0.3">
      <c r="E5451" s="80">
        <v>45681</v>
      </c>
      <c r="F5451">
        <v>1010100</v>
      </c>
      <c r="G5451">
        <v>1142.02</v>
      </c>
    </row>
    <row r="5452" spans="5:7" x14ac:dyDescent="0.3">
      <c r="E5452" s="80">
        <v>45681</v>
      </c>
      <c r="F5452">
        <v>1010100</v>
      </c>
      <c r="G5452">
        <v>1142.02</v>
      </c>
    </row>
    <row r="5453" spans="5:7" x14ac:dyDescent="0.3">
      <c r="E5453" s="80">
        <v>45680</v>
      </c>
      <c r="F5453">
        <v>1010100</v>
      </c>
      <c r="G5453">
        <v>1142.02</v>
      </c>
    </row>
    <row r="5454" spans="5:7" x14ac:dyDescent="0.3">
      <c r="E5454" s="80">
        <v>45680</v>
      </c>
      <c r="F5454">
        <v>1010100</v>
      </c>
      <c r="G5454">
        <v>1142.02</v>
      </c>
    </row>
    <row r="5455" spans="5:7" x14ac:dyDescent="0.3">
      <c r="E5455" s="80">
        <v>45680</v>
      </c>
      <c r="F5455">
        <v>1010100</v>
      </c>
      <c r="G5455">
        <v>1142.02</v>
      </c>
    </row>
    <row r="5456" spans="5:7" x14ac:dyDescent="0.3">
      <c r="E5456" s="80">
        <v>45680</v>
      </c>
      <c r="F5456">
        <v>1010100</v>
      </c>
      <c r="G5456">
        <v>1142.02</v>
      </c>
    </row>
    <row r="5457" spans="5:7" x14ac:dyDescent="0.3">
      <c r="E5457" s="80">
        <v>45680</v>
      </c>
      <c r="F5457">
        <v>1010100</v>
      </c>
      <c r="G5457">
        <v>1142.02</v>
      </c>
    </row>
    <row r="5458" spans="5:7" x14ac:dyDescent="0.3">
      <c r="E5458" s="80">
        <v>45680</v>
      </c>
      <c r="F5458">
        <v>1010100</v>
      </c>
      <c r="G5458">
        <v>1142.02</v>
      </c>
    </row>
    <row r="5459" spans="5:7" x14ac:dyDescent="0.3">
      <c r="E5459" s="80">
        <v>45680</v>
      </c>
      <c r="F5459">
        <v>1010100</v>
      </c>
      <c r="G5459">
        <v>1142.02</v>
      </c>
    </row>
    <row r="5460" spans="5:7" x14ac:dyDescent="0.3">
      <c r="E5460" s="80">
        <v>45679</v>
      </c>
      <c r="F5460">
        <v>1010100</v>
      </c>
      <c r="G5460">
        <v>1142.02</v>
      </c>
    </row>
    <row r="5461" spans="5:7" x14ac:dyDescent="0.3">
      <c r="E5461" s="80">
        <v>45679</v>
      </c>
      <c r="F5461">
        <v>1010100</v>
      </c>
      <c r="G5461">
        <v>1142.02</v>
      </c>
    </row>
    <row r="5462" spans="5:7" x14ac:dyDescent="0.3">
      <c r="E5462" s="80">
        <v>45679</v>
      </c>
      <c r="F5462">
        <v>1010100</v>
      </c>
      <c r="G5462">
        <v>1142.02</v>
      </c>
    </row>
    <row r="5463" spans="5:7" x14ac:dyDescent="0.3">
      <c r="E5463" s="80">
        <v>45679</v>
      </c>
      <c r="F5463">
        <v>1010100</v>
      </c>
      <c r="G5463">
        <v>1142.02</v>
      </c>
    </row>
    <row r="5464" spans="5:7" x14ac:dyDescent="0.3">
      <c r="E5464" s="80">
        <v>45679</v>
      </c>
      <c r="F5464">
        <v>1010100</v>
      </c>
      <c r="G5464">
        <v>1142.02</v>
      </c>
    </row>
    <row r="5465" spans="5:7" x14ac:dyDescent="0.3">
      <c r="E5465" s="80">
        <v>45679</v>
      </c>
      <c r="F5465">
        <v>1010100</v>
      </c>
      <c r="G5465">
        <v>1142.02</v>
      </c>
    </row>
    <row r="5466" spans="5:7" x14ac:dyDescent="0.3">
      <c r="E5466" s="80">
        <v>45679</v>
      </c>
      <c r="F5466">
        <v>1010100</v>
      </c>
      <c r="G5466">
        <v>2055.64</v>
      </c>
    </row>
    <row r="5467" spans="5:7" x14ac:dyDescent="0.3">
      <c r="E5467" s="80">
        <v>45679</v>
      </c>
      <c r="F5467">
        <v>1010100</v>
      </c>
      <c r="G5467">
        <v>1027.82</v>
      </c>
    </row>
    <row r="5468" spans="5:7" x14ac:dyDescent="0.3">
      <c r="E5468" s="80">
        <v>45679</v>
      </c>
      <c r="F5468">
        <v>1010100</v>
      </c>
      <c r="G5468">
        <v>1142.02</v>
      </c>
    </row>
    <row r="5469" spans="5:7" x14ac:dyDescent="0.3">
      <c r="E5469" s="80">
        <v>45678</v>
      </c>
      <c r="F5469">
        <v>1010100</v>
      </c>
      <c r="G5469">
        <v>1142.02</v>
      </c>
    </row>
    <row r="5470" spans="5:7" x14ac:dyDescent="0.3">
      <c r="E5470" s="80">
        <v>45678</v>
      </c>
      <c r="F5470">
        <v>1010100</v>
      </c>
      <c r="G5470">
        <v>1142.02</v>
      </c>
    </row>
    <row r="5471" spans="5:7" x14ac:dyDescent="0.3">
      <c r="E5471" s="80">
        <v>45678</v>
      </c>
      <c r="F5471">
        <v>1010100</v>
      </c>
      <c r="G5471">
        <v>1142.02</v>
      </c>
    </row>
    <row r="5472" spans="5:7" x14ac:dyDescent="0.3">
      <c r="E5472" s="80">
        <v>45678</v>
      </c>
      <c r="F5472">
        <v>1010100</v>
      </c>
      <c r="G5472">
        <v>1142.02</v>
      </c>
    </row>
    <row r="5473" spans="5:7" x14ac:dyDescent="0.3">
      <c r="E5473" s="80">
        <v>45678</v>
      </c>
      <c r="F5473">
        <v>1010100</v>
      </c>
      <c r="G5473">
        <v>1142.02</v>
      </c>
    </row>
    <row r="5474" spans="5:7" x14ac:dyDescent="0.3">
      <c r="E5474" s="80">
        <v>45678</v>
      </c>
      <c r="F5474">
        <v>1010100</v>
      </c>
      <c r="G5474">
        <v>1142.02</v>
      </c>
    </row>
    <row r="5475" spans="5:7" x14ac:dyDescent="0.3">
      <c r="E5475" s="80">
        <v>45678</v>
      </c>
      <c r="F5475">
        <v>1010100</v>
      </c>
      <c r="G5475">
        <v>1142.02</v>
      </c>
    </row>
    <row r="5476" spans="5:7" x14ac:dyDescent="0.3">
      <c r="E5476" s="80">
        <v>45678</v>
      </c>
      <c r="F5476">
        <v>1010100</v>
      </c>
      <c r="G5476">
        <v>1142.02</v>
      </c>
    </row>
    <row r="5477" spans="5:7" x14ac:dyDescent="0.3">
      <c r="E5477" s="80">
        <v>45678</v>
      </c>
      <c r="F5477">
        <v>1010100</v>
      </c>
      <c r="G5477">
        <v>1142.02</v>
      </c>
    </row>
    <row r="5478" spans="5:7" x14ac:dyDescent="0.3">
      <c r="E5478" s="80">
        <v>45678</v>
      </c>
      <c r="F5478">
        <v>1010100</v>
      </c>
      <c r="G5478">
        <v>1142.02</v>
      </c>
    </row>
    <row r="5479" spans="5:7" x14ac:dyDescent="0.3">
      <c r="E5479" s="80">
        <v>45678</v>
      </c>
      <c r="F5479">
        <v>1010100</v>
      </c>
      <c r="G5479">
        <v>1027.82</v>
      </c>
    </row>
    <row r="5480" spans="5:7" x14ac:dyDescent="0.3">
      <c r="E5480" s="80">
        <v>45678</v>
      </c>
      <c r="F5480">
        <v>1010100</v>
      </c>
      <c r="G5480">
        <v>1142.02</v>
      </c>
    </row>
    <row r="5481" spans="5:7" x14ac:dyDescent="0.3">
      <c r="E5481" s="80">
        <v>45678</v>
      </c>
      <c r="F5481">
        <v>1010100</v>
      </c>
      <c r="G5481">
        <v>1142.02</v>
      </c>
    </row>
    <row r="5482" spans="5:7" x14ac:dyDescent="0.3">
      <c r="E5482" s="80">
        <v>45678</v>
      </c>
      <c r="F5482">
        <v>1010100</v>
      </c>
      <c r="G5482">
        <v>1142.02</v>
      </c>
    </row>
    <row r="5483" spans="5:7" x14ac:dyDescent="0.3">
      <c r="E5483" s="80">
        <v>45677</v>
      </c>
      <c r="F5483">
        <v>1010100</v>
      </c>
      <c r="G5483">
        <v>1142.02</v>
      </c>
    </row>
    <row r="5484" spans="5:7" x14ac:dyDescent="0.3">
      <c r="E5484" s="80">
        <v>45677</v>
      </c>
      <c r="F5484">
        <v>1010100</v>
      </c>
      <c r="G5484">
        <v>1142.02</v>
      </c>
    </row>
    <row r="5485" spans="5:7" x14ac:dyDescent="0.3">
      <c r="E5485" s="80">
        <v>45677</v>
      </c>
      <c r="F5485">
        <v>1010100</v>
      </c>
      <c r="G5485">
        <v>1142.02</v>
      </c>
    </row>
    <row r="5486" spans="5:7" x14ac:dyDescent="0.3">
      <c r="E5486" s="80">
        <v>45677</v>
      </c>
      <c r="F5486">
        <v>1010100</v>
      </c>
      <c r="G5486">
        <v>1256.26</v>
      </c>
    </row>
    <row r="5487" spans="5:7" x14ac:dyDescent="0.3">
      <c r="E5487" s="80">
        <v>45677</v>
      </c>
      <c r="F5487">
        <v>1010100</v>
      </c>
      <c r="G5487">
        <v>1142.02</v>
      </c>
    </row>
    <row r="5488" spans="5:7" x14ac:dyDescent="0.3">
      <c r="E5488" s="80">
        <v>45677</v>
      </c>
      <c r="F5488">
        <v>1010100</v>
      </c>
      <c r="G5488">
        <v>1142.02</v>
      </c>
    </row>
    <row r="5489" spans="5:7" x14ac:dyDescent="0.3">
      <c r="E5489" s="80">
        <v>45676</v>
      </c>
      <c r="F5489">
        <v>1010100</v>
      </c>
      <c r="G5489">
        <v>1142.02</v>
      </c>
    </row>
    <row r="5490" spans="5:7" x14ac:dyDescent="0.3">
      <c r="E5490" s="80">
        <v>45676</v>
      </c>
      <c r="F5490">
        <v>1010100</v>
      </c>
      <c r="G5490">
        <v>1142.02</v>
      </c>
    </row>
    <row r="5491" spans="5:7" x14ac:dyDescent="0.3">
      <c r="E5491" s="80">
        <v>45676</v>
      </c>
      <c r="F5491">
        <v>1010100</v>
      </c>
      <c r="G5491">
        <v>1256.26</v>
      </c>
    </row>
    <row r="5492" spans="5:7" x14ac:dyDescent="0.3">
      <c r="E5492" s="80">
        <v>45676</v>
      </c>
      <c r="F5492">
        <v>1010100</v>
      </c>
      <c r="G5492">
        <v>1142.02</v>
      </c>
    </row>
    <row r="5493" spans="5:7" x14ac:dyDescent="0.3">
      <c r="E5493" s="80">
        <v>45676</v>
      </c>
      <c r="F5493">
        <v>1010100</v>
      </c>
      <c r="G5493">
        <v>1142.02</v>
      </c>
    </row>
    <row r="5494" spans="5:7" x14ac:dyDescent="0.3">
      <c r="E5494" s="80">
        <v>45676</v>
      </c>
      <c r="F5494">
        <v>1010100</v>
      </c>
      <c r="G5494">
        <v>1142.02</v>
      </c>
    </row>
    <row r="5495" spans="5:7" x14ac:dyDescent="0.3">
      <c r="E5495" s="80">
        <v>45676</v>
      </c>
      <c r="F5495">
        <v>1010100</v>
      </c>
      <c r="G5495">
        <v>1142.02</v>
      </c>
    </row>
    <row r="5496" spans="5:7" x14ac:dyDescent="0.3">
      <c r="E5496" s="80">
        <v>45676</v>
      </c>
      <c r="F5496">
        <v>1010100</v>
      </c>
      <c r="G5496">
        <v>1142.02</v>
      </c>
    </row>
    <row r="5497" spans="5:7" x14ac:dyDescent="0.3">
      <c r="E5497" s="80">
        <v>45676</v>
      </c>
      <c r="F5497">
        <v>1010100</v>
      </c>
      <c r="G5497">
        <v>1142.02</v>
      </c>
    </row>
    <row r="5498" spans="5:7" x14ac:dyDescent="0.3">
      <c r="E5498" s="80">
        <v>45676</v>
      </c>
      <c r="F5498">
        <v>1010100</v>
      </c>
      <c r="G5498">
        <v>1142.02</v>
      </c>
    </row>
    <row r="5499" spans="5:7" x14ac:dyDescent="0.3">
      <c r="E5499" s="80">
        <v>45676</v>
      </c>
      <c r="F5499">
        <v>1010100</v>
      </c>
      <c r="G5499">
        <v>1142.02</v>
      </c>
    </row>
    <row r="5500" spans="5:7" x14ac:dyDescent="0.3">
      <c r="E5500" s="80">
        <v>45676</v>
      </c>
      <c r="F5500">
        <v>1010100</v>
      </c>
      <c r="G5500">
        <v>380.42</v>
      </c>
    </row>
    <row r="5501" spans="5:7" x14ac:dyDescent="0.3">
      <c r="E5501" s="80">
        <v>45676</v>
      </c>
      <c r="F5501">
        <v>1010100</v>
      </c>
      <c r="G5501">
        <v>1142.02</v>
      </c>
    </row>
    <row r="5502" spans="5:7" x14ac:dyDescent="0.3">
      <c r="E5502" s="80">
        <v>45676</v>
      </c>
      <c r="F5502">
        <v>1010100</v>
      </c>
      <c r="G5502">
        <v>1142.02</v>
      </c>
    </row>
    <row r="5503" spans="5:7" x14ac:dyDescent="0.3">
      <c r="E5503" s="80">
        <v>45676</v>
      </c>
      <c r="F5503">
        <v>1010100</v>
      </c>
      <c r="G5503">
        <v>1142.02</v>
      </c>
    </row>
    <row r="5504" spans="5:7" x14ac:dyDescent="0.3">
      <c r="E5504" s="80">
        <v>45676</v>
      </c>
      <c r="F5504">
        <v>1010100</v>
      </c>
      <c r="G5504">
        <v>1142.02</v>
      </c>
    </row>
    <row r="5505" spans="5:7" x14ac:dyDescent="0.3">
      <c r="E5505" s="80">
        <v>45676</v>
      </c>
      <c r="F5505">
        <v>1010100</v>
      </c>
      <c r="G5505">
        <v>1142.02</v>
      </c>
    </row>
    <row r="5506" spans="5:7" x14ac:dyDescent="0.3">
      <c r="E5506" s="80">
        <v>45676</v>
      </c>
      <c r="F5506">
        <v>1010100</v>
      </c>
      <c r="G5506">
        <v>380.42</v>
      </c>
    </row>
    <row r="5507" spans="5:7" x14ac:dyDescent="0.3">
      <c r="E5507" s="80">
        <v>45675</v>
      </c>
      <c r="F5507">
        <v>1010100</v>
      </c>
      <c r="G5507">
        <v>1142.02</v>
      </c>
    </row>
    <row r="5508" spans="5:7" x14ac:dyDescent="0.3">
      <c r="E5508" s="80">
        <v>45675</v>
      </c>
      <c r="F5508">
        <v>1010100</v>
      </c>
      <c r="G5508">
        <v>1142.02</v>
      </c>
    </row>
    <row r="5509" spans="5:7" x14ac:dyDescent="0.3">
      <c r="E5509" s="80">
        <v>45675</v>
      </c>
      <c r="F5509">
        <v>1010100</v>
      </c>
      <c r="G5509">
        <v>1142.02</v>
      </c>
    </row>
    <row r="5510" spans="5:7" x14ac:dyDescent="0.3">
      <c r="E5510" s="80">
        <v>45675</v>
      </c>
      <c r="F5510">
        <v>1010100</v>
      </c>
      <c r="G5510">
        <v>1256.26</v>
      </c>
    </row>
    <row r="5511" spans="5:7" x14ac:dyDescent="0.3">
      <c r="E5511" s="80">
        <v>45675</v>
      </c>
      <c r="F5511">
        <v>1010100</v>
      </c>
      <c r="G5511">
        <v>1027.82</v>
      </c>
    </row>
    <row r="5512" spans="5:7" x14ac:dyDescent="0.3">
      <c r="E5512" s="80">
        <v>45675</v>
      </c>
      <c r="F5512">
        <v>1010100</v>
      </c>
      <c r="G5512">
        <v>1142.02</v>
      </c>
    </row>
    <row r="5513" spans="5:7" x14ac:dyDescent="0.3">
      <c r="E5513" s="80">
        <v>45675</v>
      </c>
      <c r="F5513">
        <v>1010100</v>
      </c>
      <c r="G5513">
        <v>1142.02</v>
      </c>
    </row>
    <row r="5514" spans="5:7" x14ac:dyDescent="0.3">
      <c r="E5514" s="80">
        <v>45675</v>
      </c>
      <c r="F5514">
        <v>1010100</v>
      </c>
      <c r="G5514">
        <v>1142.02</v>
      </c>
    </row>
    <row r="5515" spans="5:7" x14ac:dyDescent="0.3">
      <c r="E5515" s="80">
        <v>45675</v>
      </c>
      <c r="F5515">
        <v>1010100</v>
      </c>
      <c r="G5515">
        <v>1027.82</v>
      </c>
    </row>
    <row r="5516" spans="5:7" x14ac:dyDescent="0.3">
      <c r="E5516" s="80">
        <v>45675</v>
      </c>
      <c r="F5516">
        <v>1010100</v>
      </c>
      <c r="G5516">
        <v>1142.02</v>
      </c>
    </row>
    <row r="5517" spans="5:7" x14ac:dyDescent="0.3">
      <c r="E5517" s="80">
        <v>45675</v>
      </c>
      <c r="F5517">
        <v>1010100</v>
      </c>
      <c r="G5517">
        <v>1142.02</v>
      </c>
    </row>
    <row r="5518" spans="5:7" x14ac:dyDescent="0.3">
      <c r="E5518" s="80">
        <v>45674</v>
      </c>
      <c r="F5518">
        <v>1010100</v>
      </c>
      <c r="G5518">
        <v>1027.82</v>
      </c>
    </row>
    <row r="5519" spans="5:7" x14ac:dyDescent="0.3">
      <c r="E5519" s="80">
        <v>45674</v>
      </c>
      <c r="F5519">
        <v>1010100</v>
      </c>
      <c r="G5519">
        <v>1256.26</v>
      </c>
    </row>
    <row r="5520" spans="5:7" x14ac:dyDescent="0.3">
      <c r="E5520" s="80">
        <v>45674</v>
      </c>
      <c r="F5520">
        <v>1010100</v>
      </c>
      <c r="G5520">
        <v>1142.02</v>
      </c>
    </row>
    <row r="5521" spans="5:7" x14ac:dyDescent="0.3">
      <c r="E5521" s="80">
        <v>45674</v>
      </c>
      <c r="F5521">
        <v>1010100</v>
      </c>
      <c r="G5521">
        <v>1142.02</v>
      </c>
    </row>
    <row r="5522" spans="5:7" x14ac:dyDescent="0.3">
      <c r="E5522" s="80">
        <v>45674</v>
      </c>
      <c r="F5522">
        <v>1010100</v>
      </c>
      <c r="G5522">
        <v>1027.82</v>
      </c>
    </row>
    <row r="5523" spans="5:7" x14ac:dyDescent="0.3">
      <c r="E5523" s="80">
        <v>45674</v>
      </c>
      <c r="F5523">
        <v>1010100</v>
      </c>
      <c r="G5523">
        <v>1142.02</v>
      </c>
    </row>
    <row r="5524" spans="5:7" x14ac:dyDescent="0.3">
      <c r="E5524" s="80">
        <v>45674</v>
      </c>
      <c r="F5524">
        <v>1010100</v>
      </c>
      <c r="G5524">
        <v>1027.82</v>
      </c>
    </row>
    <row r="5525" spans="5:7" x14ac:dyDescent="0.3">
      <c r="E5525" s="80">
        <v>45674</v>
      </c>
      <c r="F5525">
        <v>1010100</v>
      </c>
      <c r="G5525">
        <v>1142.02</v>
      </c>
    </row>
    <row r="5526" spans="5:7" x14ac:dyDescent="0.3">
      <c r="E5526" s="80">
        <v>45674</v>
      </c>
      <c r="F5526">
        <v>1010100</v>
      </c>
      <c r="G5526">
        <v>1142.02</v>
      </c>
    </row>
    <row r="5527" spans="5:7" x14ac:dyDescent="0.3">
      <c r="E5527" s="80">
        <v>45674</v>
      </c>
      <c r="F5527">
        <v>1010100</v>
      </c>
      <c r="G5527">
        <v>380.42</v>
      </c>
    </row>
    <row r="5528" spans="5:7" x14ac:dyDescent="0.3">
      <c r="E5528" s="80">
        <v>45674</v>
      </c>
      <c r="F5528">
        <v>1010100</v>
      </c>
      <c r="G5528">
        <v>1142.02</v>
      </c>
    </row>
    <row r="5529" spans="5:7" x14ac:dyDescent="0.3">
      <c r="E5529" s="80">
        <v>45673</v>
      </c>
      <c r="F5529">
        <v>1010100</v>
      </c>
      <c r="G5529">
        <v>1142.02</v>
      </c>
    </row>
    <row r="5530" spans="5:7" x14ac:dyDescent="0.3">
      <c r="E5530" s="80">
        <v>45673</v>
      </c>
      <c r="F5530">
        <v>1010100</v>
      </c>
      <c r="G5530">
        <v>1142.02</v>
      </c>
    </row>
    <row r="5531" spans="5:7" x14ac:dyDescent="0.3">
      <c r="E5531" s="80">
        <v>45673</v>
      </c>
      <c r="F5531">
        <v>1010100</v>
      </c>
      <c r="G5531">
        <v>1142.02</v>
      </c>
    </row>
    <row r="5532" spans="5:7" x14ac:dyDescent="0.3">
      <c r="E5532" s="80">
        <v>45673</v>
      </c>
      <c r="F5532">
        <v>1010100</v>
      </c>
      <c r="G5532">
        <v>1142.02</v>
      </c>
    </row>
    <row r="5533" spans="5:7" x14ac:dyDescent="0.3">
      <c r="E5533" s="80">
        <v>45673</v>
      </c>
      <c r="F5533">
        <v>1010100</v>
      </c>
      <c r="G5533">
        <v>1142.02</v>
      </c>
    </row>
    <row r="5534" spans="5:7" x14ac:dyDescent="0.3">
      <c r="E5534" s="80">
        <v>45673</v>
      </c>
      <c r="F5534">
        <v>1010100</v>
      </c>
      <c r="G5534">
        <v>1256.26</v>
      </c>
    </row>
    <row r="5535" spans="5:7" x14ac:dyDescent="0.3">
      <c r="E5535" s="80">
        <v>45672</v>
      </c>
      <c r="F5535">
        <v>1010100</v>
      </c>
      <c r="G5535">
        <v>1027.82</v>
      </c>
    </row>
    <row r="5536" spans="5:7" x14ac:dyDescent="0.3">
      <c r="E5536" s="80">
        <v>45672</v>
      </c>
      <c r="F5536">
        <v>1010100</v>
      </c>
      <c r="G5536">
        <v>1142.02</v>
      </c>
    </row>
    <row r="5537" spans="5:7" x14ac:dyDescent="0.3">
      <c r="E5537" s="80">
        <v>45672</v>
      </c>
      <c r="F5537">
        <v>1010100</v>
      </c>
      <c r="G5537">
        <v>1142.02</v>
      </c>
    </row>
    <row r="5538" spans="5:7" x14ac:dyDescent="0.3">
      <c r="E5538" s="80">
        <v>45672</v>
      </c>
      <c r="F5538">
        <v>1010100</v>
      </c>
      <c r="G5538">
        <v>1142.02</v>
      </c>
    </row>
    <row r="5539" spans="5:7" x14ac:dyDescent="0.3">
      <c r="E5539" s="80">
        <v>45672</v>
      </c>
      <c r="F5539">
        <v>1010100</v>
      </c>
      <c r="G5539">
        <v>1142.02</v>
      </c>
    </row>
    <row r="5540" spans="5:7" x14ac:dyDescent="0.3">
      <c r="E5540" s="80">
        <v>45672</v>
      </c>
      <c r="F5540">
        <v>1010100</v>
      </c>
      <c r="G5540">
        <v>1142.02</v>
      </c>
    </row>
    <row r="5541" spans="5:7" x14ac:dyDescent="0.3">
      <c r="E5541" s="80">
        <v>45672</v>
      </c>
      <c r="F5541">
        <v>1010100</v>
      </c>
      <c r="G5541">
        <v>1142.02</v>
      </c>
    </row>
    <row r="5542" spans="5:7" x14ac:dyDescent="0.3">
      <c r="E5542" s="80">
        <v>45672</v>
      </c>
      <c r="F5542">
        <v>1010100</v>
      </c>
      <c r="G5542">
        <v>1142.02</v>
      </c>
    </row>
    <row r="5543" spans="5:7" x14ac:dyDescent="0.3">
      <c r="E5543" s="80">
        <v>45672</v>
      </c>
      <c r="F5543">
        <v>1010100</v>
      </c>
      <c r="G5543">
        <v>1142.02</v>
      </c>
    </row>
    <row r="5544" spans="5:7" x14ac:dyDescent="0.3">
      <c r="E5544" s="80">
        <v>45672</v>
      </c>
      <c r="F5544">
        <v>1010100</v>
      </c>
      <c r="G5544">
        <v>1142.02</v>
      </c>
    </row>
    <row r="5545" spans="5:7" x14ac:dyDescent="0.3">
      <c r="E5545" s="80">
        <v>45672</v>
      </c>
      <c r="F5545">
        <v>1010100</v>
      </c>
      <c r="G5545">
        <v>1142.02</v>
      </c>
    </row>
    <row r="5546" spans="5:7" x14ac:dyDescent="0.3">
      <c r="E5546" s="80">
        <v>45672</v>
      </c>
      <c r="F5546">
        <v>1010100</v>
      </c>
      <c r="G5546">
        <v>1142.02</v>
      </c>
    </row>
    <row r="5547" spans="5:7" x14ac:dyDescent="0.3">
      <c r="E5547" s="80">
        <v>45672</v>
      </c>
      <c r="F5547">
        <v>1010100</v>
      </c>
      <c r="G5547">
        <v>1142.02</v>
      </c>
    </row>
    <row r="5548" spans="5:7" x14ac:dyDescent="0.3">
      <c r="E5548" s="80">
        <v>45671</v>
      </c>
      <c r="F5548">
        <v>1010100</v>
      </c>
      <c r="G5548">
        <v>1142.02</v>
      </c>
    </row>
    <row r="5549" spans="5:7" x14ac:dyDescent="0.3">
      <c r="E5549" s="80">
        <v>45671</v>
      </c>
      <c r="F5549">
        <v>1010100</v>
      </c>
      <c r="G5549">
        <v>1142.02</v>
      </c>
    </row>
    <row r="5550" spans="5:7" x14ac:dyDescent="0.3">
      <c r="E5550" s="80">
        <v>45671</v>
      </c>
      <c r="F5550">
        <v>1010100</v>
      </c>
      <c r="G5550">
        <v>1142.02</v>
      </c>
    </row>
    <row r="5551" spans="5:7" x14ac:dyDescent="0.3">
      <c r="E5551" s="80">
        <v>45671</v>
      </c>
      <c r="F5551">
        <v>1010100</v>
      </c>
      <c r="G5551">
        <v>1142.02</v>
      </c>
    </row>
    <row r="5552" spans="5:7" x14ac:dyDescent="0.3">
      <c r="E5552" s="80">
        <v>45671</v>
      </c>
      <c r="F5552">
        <v>1010100</v>
      </c>
      <c r="G5552">
        <v>380.42</v>
      </c>
    </row>
    <row r="5553" spans="5:7" x14ac:dyDescent="0.3">
      <c r="E5553" s="80">
        <v>45671</v>
      </c>
      <c r="F5553">
        <v>1010100</v>
      </c>
      <c r="G5553">
        <v>1142.02</v>
      </c>
    </row>
    <row r="5554" spans="5:7" x14ac:dyDescent="0.3">
      <c r="E5554" s="80">
        <v>45671</v>
      </c>
      <c r="F5554">
        <v>1010100</v>
      </c>
      <c r="G5554">
        <v>1142.02</v>
      </c>
    </row>
    <row r="5555" spans="5:7" x14ac:dyDescent="0.3">
      <c r="E5555" s="80">
        <v>45671</v>
      </c>
      <c r="F5555">
        <v>1010100</v>
      </c>
      <c r="G5555">
        <v>1256.26</v>
      </c>
    </row>
    <row r="5556" spans="5:7" x14ac:dyDescent="0.3">
      <c r="E5556" s="80">
        <v>45671</v>
      </c>
      <c r="F5556">
        <v>1010100</v>
      </c>
      <c r="G5556">
        <v>1256.26</v>
      </c>
    </row>
    <row r="5557" spans="5:7" x14ac:dyDescent="0.3">
      <c r="E5557" s="80">
        <v>45670</v>
      </c>
      <c r="F5557">
        <v>1010100</v>
      </c>
      <c r="G5557">
        <v>1142.02</v>
      </c>
    </row>
    <row r="5558" spans="5:7" x14ac:dyDescent="0.3">
      <c r="E5558" s="80">
        <v>45670</v>
      </c>
      <c r="F5558">
        <v>1010100</v>
      </c>
      <c r="G5558">
        <v>1142.02</v>
      </c>
    </row>
    <row r="5559" spans="5:7" x14ac:dyDescent="0.3">
      <c r="E5559" s="80">
        <v>45670</v>
      </c>
      <c r="F5559">
        <v>1010100</v>
      </c>
      <c r="G5559">
        <v>1142.02</v>
      </c>
    </row>
    <row r="5560" spans="5:7" x14ac:dyDescent="0.3">
      <c r="E5560" s="80">
        <v>45670</v>
      </c>
      <c r="F5560">
        <v>1010100</v>
      </c>
      <c r="G5560">
        <v>1142.02</v>
      </c>
    </row>
    <row r="5561" spans="5:7" x14ac:dyDescent="0.3">
      <c r="E5561" s="80">
        <v>45670</v>
      </c>
      <c r="F5561">
        <v>1010100</v>
      </c>
      <c r="G5561">
        <v>1142.02</v>
      </c>
    </row>
    <row r="5562" spans="5:7" x14ac:dyDescent="0.3">
      <c r="E5562" s="80">
        <v>45670</v>
      </c>
      <c r="F5562">
        <v>1010100</v>
      </c>
      <c r="G5562">
        <v>1027.82</v>
      </c>
    </row>
    <row r="5563" spans="5:7" x14ac:dyDescent="0.3">
      <c r="E5563" s="80">
        <v>45669</v>
      </c>
      <c r="F5563">
        <v>1010100</v>
      </c>
      <c r="G5563">
        <v>1256.26</v>
      </c>
    </row>
    <row r="5564" spans="5:7" x14ac:dyDescent="0.3">
      <c r="E5564" s="80">
        <v>45669</v>
      </c>
      <c r="F5564">
        <v>1010100</v>
      </c>
      <c r="G5564">
        <v>1256.26</v>
      </c>
    </row>
    <row r="5565" spans="5:7" x14ac:dyDescent="0.3">
      <c r="E5565" s="80">
        <v>45669</v>
      </c>
      <c r="F5565">
        <v>1010100</v>
      </c>
      <c r="G5565">
        <v>1256.26</v>
      </c>
    </row>
    <row r="5566" spans="5:7" x14ac:dyDescent="0.3">
      <c r="E5566" s="80">
        <v>45669</v>
      </c>
      <c r="F5566">
        <v>1010100</v>
      </c>
      <c r="G5566">
        <v>1256.26</v>
      </c>
    </row>
    <row r="5567" spans="5:7" x14ac:dyDescent="0.3">
      <c r="E5567" s="80">
        <v>45669</v>
      </c>
      <c r="F5567">
        <v>1010100</v>
      </c>
      <c r="G5567">
        <v>1256.26</v>
      </c>
    </row>
    <row r="5568" spans="5:7" x14ac:dyDescent="0.3">
      <c r="E5568" s="80">
        <v>45669</v>
      </c>
      <c r="F5568">
        <v>1010100</v>
      </c>
      <c r="G5568">
        <v>1256.26</v>
      </c>
    </row>
    <row r="5569" spans="5:7" x14ac:dyDescent="0.3">
      <c r="E5569" s="80">
        <v>45669</v>
      </c>
      <c r="F5569">
        <v>1010100</v>
      </c>
      <c r="G5569">
        <v>1256.26</v>
      </c>
    </row>
    <row r="5570" spans="5:7" x14ac:dyDescent="0.3">
      <c r="E5570" s="80">
        <v>45669</v>
      </c>
      <c r="F5570">
        <v>1010100</v>
      </c>
      <c r="G5570">
        <v>1256.26</v>
      </c>
    </row>
    <row r="5571" spans="5:7" x14ac:dyDescent="0.3">
      <c r="E5571" s="80">
        <v>45668</v>
      </c>
      <c r="F5571">
        <v>1010100</v>
      </c>
      <c r="G5571">
        <v>1142.02</v>
      </c>
    </row>
    <row r="5572" spans="5:7" x14ac:dyDescent="0.3">
      <c r="E5572" s="80">
        <v>45668</v>
      </c>
      <c r="F5572">
        <v>1010100</v>
      </c>
      <c r="G5572">
        <v>1142.02</v>
      </c>
    </row>
    <row r="5573" spans="5:7" x14ac:dyDescent="0.3">
      <c r="E5573" s="80">
        <v>45668</v>
      </c>
      <c r="F5573">
        <v>1010100</v>
      </c>
      <c r="G5573">
        <v>1142.02</v>
      </c>
    </row>
    <row r="5574" spans="5:7" x14ac:dyDescent="0.3">
      <c r="E5574" s="80">
        <v>45668</v>
      </c>
      <c r="F5574">
        <v>1010100</v>
      </c>
      <c r="G5574">
        <v>1142.02</v>
      </c>
    </row>
    <row r="5575" spans="5:7" x14ac:dyDescent="0.3">
      <c r="E5575" s="80">
        <v>45668</v>
      </c>
      <c r="F5575">
        <v>1010100</v>
      </c>
      <c r="G5575">
        <v>1142.02</v>
      </c>
    </row>
    <row r="5576" spans="5:7" x14ac:dyDescent="0.3">
      <c r="E5576" s="80">
        <v>45668</v>
      </c>
      <c r="F5576">
        <v>1010100</v>
      </c>
      <c r="G5576">
        <v>1142.02</v>
      </c>
    </row>
    <row r="5577" spans="5:7" x14ac:dyDescent="0.3">
      <c r="E5577" s="80">
        <v>45668</v>
      </c>
      <c r="F5577">
        <v>1010100</v>
      </c>
      <c r="G5577">
        <v>1142.02</v>
      </c>
    </row>
    <row r="5578" spans="5:7" x14ac:dyDescent="0.3">
      <c r="E5578" s="80">
        <v>45668</v>
      </c>
      <c r="F5578">
        <v>1010100</v>
      </c>
      <c r="G5578">
        <v>1142.02</v>
      </c>
    </row>
    <row r="5579" spans="5:7" x14ac:dyDescent="0.3">
      <c r="E5579" s="80">
        <v>45668</v>
      </c>
      <c r="F5579">
        <v>1010100</v>
      </c>
      <c r="G5579">
        <v>1142.02</v>
      </c>
    </row>
    <row r="5580" spans="5:7" x14ac:dyDescent="0.3">
      <c r="E5580" s="80">
        <v>45668</v>
      </c>
      <c r="F5580">
        <v>1010100</v>
      </c>
      <c r="G5580">
        <v>1142.02</v>
      </c>
    </row>
    <row r="5581" spans="5:7" x14ac:dyDescent="0.3">
      <c r="E5581" s="80">
        <v>45668</v>
      </c>
      <c r="F5581">
        <v>1010100</v>
      </c>
      <c r="G5581">
        <v>1142.02</v>
      </c>
    </row>
    <row r="5582" spans="5:7" x14ac:dyDescent="0.3">
      <c r="E5582" s="80">
        <v>45668</v>
      </c>
      <c r="F5582">
        <v>1010100</v>
      </c>
      <c r="G5582">
        <v>1142.02</v>
      </c>
    </row>
    <row r="5583" spans="5:7" x14ac:dyDescent="0.3">
      <c r="E5583" s="80">
        <v>45668</v>
      </c>
      <c r="F5583">
        <v>1010100</v>
      </c>
      <c r="G5583">
        <v>1142.02</v>
      </c>
    </row>
    <row r="5584" spans="5:7" x14ac:dyDescent="0.3">
      <c r="E5584" s="80">
        <v>45668</v>
      </c>
      <c r="F5584">
        <v>1010100</v>
      </c>
      <c r="G5584">
        <v>1142.02</v>
      </c>
    </row>
    <row r="5585" spans="5:7" x14ac:dyDescent="0.3">
      <c r="E5585" s="80">
        <v>45668</v>
      </c>
      <c r="F5585">
        <v>1010100</v>
      </c>
      <c r="G5585">
        <v>1142.02</v>
      </c>
    </row>
    <row r="5586" spans="5:7" x14ac:dyDescent="0.3">
      <c r="E5586" s="80">
        <v>45667</v>
      </c>
      <c r="F5586">
        <v>1010100</v>
      </c>
      <c r="G5586">
        <v>1142.02</v>
      </c>
    </row>
    <row r="5587" spans="5:7" x14ac:dyDescent="0.3">
      <c r="E5587" s="80">
        <v>45667</v>
      </c>
      <c r="F5587">
        <v>1010100</v>
      </c>
      <c r="G5587">
        <v>1142.02</v>
      </c>
    </row>
    <row r="5588" spans="5:7" x14ac:dyDescent="0.3">
      <c r="E5588" s="80">
        <v>45667</v>
      </c>
      <c r="F5588">
        <v>1010100</v>
      </c>
      <c r="G5588">
        <v>1142.02</v>
      </c>
    </row>
    <row r="5589" spans="5:7" x14ac:dyDescent="0.3">
      <c r="E5589" s="80">
        <v>45667</v>
      </c>
      <c r="F5589">
        <v>1010100</v>
      </c>
      <c r="G5589">
        <v>1142.02</v>
      </c>
    </row>
    <row r="5590" spans="5:7" x14ac:dyDescent="0.3">
      <c r="E5590" s="80">
        <v>45667</v>
      </c>
      <c r="F5590">
        <v>1010100</v>
      </c>
      <c r="G5590">
        <v>1142.02</v>
      </c>
    </row>
    <row r="5591" spans="5:7" x14ac:dyDescent="0.3">
      <c r="E5591" s="80">
        <v>45667</v>
      </c>
      <c r="F5591">
        <v>1010100</v>
      </c>
      <c r="G5591">
        <v>1142.02</v>
      </c>
    </row>
    <row r="5592" spans="5:7" x14ac:dyDescent="0.3">
      <c r="E5592" s="80">
        <v>45667</v>
      </c>
      <c r="F5592">
        <v>1010100</v>
      </c>
      <c r="G5592">
        <v>1142.02</v>
      </c>
    </row>
    <row r="5593" spans="5:7" x14ac:dyDescent="0.3">
      <c r="E5593" s="80">
        <v>45667</v>
      </c>
      <c r="F5593">
        <v>1010100</v>
      </c>
      <c r="G5593">
        <v>1142.02</v>
      </c>
    </row>
    <row r="5594" spans="5:7" x14ac:dyDescent="0.3">
      <c r="E5594" s="80">
        <v>45667</v>
      </c>
      <c r="F5594">
        <v>1010100</v>
      </c>
      <c r="G5594">
        <v>1142.02</v>
      </c>
    </row>
    <row r="5595" spans="5:7" x14ac:dyDescent="0.3">
      <c r="E5595" s="80">
        <v>45667</v>
      </c>
      <c r="F5595">
        <v>1010100</v>
      </c>
      <c r="G5595">
        <v>1142.02</v>
      </c>
    </row>
    <row r="5596" spans="5:7" x14ac:dyDescent="0.3">
      <c r="E5596" s="80">
        <v>45667</v>
      </c>
      <c r="F5596">
        <v>1010100</v>
      </c>
      <c r="G5596">
        <v>1142.02</v>
      </c>
    </row>
    <row r="5597" spans="5:7" x14ac:dyDescent="0.3">
      <c r="E5597" s="80">
        <v>45667</v>
      </c>
      <c r="F5597">
        <v>1010100</v>
      </c>
      <c r="G5597">
        <v>1142.02</v>
      </c>
    </row>
    <row r="5598" spans="5:7" x14ac:dyDescent="0.3">
      <c r="E5598" s="80">
        <v>45667</v>
      </c>
      <c r="F5598">
        <v>1010100</v>
      </c>
      <c r="G5598">
        <v>1142.02</v>
      </c>
    </row>
    <row r="5599" spans="5:7" x14ac:dyDescent="0.3">
      <c r="E5599" s="80">
        <v>45667</v>
      </c>
      <c r="F5599">
        <v>1010100</v>
      </c>
      <c r="G5599">
        <v>1142.02</v>
      </c>
    </row>
    <row r="5600" spans="5:7" x14ac:dyDescent="0.3">
      <c r="E5600" s="80">
        <v>45667</v>
      </c>
      <c r="F5600">
        <v>1010100</v>
      </c>
      <c r="G5600">
        <v>1142.02</v>
      </c>
    </row>
    <row r="5601" spans="5:7" x14ac:dyDescent="0.3">
      <c r="E5601" s="80">
        <v>45666</v>
      </c>
      <c r="F5601">
        <v>1010100</v>
      </c>
      <c r="G5601">
        <v>1142.02</v>
      </c>
    </row>
    <row r="5602" spans="5:7" x14ac:dyDescent="0.3">
      <c r="E5602" s="80">
        <v>45666</v>
      </c>
      <c r="F5602">
        <v>1010100</v>
      </c>
      <c r="G5602">
        <v>1142.02</v>
      </c>
    </row>
    <row r="5603" spans="5:7" x14ac:dyDescent="0.3">
      <c r="E5603" s="80">
        <v>45666</v>
      </c>
      <c r="F5603">
        <v>1010100</v>
      </c>
      <c r="G5603">
        <v>1142.02</v>
      </c>
    </row>
    <row r="5604" spans="5:7" x14ac:dyDescent="0.3">
      <c r="E5604" s="80">
        <v>45666</v>
      </c>
      <c r="F5604">
        <v>1010100</v>
      </c>
      <c r="G5604">
        <v>1142.02</v>
      </c>
    </row>
    <row r="5605" spans="5:7" x14ac:dyDescent="0.3">
      <c r="E5605" s="80">
        <v>45666</v>
      </c>
      <c r="F5605">
        <v>1010100</v>
      </c>
      <c r="G5605">
        <v>1142.02</v>
      </c>
    </row>
    <row r="5606" spans="5:7" x14ac:dyDescent="0.3">
      <c r="E5606" s="80">
        <v>45666</v>
      </c>
      <c r="F5606">
        <v>1010100</v>
      </c>
      <c r="G5606">
        <v>1142.02</v>
      </c>
    </row>
    <row r="5607" spans="5:7" x14ac:dyDescent="0.3">
      <c r="E5607" s="80">
        <v>45666</v>
      </c>
      <c r="F5607">
        <v>1010100</v>
      </c>
      <c r="G5607">
        <v>1142.02</v>
      </c>
    </row>
    <row r="5608" spans="5:7" x14ac:dyDescent="0.3">
      <c r="E5608" s="80">
        <v>45666</v>
      </c>
      <c r="F5608">
        <v>1010100</v>
      </c>
      <c r="G5608">
        <v>1142.02</v>
      </c>
    </row>
    <row r="5609" spans="5:7" x14ac:dyDescent="0.3">
      <c r="E5609" s="80">
        <v>45666</v>
      </c>
      <c r="F5609">
        <v>1010100</v>
      </c>
      <c r="G5609">
        <v>1142.02</v>
      </c>
    </row>
    <row r="5610" spans="5:7" x14ac:dyDescent="0.3">
      <c r="E5610" s="80">
        <v>45666</v>
      </c>
      <c r="F5610">
        <v>1010100</v>
      </c>
      <c r="G5610">
        <v>1142.02</v>
      </c>
    </row>
    <row r="5611" spans="5:7" x14ac:dyDescent="0.3">
      <c r="E5611" s="80">
        <v>45666</v>
      </c>
      <c r="F5611">
        <v>1010100</v>
      </c>
      <c r="G5611">
        <v>1142.02</v>
      </c>
    </row>
    <row r="5612" spans="5:7" x14ac:dyDescent="0.3">
      <c r="E5612" s="761">
        <v>45666</v>
      </c>
      <c r="F5612">
        <v>1010100</v>
      </c>
      <c r="G5612">
        <v>1142.02</v>
      </c>
    </row>
    <row r="5613" spans="5:7" x14ac:dyDescent="0.3">
      <c r="E5613" s="761">
        <v>45666</v>
      </c>
      <c r="F5613">
        <v>1010100</v>
      </c>
      <c r="G5613">
        <v>1142.02</v>
      </c>
    </row>
    <row r="5614" spans="5:7" x14ac:dyDescent="0.3">
      <c r="E5614" s="761">
        <v>45666</v>
      </c>
      <c r="F5614">
        <v>1010100</v>
      </c>
      <c r="G5614">
        <v>1142.02</v>
      </c>
    </row>
    <row r="5615" spans="5:7" x14ac:dyDescent="0.3">
      <c r="E5615" s="761">
        <v>45666</v>
      </c>
      <c r="F5615">
        <v>1010100</v>
      </c>
      <c r="G5615">
        <v>1142.02</v>
      </c>
    </row>
    <row r="5616" spans="5:7" x14ac:dyDescent="0.3">
      <c r="E5616" s="761">
        <v>45666</v>
      </c>
      <c r="F5616">
        <v>1010100</v>
      </c>
      <c r="G5616">
        <v>1142.02</v>
      </c>
    </row>
    <row r="5617" spans="5:7" x14ac:dyDescent="0.3">
      <c r="E5617" s="761">
        <v>45666</v>
      </c>
      <c r="F5617">
        <v>1010100</v>
      </c>
      <c r="G5617">
        <v>1142.02</v>
      </c>
    </row>
    <row r="5618" spans="5:7" x14ac:dyDescent="0.3">
      <c r="E5618" s="761">
        <v>45666</v>
      </c>
      <c r="F5618">
        <v>1010100</v>
      </c>
      <c r="G5618">
        <v>1142.02</v>
      </c>
    </row>
    <row r="5619" spans="5:7" x14ac:dyDescent="0.3">
      <c r="E5619" s="761">
        <v>45665</v>
      </c>
      <c r="F5619">
        <v>1010100</v>
      </c>
      <c r="G5619">
        <v>1142.02</v>
      </c>
    </row>
    <row r="5620" spans="5:7" x14ac:dyDescent="0.3">
      <c r="E5620" s="761">
        <v>45665</v>
      </c>
      <c r="F5620">
        <v>1010100</v>
      </c>
      <c r="G5620">
        <v>1142.02</v>
      </c>
    </row>
    <row r="5621" spans="5:7" x14ac:dyDescent="0.3">
      <c r="E5621" s="761">
        <v>45665</v>
      </c>
      <c r="F5621">
        <v>1010100</v>
      </c>
      <c r="G5621">
        <v>1142.02</v>
      </c>
    </row>
    <row r="5622" spans="5:7" x14ac:dyDescent="0.3">
      <c r="E5622" s="761">
        <v>45665</v>
      </c>
      <c r="F5622">
        <v>1010100</v>
      </c>
      <c r="G5622">
        <v>1142.02</v>
      </c>
    </row>
    <row r="5623" spans="5:7" x14ac:dyDescent="0.3">
      <c r="E5623" s="761">
        <v>45665</v>
      </c>
      <c r="F5623">
        <v>1010100</v>
      </c>
      <c r="G5623">
        <v>1142.02</v>
      </c>
    </row>
    <row r="5624" spans="5:7" x14ac:dyDescent="0.3">
      <c r="E5624" s="761">
        <v>45665</v>
      </c>
      <c r="F5624">
        <v>1010100</v>
      </c>
      <c r="G5624">
        <v>1142.02</v>
      </c>
    </row>
    <row r="5625" spans="5:7" x14ac:dyDescent="0.3">
      <c r="E5625" s="761">
        <v>45665</v>
      </c>
      <c r="F5625">
        <v>1010100</v>
      </c>
      <c r="G5625">
        <v>1142.02</v>
      </c>
    </row>
    <row r="5626" spans="5:7" x14ac:dyDescent="0.3">
      <c r="E5626" s="761">
        <v>45665</v>
      </c>
      <c r="F5626">
        <v>1010100</v>
      </c>
      <c r="G5626">
        <v>1142.02</v>
      </c>
    </row>
    <row r="5627" spans="5:7" x14ac:dyDescent="0.3">
      <c r="E5627" s="761">
        <v>45665</v>
      </c>
      <c r="F5627">
        <v>1010100</v>
      </c>
      <c r="G5627">
        <v>1142.02</v>
      </c>
    </row>
    <row r="5628" spans="5:7" x14ac:dyDescent="0.3">
      <c r="E5628" s="761">
        <v>45665</v>
      </c>
      <c r="F5628">
        <v>1010100</v>
      </c>
      <c r="G5628">
        <v>1142.02</v>
      </c>
    </row>
    <row r="5629" spans="5:7" x14ac:dyDescent="0.3">
      <c r="E5629" s="761">
        <v>45665</v>
      </c>
      <c r="F5629">
        <v>1010100</v>
      </c>
      <c r="G5629">
        <v>1142.02</v>
      </c>
    </row>
    <row r="5630" spans="5:7" x14ac:dyDescent="0.3">
      <c r="E5630" s="761">
        <v>45665</v>
      </c>
      <c r="F5630">
        <v>1010100</v>
      </c>
      <c r="G5630">
        <v>1142.02</v>
      </c>
    </row>
    <row r="5631" spans="5:7" x14ac:dyDescent="0.3">
      <c r="E5631" s="761">
        <v>45665</v>
      </c>
      <c r="F5631">
        <v>1010100</v>
      </c>
      <c r="G5631">
        <v>1142.02</v>
      </c>
    </row>
    <row r="5632" spans="5:7" x14ac:dyDescent="0.3">
      <c r="E5632" s="761">
        <v>45665</v>
      </c>
      <c r="F5632">
        <v>1010100</v>
      </c>
      <c r="G5632">
        <v>1142.02</v>
      </c>
    </row>
    <row r="5633" spans="5:7" x14ac:dyDescent="0.3">
      <c r="E5633" s="761">
        <v>45665</v>
      </c>
      <c r="F5633">
        <v>1010100</v>
      </c>
      <c r="G5633">
        <v>1142.02</v>
      </c>
    </row>
    <row r="5634" spans="5:7" x14ac:dyDescent="0.3">
      <c r="E5634" s="761">
        <v>45665</v>
      </c>
      <c r="F5634">
        <v>1010100</v>
      </c>
      <c r="G5634">
        <v>1142.02</v>
      </c>
    </row>
    <row r="5635" spans="5:7" x14ac:dyDescent="0.3">
      <c r="E5635" s="761">
        <v>45665</v>
      </c>
      <c r="F5635">
        <v>1010100</v>
      </c>
      <c r="G5635">
        <v>1142.02</v>
      </c>
    </row>
    <row r="5636" spans="5:7" x14ac:dyDescent="0.3">
      <c r="E5636" s="761">
        <v>45665</v>
      </c>
      <c r="F5636">
        <v>1010100</v>
      </c>
      <c r="G5636">
        <v>1142.02</v>
      </c>
    </row>
    <row r="5637" spans="5:7" x14ac:dyDescent="0.3">
      <c r="E5637" s="761">
        <v>45665</v>
      </c>
      <c r="F5637">
        <v>1010100</v>
      </c>
      <c r="G5637">
        <v>1142.02</v>
      </c>
    </row>
    <row r="5638" spans="5:7" x14ac:dyDescent="0.3">
      <c r="E5638" s="761">
        <v>45665</v>
      </c>
      <c r="F5638">
        <v>1010100</v>
      </c>
      <c r="G5638">
        <v>1142.02</v>
      </c>
    </row>
    <row r="5639" spans="5:7" x14ac:dyDescent="0.3">
      <c r="E5639" s="761">
        <v>45665</v>
      </c>
      <c r="F5639">
        <v>1010100</v>
      </c>
      <c r="G5639">
        <v>1142.02</v>
      </c>
    </row>
    <row r="5640" spans="5:7" x14ac:dyDescent="0.3">
      <c r="E5640" s="761">
        <v>45665</v>
      </c>
      <c r="F5640">
        <v>1010100</v>
      </c>
      <c r="G5640">
        <v>1142.02</v>
      </c>
    </row>
    <row r="5641" spans="5:7" x14ac:dyDescent="0.3">
      <c r="E5641" s="761">
        <v>45665</v>
      </c>
      <c r="F5641">
        <v>1010100</v>
      </c>
      <c r="G5641">
        <v>1142.02</v>
      </c>
    </row>
    <row r="5642" spans="5:7" x14ac:dyDescent="0.3">
      <c r="E5642" s="761">
        <v>45665</v>
      </c>
      <c r="F5642">
        <v>1010100</v>
      </c>
      <c r="G5642">
        <v>1142.02</v>
      </c>
    </row>
    <row r="5643" spans="5:7" x14ac:dyDescent="0.3">
      <c r="E5643" s="761">
        <v>45664</v>
      </c>
      <c r="F5643">
        <v>1010100</v>
      </c>
      <c r="G5643">
        <v>1142.02</v>
      </c>
    </row>
    <row r="5644" spans="5:7" x14ac:dyDescent="0.3">
      <c r="E5644" s="761">
        <v>45664</v>
      </c>
      <c r="F5644">
        <v>1010100</v>
      </c>
      <c r="G5644">
        <v>1142.02</v>
      </c>
    </row>
    <row r="5645" spans="5:7" x14ac:dyDescent="0.3">
      <c r="E5645" s="761">
        <v>45664</v>
      </c>
      <c r="F5645">
        <v>1010100</v>
      </c>
      <c r="G5645">
        <v>1142.02</v>
      </c>
    </row>
    <row r="5646" spans="5:7" x14ac:dyDescent="0.3">
      <c r="E5646" s="761">
        <v>45664</v>
      </c>
      <c r="F5646">
        <v>1010100</v>
      </c>
      <c r="G5646">
        <v>1142.02</v>
      </c>
    </row>
    <row r="5647" spans="5:7" x14ac:dyDescent="0.3">
      <c r="E5647" s="761">
        <v>45664</v>
      </c>
      <c r="F5647">
        <v>1010100</v>
      </c>
      <c r="G5647">
        <v>1142.02</v>
      </c>
    </row>
    <row r="5648" spans="5:7" x14ac:dyDescent="0.3">
      <c r="E5648" s="761">
        <v>45664</v>
      </c>
      <c r="F5648">
        <v>1010100</v>
      </c>
      <c r="G5648">
        <v>1142.02</v>
      </c>
    </row>
    <row r="5649" spans="5:7" x14ac:dyDescent="0.3">
      <c r="E5649" s="761">
        <v>45664</v>
      </c>
      <c r="F5649">
        <v>1010100</v>
      </c>
      <c r="G5649">
        <v>1142.02</v>
      </c>
    </row>
    <row r="5650" spans="5:7" x14ac:dyDescent="0.3">
      <c r="E5650" s="761">
        <v>45664</v>
      </c>
      <c r="F5650">
        <v>1010100</v>
      </c>
      <c r="G5650">
        <v>2284.04</v>
      </c>
    </row>
    <row r="5651" spans="5:7" x14ac:dyDescent="0.3">
      <c r="E5651" s="761">
        <v>45664</v>
      </c>
      <c r="F5651">
        <v>1010100</v>
      </c>
      <c r="G5651">
        <v>2284.04</v>
      </c>
    </row>
    <row r="5652" spans="5:7" x14ac:dyDescent="0.3">
      <c r="E5652" s="761">
        <v>45664</v>
      </c>
      <c r="F5652">
        <v>1010100</v>
      </c>
      <c r="G5652">
        <v>1142.02</v>
      </c>
    </row>
    <row r="5653" spans="5:7" x14ac:dyDescent="0.3">
      <c r="E5653" s="761">
        <v>45664</v>
      </c>
      <c r="F5653">
        <v>1010100</v>
      </c>
      <c r="G5653">
        <v>1142.02</v>
      </c>
    </row>
    <row r="5654" spans="5:7" x14ac:dyDescent="0.3">
      <c r="E5654" s="761">
        <v>45664</v>
      </c>
      <c r="F5654">
        <v>1010100</v>
      </c>
      <c r="G5654">
        <v>1142.02</v>
      </c>
    </row>
    <row r="5655" spans="5:7" x14ac:dyDescent="0.3">
      <c r="E5655" s="761">
        <v>45664</v>
      </c>
      <c r="F5655">
        <v>1010100</v>
      </c>
      <c r="G5655">
        <v>1142.02</v>
      </c>
    </row>
    <row r="5656" spans="5:7" x14ac:dyDescent="0.3">
      <c r="E5656" s="761">
        <v>45664</v>
      </c>
      <c r="F5656">
        <v>1010100</v>
      </c>
      <c r="G5656">
        <v>1142.02</v>
      </c>
    </row>
    <row r="5657" spans="5:7" x14ac:dyDescent="0.3">
      <c r="E5657" s="761">
        <v>45664</v>
      </c>
      <c r="F5657">
        <v>1010100</v>
      </c>
      <c r="G5657">
        <v>1142.02</v>
      </c>
    </row>
    <row r="5658" spans="5:7" x14ac:dyDescent="0.3">
      <c r="E5658" s="761">
        <v>45664</v>
      </c>
      <c r="F5658">
        <v>1010100</v>
      </c>
      <c r="G5658">
        <v>1142.02</v>
      </c>
    </row>
    <row r="5659" spans="5:7" x14ac:dyDescent="0.3">
      <c r="E5659" s="761">
        <v>45664</v>
      </c>
      <c r="F5659">
        <v>1010100</v>
      </c>
      <c r="G5659">
        <v>1142.02</v>
      </c>
    </row>
    <row r="5660" spans="5:7" x14ac:dyDescent="0.3">
      <c r="E5660" s="761">
        <v>45663</v>
      </c>
      <c r="F5660">
        <v>1010100</v>
      </c>
      <c r="G5660">
        <v>1142.02</v>
      </c>
    </row>
    <row r="5661" spans="5:7" x14ac:dyDescent="0.3">
      <c r="E5661" s="761">
        <v>45663</v>
      </c>
      <c r="F5661">
        <v>1010100</v>
      </c>
      <c r="G5661">
        <v>1142.02</v>
      </c>
    </row>
    <row r="5662" spans="5:7" x14ac:dyDescent="0.3">
      <c r="E5662" s="761">
        <v>45663</v>
      </c>
      <c r="F5662">
        <v>1010100</v>
      </c>
      <c r="G5662">
        <v>1142.02</v>
      </c>
    </row>
    <row r="5663" spans="5:7" x14ac:dyDescent="0.3">
      <c r="E5663" s="761">
        <v>45663</v>
      </c>
      <c r="F5663">
        <v>1010100</v>
      </c>
      <c r="G5663">
        <v>1142.02</v>
      </c>
    </row>
    <row r="5664" spans="5:7" x14ac:dyDescent="0.3">
      <c r="E5664" s="761">
        <v>45663</v>
      </c>
      <c r="F5664">
        <v>1010100</v>
      </c>
      <c r="G5664">
        <v>1027.82</v>
      </c>
    </row>
    <row r="5665" spans="5:7" x14ac:dyDescent="0.3">
      <c r="E5665" s="761">
        <v>45663</v>
      </c>
      <c r="F5665">
        <v>1010100</v>
      </c>
      <c r="G5665">
        <v>1142.02</v>
      </c>
    </row>
    <row r="5666" spans="5:7" x14ac:dyDescent="0.3">
      <c r="E5666" s="761">
        <v>45663</v>
      </c>
      <c r="F5666">
        <v>1010100</v>
      </c>
      <c r="G5666">
        <v>1142.02</v>
      </c>
    </row>
    <row r="5667" spans="5:7" x14ac:dyDescent="0.3">
      <c r="E5667" s="761">
        <v>45663</v>
      </c>
      <c r="F5667">
        <v>1010100</v>
      </c>
      <c r="G5667">
        <v>1142.02</v>
      </c>
    </row>
    <row r="5668" spans="5:7" x14ac:dyDescent="0.3">
      <c r="E5668" s="761">
        <v>45663</v>
      </c>
      <c r="F5668">
        <v>1010100</v>
      </c>
      <c r="G5668">
        <v>1142.02</v>
      </c>
    </row>
    <row r="5669" spans="5:7" x14ac:dyDescent="0.3">
      <c r="E5669" s="761">
        <v>45663</v>
      </c>
      <c r="F5669">
        <v>1010100</v>
      </c>
      <c r="G5669">
        <v>1142.02</v>
      </c>
    </row>
    <row r="5670" spans="5:7" x14ac:dyDescent="0.3">
      <c r="E5670" s="761">
        <v>45663</v>
      </c>
      <c r="F5670">
        <v>1010100</v>
      </c>
      <c r="G5670">
        <v>1142.02</v>
      </c>
    </row>
    <row r="5671" spans="5:7" x14ac:dyDescent="0.3">
      <c r="E5671" s="761">
        <v>45663</v>
      </c>
      <c r="F5671">
        <v>1010100</v>
      </c>
      <c r="G5671">
        <v>1142.02</v>
      </c>
    </row>
    <row r="5672" spans="5:7" x14ac:dyDescent="0.3">
      <c r="E5672" s="761">
        <v>45663</v>
      </c>
      <c r="F5672">
        <v>1010100</v>
      </c>
      <c r="G5672">
        <v>1142.02</v>
      </c>
    </row>
    <row r="5673" spans="5:7" x14ac:dyDescent="0.3">
      <c r="E5673" s="761">
        <v>45663</v>
      </c>
      <c r="F5673">
        <v>1010100</v>
      </c>
      <c r="G5673">
        <v>38.08</v>
      </c>
    </row>
    <row r="5674" spans="5:7" x14ac:dyDescent="0.3">
      <c r="E5674" s="761">
        <v>45663</v>
      </c>
      <c r="F5674">
        <v>1010100</v>
      </c>
      <c r="G5674">
        <v>1027.82</v>
      </c>
    </row>
    <row r="5675" spans="5:7" x14ac:dyDescent="0.3">
      <c r="E5675" s="761">
        <v>45663</v>
      </c>
      <c r="F5675">
        <v>1010100</v>
      </c>
      <c r="G5675">
        <v>1142.02</v>
      </c>
    </row>
    <row r="5676" spans="5:7" x14ac:dyDescent="0.3">
      <c r="E5676" s="761">
        <v>45663</v>
      </c>
      <c r="F5676">
        <v>1010100</v>
      </c>
      <c r="G5676">
        <v>1142.02</v>
      </c>
    </row>
    <row r="5677" spans="5:7" x14ac:dyDescent="0.3">
      <c r="E5677" s="761">
        <v>45663</v>
      </c>
      <c r="F5677">
        <v>1010100</v>
      </c>
      <c r="G5677">
        <v>1142.02</v>
      </c>
    </row>
    <row r="5678" spans="5:7" x14ac:dyDescent="0.3">
      <c r="E5678" s="761">
        <v>45663</v>
      </c>
      <c r="F5678">
        <v>1010100</v>
      </c>
      <c r="G5678">
        <v>1142.02</v>
      </c>
    </row>
    <row r="5679" spans="5:7" x14ac:dyDescent="0.3">
      <c r="E5679" s="761">
        <v>45663</v>
      </c>
      <c r="F5679">
        <v>1010100</v>
      </c>
      <c r="G5679">
        <v>1142.02</v>
      </c>
    </row>
    <row r="5680" spans="5:7" x14ac:dyDescent="0.3">
      <c r="E5680" s="761">
        <v>45663</v>
      </c>
      <c r="F5680">
        <v>1010100</v>
      </c>
      <c r="G5680">
        <v>380.42</v>
      </c>
    </row>
    <row r="5681" spans="5:7" x14ac:dyDescent="0.3">
      <c r="E5681" s="761">
        <v>45663</v>
      </c>
      <c r="F5681">
        <v>1010100</v>
      </c>
      <c r="G5681">
        <v>1142.02</v>
      </c>
    </row>
    <row r="5682" spans="5:7" x14ac:dyDescent="0.3">
      <c r="E5682" s="761">
        <v>45663</v>
      </c>
      <c r="F5682">
        <v>1010100</v>
      </c>
      <c r="G5682">
        <v>1142.02</v>
      </c>
    </row>
    <row r="5683" spans="5:7" x14ac:dyDescent="0.3">
      <c r="E5683" s="761">
        <v>45663</v>
      </c>
      <c r="F5683">
        <v>1010100</v>
      </c>
      <c r="G5683">
        <v>1142.02</v>
      </c>
    </row>
    <row r="5684" spans="5:7" x14ac:dyDescent="0.3">
      <c r="E5684" s="761">
        <v>45663</v>
      </c>
      <c r="F5684">
        <v>1010100</v>
      </c>
      <c r="G5684">
        <v>1142.02</v>
      </c>
    </row>
    <row r="5685" spans="5:7" x14ac:dyDescent="0.3">
      <c r="E5685" s="761">
        <v>45662</v>
      </c>
      <c r="F5685">
        <v>1010100</v>
      </c>
      <c r="G5685">
        <v>1142.02</v>
      </c>
    </row>
    <row r="5686" spans="5:7" x14ac:dyDescent="0.3">
      <c r="E5686" s="761">
        <v>45662</v>
      </c>
      <c r="F5686">
        <v>1010100</v>
      </c>
      <c r="G5686">
        <v>1142.02</v>
      </c>
    </row>
    <row r="5687" spans="5:7" x14ac:dyDescent="0.3">
      <c r="E5687" s="761">
        <v>45662</v>
      </c>
      <c r="F5687">
        <v>1010100</v>
      </c>
      <c r="G5687">
        <v>1142.02</v>
      </c>
    </row>
    <row r="5688" spans="5:7" x14ac:dyDescent="0.3">
      <c r="E5688" s="761">
        <v>45662</v>
      </c>
      <c r="F5688">
        <v>1010100</v>
      </c>
      <c r="G5688">
        <v>1142.02</v>
      </c>
    </row>
    <row r="5689" spans="5:7" x14ac:dyDescent="0.3">
      <c r="E5689" s="761">
        <v>45662</v>
      </c>
      <c r="F5689">
        <v>1010100</v>
      </c>
      <c r="G5689">
        <v>1142.02</v>
      </c>
    </row>
    <row r="5690" spans="5:7" x14ac:dyDescent="0.3">
      <c r="E5690" s="761">
        <v>45662</v>
      </c>
      <c r="F5690">
        <v>1010100</v>
      </c>
      <c r="G5690">
        <v>1142.02</v>
      </c>
    </row>
    <row r="5691" spans="5:7" x14ac:dyDescent="0.3">
      <c r="E5691" s="761">
        <v>45662</v>
      </c>
      <c r="F5691">
        <v>1010100</v>
      </c>
      <c r="G5691">
        <v>1027.82</v>
      </c>
    </row>
    <row r="5692" spans="5:7" x14ac:dyDescent="0.3">
      <c r="E5692" s="761">
        <v>45662</v>
      </c>
      <c r="F5692">
        <v>1010100</v>
      </c>
      <c r="G5692">
        <v>1142.02</v>
      </c>
    </row>
    <row r="5693" spans="5:7" x14ac:dyDescent="0.3">
      <c r="E5693" s="761">
        <v>45662</v>
      </c>
      <c r="F5693">
        <v>1010100</v>
      </c>
      <c r="G5693">
        <v>1142.02</v>
      </c>
    </row>
    <row r="5694" spans="5:7" x14ac:dyDescent="0.3">
      <c r="E5694" s="761">
        <v>45662</v>
      </c>
      <c r="F5694">
        <v>1010100</v>
      </c>
      <c r="G5694">
        <v>1142.02</v>
      </c>
    </row>
    <row r="5695" spans="5:7" x14ac:dyDescent="0.3">
      <c r="E5695" s="761">
        <v>45662</v>
      </c>
      <c r="F5695">
        <v>1010100</v>
      </c>
      <c r="G5695">
        <v>1142.02</v>
      </c>
    </row>
    <row r="5696" spans="5:7" x14ac:dyDescent="0.3">
      <c r="E5696" s="761">
        <v>45662</v>
      </c>
      <c r="F5696">
        <v>1010100</v>
      </c>
      <c r="G5696">
        <v>1142.02</v>
      </c>
    </row>
    <row r="5697" spans="1:7" x14ac:dyDescent="0.3">
      <c r="E5697" s="761">
        <v>45662</v>
      </c>
      <c r="F5697">
        <v>1010100</v>
      </c>
      <c r="G5697">
        <v>1142.02</v>
      </c>
    </row>
    <row r="5698" spans="1:7" x14ac:dyDescent="0.3">
      <c r="E5698" s="761">
        <v>45662</v>
      </c>
      <c r="F5698">
        <v>1010100</v>
      </c>
      <c r="G5698">
        <v>380.42</v>
      </c>
    </row>
    <row r="5699" spans="1:7" x14ac:dyDescent="0.3">
      <c r="E5699" s="761">
        <v>45662</v>
      </c>
      <c r="F5699">
        <v>1010100</v>
      </c>
      <c r="G5699">
        <v>1142.02</v>
      </c>
    </row>
    <row r="5700" spans="1:7" x14ac:dyDescent="0.3">
      <c r="E5700" s="761">
        <v>45662</v>
      </c>
      <c r="F5700">
        <v>1010100</v>
      </c>
      <c r="G5700">
        <v>1142.02</v>
      </c>
    </row>
    <row r="5701" spans="1:7" x14ac:dyDescent="0.3">
      <c r="E5701" s="761">
        <v>45662</v>
      </c>
      <c r="F5701">
        <v>1010100</v>
      </c>
      <c r="G5701">
        <v>2284.04</v>
      </c>
    </row>
    <row r="5702" spans="1:7" x14ac:dyDescent="0.3">
      <c r="E5702" s="761">
        <v>45662</v>
      </c>
      <c r="F5702">
        <v>1010100</v>
      </c>
      <c r="G5702">
        <v>1142.02</v>
      </c>
    </row>
    <row r="5703" spans="1:7" x14ac:dyDescent="0.3">
      <c r="E5703" s="761">
        <v>45662</v>
      </c>
      <c r="F5703">
        <v>1010100</v>
      </c>
      <c r="G5703">
        <v>1142.02</v>
      </c>
    </row>
    <row r="5704" spans="1:7" x14ac:dyDescent="0.3">
      <c r="E5704" s="761">
        <v>45662</v>
      </c>
      <c r="F5704">
        <v>1010100</v>
      </c>
      <c r="G5704">
        <v>1142.02</v>
      </c>
    </row>
    <row r="5705" spans="1:7" x14ac:dyDescent="0.3">
      <c r="E5705" s="761">
        <v>45662</v>
      </c>
      <c r="F5705">
        <v>1010100</v>
      </c>
      <c r="G5705">
        <v>1142.02</v>
      </c>
    </row>
    <row r="5706" spans="1:7" x14ac:dyDescent="0.3">
      <c r="E5706" s="761">
        <v>45662</v>
      </c>
      <c r="F5706">
        <v>1010100</v>
      </c>
      <c r="G5706">
        <v>1142.02</v>
      </c>
    </row>
    <row r="5707" spans="1:7" x14ac:dyDescent="0.3">
      <c r="E5707" s="761">
        <v>45662</v>
      </c>
      <c r="F5707">
        <v>1010100</v>
      </c>
      <c r="G5707">
        <v>1142.02</v>
      </c>
    </row>
    <row r="5708" spans="1:7" x14ac:dyDescent="0.3">
      <c r="E5708" s="761">
        <v>45662</v>
      </c>
      <c r="F5708">
        <v>1010100</v>
      </c>
      <c r="G5708">
        <v>1142.02</v>
      </c>
    </row>
    <row r="5709" spans="1:7" x14ac:dyDescent="0.3">
      <c r="E5709" s="761">
        <v>45661</v>
      </c>
      <c r="F5709">
        <v>1010100</v>
      </c>
      <c r="G5709">
        <v>1142.02</v>
      </c>
    </row>
    <row r="5710" spans="1:7" x14ac:dyDescent="0.3">
      <c r="E5710" s="761">
        <v>45661</v>
      </c>
      <c r="F5710">
        <v>1010100</v>
      </c>
      <c r="G5710">
        <v>1142.02</v>
      </c>
    </row>
    <row r="5711" spans="1:7" x14ac:dyDescent="0.3">
      <c r="E5711" s="761">
        <v>45661</v>
      </c>
      <c r="F5711">
        <v>1010100</v>
      </c>
      <c r="G5711">
        <v>1142.02</v>
      </c>
    </row>
    <row r="5712" spans="1:7" x14ac:dyDescent="0.3">
      <c r="A5712" s="80"/>
      <c r="E5712" s="761">
        <v>45661</v>
      </c>
      <c r="F5712">
        <v>1010100</v>
      </c>
      <c r="G5712">
        <v>1142.02</v>
      </c>
    </row>
    <row r="5713" spans="1:7" x14ac:dyDescent="0.3">
      <c r="A5713" s="80"/>
      <c r="E5713" s="761">
        <v>45661</v>
      </c>
      <c r="F5713">
        <v>1010100</v>
      </c>
      <c r="G5713">
        <v>1142.02</v>
      </c>
    </row>
    <row r="5714" spans="1:7" x14ac:dyDescent="0.3">
      <c r="A5714" s="80"/>
      <c r="E5714" s="761">
        <v>45661</v>
      </c>
      <c r="F5714">
        <v>1010100</v>
      </c>
      <c r="G5714">
        <v>1142.02</v>
      </c>
    </row>
    <row r="5715" spans="1:7" x14ac:dyDescent="0.3">
      <c r="A5715" s="80"/>
      <c r="E5715" s="761">
        <v>45661</v>
      </c>
      <c r="F5715">
        <v>1010100</v>
      </c>
      <c r="G5715">
        <v>1142.02</v>
      </c>
    </row>
    <row r="5716" spans="1:7" x14ac:dyDescent="0.3">
      <c r="A5716" s="80"/>
      <c r="E5716" s="761">
        <v>45661</v>
      </c>
      <c r="F5716">
        <v>1010100</v>
      </c>
      <c r="G5716">
        <v>1142.02</v>
      </c>
    </row>
    <row r="5717" spans="1:7" x14ac:dyDescent="0.3">
      <c r="A5717" s="80"/>
      <c r="E5717" s="761">
        <v>45661</v>
      </c>
      <c r="F5717">
        <v>1010100</v>
      </c>
      <c r="G5717">
        <v>1142.02</v>
      </c>
    </row>
    <row r="5718" spans="1:7" x14ac:dyDescent="0.3">
      <c r="A5718" s="80"/>
      <c r="E5718" s="761">
        <v>45661</v>
      </c>
      <c r="F5718">
        <v>1010100</v>
      </c>
      <c r="G5718">
        <v>380.42</v>
      </c>
    </row>
    <row r="5719" spans="1:7" x14ac:dyDescent="0.3">
      <c r="A5719" s="80"/>
      <c r="E5719" s="761">
        <v>45661</v>
      </c>
      <c r="F5719">
        <v>1010100</v>
      </c>
      <c r="G5719">
        <v>1142.02</v>
      </c>
    </row>
    <row r="5720" spans="1:7" x14ac:dyDescent="0.3">
      <c r="A5720" s="80"/>
      <c r="E5720" s="761">
        <v>45661</v>
      </c>
      <c r="F5720">
        <v>1010100</v>
      </c>
      <c r="G5720">
        <v>1142.02</v>
      </c>
    </row>
    <row r="5721" spans="1:7" x14ac:dyDescent="0.3">
      <c r="A5721" s="80"/>
      <c r="E5721" s="761">
        <v>45661</v>
      </c>
      <c r="F5721">
        <v>1010100</v>
      </c>
      <c r="G5721">
        <v>1142.02</v>
      </c>
    </row>
    <row r="5722" spans="1:7" x14ac:dyDescent="0.3">
      <c r="A5722" s="80"/>
      <c r="E5722" s="761">
        <v>45661</v>
      </c>
      <c r="F5722">
        <v>1010100</v>
      </c>
      <c r="G5722">
        <v>1142.02</v>
      </c>
    </row>
    <row r="5723" spans="1:7" x14ac:dyDescent="0.3">
      <c r="A5723" s="80"/>
      <c r="E5723" s="761">
        <v>45661</v>
      </c>
      <c r="F5723">
        <v>1010100</v>
      </c>
      <c r="G5723">
        <v>1142.02</v>
      </c>
    </row>
    <row r="5724" spans="1:7" x14ac:dyDescent="0.3">
      <c r="A5724" s="80"/>
      <c r="E5724" s="761">
        <v>45661</v>
      </c>
      <c r="F5724">
        <v>1010100</v>
      </c>
      <c r="G5724">
        <v>1142.02</v>
      </c>
    </row>
    <row r="5725" spans="1:7" x14ac:dyDescent="0.3">
      <c r="A5725" s="80"/>
      <c r="E5725" s="761">
        <v>45661</v>
      </c>
      <c r="F5725">
        <v>1010100</v>
      </c>
      <c r="G5725">
        <v>1142.02</v>
      </c>
    </row>
    <row r="5726" spans="1:7" x14ac:dyDescent="0.3">
      <c r="A5726" s="80"/>
      <c r="E5726" s="761">
        <v>45661</v>
      </c>
      <c r="F5726">
        <v>1010100</v>
      </c>
      <c r="G5726">
        <v>1142.02</v>
      </c>
    </row>
    <row r="5727" spans="1:7" x14ac:dyDescent="0.3">
      <c r="A5727" s="80"/>
      <c r="E5727" s="761">
        <v>45661</v>
      </c>
      <c r="F5727">
        <v>1010100</v>
      </c>
      <c r="G5727">
        <v>1142.02</v>
      </c>
    </row>
    <row r="5728" spans="1:7" x14ac:dyDescent="0.3">
      <c r="A5728" s="80"/>
      <c r="E5728" s="761">
        <v>45660</v>
      </c>
      <c r="F5728">
        <v>1010100</v>
      </c>
      <c r="G5728">
        <v>1142.02</v>
      </c>
    </row>
    <row r="5729" spans="1:7" x14ac:dyDescent="0.3">
      <c r="A5729" s="80"/>
      <c r="E5729" s="761">
        <v>45660</v>
      </c>
      <c r="F5729">
        <v>1010100</v>
      </c>
      <c r="G5729">
        <v>1142.02</v>
      </c>
    </row>
    <row r="5730" spans="1:7" x14ac:dyDescent="0.3">
      <c r="A5730" s="80"/>
      <c r="E5730" s="761">
        <v>45660</v>
      </c>
      <c r="F5730">
        <v>1010100</v>
      </c>
      <c r="G5730">
        <v>1142.02</v>
      </c>
    </row>
    <row r="5731" spans="1:7" x14ac:dyDescent="0.3">
      <c r="A5731" s="80"/>
      <c r="E5731" s="761">
        <v>45660</v>
      </c>
      <c r="F5731">
        <v>1010100</v>
      </c>
      <c r="G5731">
        <v>1142.02</v>
      </c>
    </row>
    <row r="5732" spans="1:7" x14ac:dyDescent="0.3">
      <c r="A5732" s="80"/>
      <c r="E5732" s="761">
        <v>45660</v>
      </c>
      <c r="F5732">
        <v>1010100</v>
      </c>
      <c r="G5732">
        <v>1142.02</v>
      </c>
    </row>
    <row r="5733" spans="1:7" x14ac:dyDescent="0.3">
      <c r="A5733" s="80"/>
      <c r="E5733" s="761">
        <v>45660</v>
      </c>
      <c r="F5733">
        <v>1010100</v>
      </c>
      <c r="G5733">
        <v>1142.02</v>
      </c>
    </row>
    <row r="5734" spans="1:7" x14ac:dyDescent="0.3">
      <c r="A5734" s="80"/>
      <c r="E5734" s="761">
        <v>45660</v>
      </c>
      <c r="F5734">
        <v>1010100</v>
      </c>
      <c r="G5734">
        <v>1142.02</v>
      </c>
    </row>
    <row r="5735" spans="1:7" x14ac:dyDescent="0.3">
      <c r="A5735" s="80"/>
      <c r="E5735" s="761">
        <v>45660</v>
      </c>
      <c r="F5735">
        <v>1010100</v>
      </c>
      <c r="G5735">
        <v>1142.02</v>
      </c>
    </row>
    <row r="5736" spans="1:7" x14ac:dyDescent="0.3">
      <c r="A5736" s="80"/>
      <c r="E5736" s="761">
        <v>45660</v>
      </c>
      <c r="F5736">
        <v>1010100</v>
      </c>
      <c r="G5736">
        <v>1142.02</v>
      </c>
    </row>
    <row r="5737" spans="1:7" x14ac:dyDescent="0.3">
      <c r="A5737" s="80"/>
      <c r="E5737" s="761">
        <v>45660</v>
      </c>
      <c r="F5737">
        <v>1010100</v>
      </c>
      <c r="G5737">
        <v>1142.02</v>
      </c>
    </row>
    <row r="5738" spans="1:7" x14ac:dyDescent="0.3">
      <c r="A5738" s="80"/>
      <c r="E5738" s="761">
        <v>45660</v>
      </c>
      <c r="F5738">
        <v>1010100</v>
      </c>
      <c r="G5738">
        <v>1142.02</v>
      </c>
    </row>
    <row r="5739" spans="1:7" x14ac:dyDescent="0.3">
      <c r="A5739" s="80"/>
      <c r="E5739" s="761">
        <v>45660</v>
      </c>
      <c r="F5739">
        <v>1010100</v>
      </c>
      <c r="G5739">
        <v>1142.02</v>
      </c>
    </row>
    <row r="5740" spans="1:7" x14ac:dyDescent="0.3">
      <c r="A5740" s="80"/>
      <c r="E5740" s="761">
        <v>45660</v>
      </c>
      <c r="F5740">
        <v>1010100</v>
      </c>
      <c r="G5740">
        <v>1142.02</v>
      </c>
    </row>
    <row r="5741" spans="1:7" x14ac:dyDescent="0.3">
      <c r="A5741" s="80"/>
      <c r="E5741" s="761">
        <v>45660</v>
      </c>
      <c r="F5741">
        <v>1010100</v>
      </c>
      <c r="G5741">
        <v>1142.02</v>
      </c>
    </row>
    <row r="5742" spans="1:7" x14ac:dyDescent="0.3">
      <c r="A5742" s="80"/>
      <c r="E5742" s="761">
        <v>45660</v>
      </c>
      <c r="F5742">
        <v>1010100</v>
      </c>
      <c r="G5742">
        <v>1142.02</v>
      </c>
    </row>
    <row r="5743" spans="1:7" x14ac:dyDescent="0.3">
      <c r="A5743" s="80"/>
      <c r="E5743" s="761">
        <v>45660</v>
      </c>
      <c r="F5743">
        <v>1010100</v>
      </c>
      <c r="G5743">
        <v>380.42</v>
      </c>
    </row>
    <row r="5744" spans="1:7" x14ac:dyDescent="0.3">
      <c r="A5744" s="80"/>
      <c r="E5744" s="761">
        <v>45660</v>
      </c>
      <c r="F5744">
        <v>1010100</v>
      </c>
      <c r="G5744">
        <v>1142.02</v>
      </c>
    </row>
    <row r="5745" spans="1:7" x14ac:dyDescent="0.3">
      <c r="A5745" s="80"/>
      <c r="E5745" s="761">
        <v>45659</v>
      </c>
      <c r="F5745">
        <v>1010100</v>
      </c>
      <c r="G5745">
        <v>1142.02</v>
      </c>
    </row>
    <row r="5746" spans="1:7" x14ac:dyDescent="0.3">
      <c r="A5746" s="80"/>
      <c r="E5746" s="761">
        <v>45659</v>
      </c>
      <c r="F5746">
        <v>1010100</v>
      </c>
      <c r="G5746">
        <v>1142.02</v>
      </c>
    </row>
    <row r="5747" spans="1:7" x14ac:dyDescent="0.3">
      <c r="A5747" s="80"/>
      <c r="E5747" s="761">
        <v>45659</v>
      </c>
      <c r="F5747">
        <v>1010100</v>
      </c>
      <c r="G5747">
        <v>1142.02</v>
      </c>
    </row>
    <row r="5748" spans="1:7" x14ac:dyDescent="0.3">
      <c r="A5748" s="80"/>
      <c r="E5748" s="761">
        <v>45659</v>
      </c>
      <c r="F5748">
        <v>1010100</v>
      </c>
      <c r="G5748">
        <v>1142.02</v>
      </c>
    </row>
    <row r="5749" spans="1:7" x14ac:dyDescent="0.3">
      <c r="A5749" s="80"/>
      <c r="E5749" s="761">
        <v>45659</v>
      </c>
      <c r="F5749">
        <v>1010100</v>
      </c>
      <c r="G5749">
        <v>1142.02</v>
      </c>
    </row>
    <row r="5750" spans="1:7" x14ac:dyDescent="0.3">
      <c r="A5750" s="80"/>
      <c r="E5750" s="761">
        <v>45659</v>
      </c>
      <c r="F5750">
        <v>1010100</v>
      </c>
      <c r="G5750">
        <v>1142.02</v>
      </c>
    </row>
    <row r="5751" spans="1:7" x14ac:dyDescent="0.3">
      <c r="A5751" s="80"/>
      <c r="E5751" s="761">
        <v>45659</v>
      </c>
      <c r="F5751">
        <v>1010100</v>
      </c>
      <c r="G5751">
        <v>1142.02</v>
      </c>
    </row>
    <row r="5752" spans="1:7" x14ac:dyDescent="0.3">
      <c r="A5752" s="80"/>
      <c r="E5752" s="761">
        <v>45659</v>
      </c>
      <c r="F5752">
        <v>1010100</v>
      </c>
      <c r="G5752">
        <v>1142.02</v>
      </c>
    </row>
    <row r="5753" spans="1:7" x14ac:dyDescent="0.3">
      <c r="A5753" s="80"/>
      <c r="E5753" s="761">
        <v>45659</v>
      </c>
      <c r="F5753">
        <v>1010100</v>
      </c>
      <c r="G5753">
        <v>1142.02</v>
      </c>
    </row>
    <row r="5754" spans="1:7" x14ac:dyDescent="0.3">
      <c r="A5754" s="80"/>
      <c r="E5754" s="761">
        <v>45659</v>
      </c>
      <c r="F5754">
        <v>1010100</v>
      </c>
      <c r="G5754">
        <v>2284.04</v>
      </c>
    </row>
    <row r="5755" spans="1:7" x14ac:dyDescent="0.3">
      <c r="A5755" s="80"/>
      <c r="E5755" s="761">
        <v>45659</v>
      </c>
      <c r="F5755">
        <v>1010100</v>
      </c>
      <c r="G5755">
        <v>1142.02</v>
      </c>
    </row>
    <row r="5756" spans="1:7" x14ac:dyDescent="0.3">
      <c r="A5756" s="80"/>
      <c r="E5756" s="761">
        <v>45659</v>
      </c>
      <c r="F5756">
        <v>1010100</v>
      </c>
      <c r="G5756">
        <v>1142.02</v>
      </c>
    </row>
    <row r="5757" spans="1:7" x14ac:dyDescent="0.3">
      <c r="A5757" s="80"/>
      <c r="E5757" s="761">
        <v>45659</v>
      </c>
      <c r="F5757">
        <v>1010100</v>
      </c>
      <c r="G5757">
        <v>1142.02</v>
      </c>
    </row>
    <row r="5758" spans="1:7" x14ac:dyDescent="0.3">
      <c r="A5758" s="80"/>
      <c r="E5758" s="761">
        <v>45659</v>
      </c>
      <c r="F5758">
        <v>1010100</v>
      </c>
      <c r="G5758">
        <v>1142.02</v>
      </c>
    </row>
    <row r="5759" spans="1:7" x14ac:dyDescent="0.3">
      <c r="A5759" s="80"/>
      <c r="E5759" s="761">
        <v>45659</v>
      </c>
      <c r="F5759">
        <v>1010100</v>
      </c>
      <c r="G5759">
        <v>1142.02</v>
      </c>
    </row>
    <row r="5760" spans="1:7" x14ac:dyDescent="0.3">
      <c r="A5760" s="80"/>
      <c r="E5760" s="761">
        <v>45659</v>
      </c>
      <c r="F5760">
        <v>1010100</v>
      </c>
      <c r="G5760">
        <v>1142.02</v>
      </c>
    </row>
    <row r="5761" spans="1:7" x14ac:dyDescent="0.3">
      <c r="A5761" s="80"/>
      <c r="E5761" s="761">
        <v>45659</v>
      </c>
      <c r="F5761">
        <v>1010100</v>
      </c>
      <c r="G5761">
        <v>1142.02</v>
      </c>
    </row>
    <row r="5762" spans="1:7" x14ac:dyDescent="0.3">
      <c r="A5762" s="80"/>
      <c r="E5762" s="761">
        <v>45659</v>
      </c>
      <c r="F5762">
        <v>1010100</v>
      </c>
      <c r="G5762">
        <v>1142.02</v>
      </c>
    </row>
    <row r="5763" spans="1:7" x14ac:dyDescent="0.3">
      <c r="A5763" s="80"/>
      <c r="E5763" s="761">
        <v>45659</v>
      </c>
      <c r="F5763">
        <v>1010100</v>
      </c>
      <c r="G5763">
        <v>1142.02</v>
      </c>
    </row>
    <row r="5764" spans="1:7" x14ac:dyDescent="0.3">
      <c r="A5764" s="80"/>
      <c r="E5764" s="761">
        <v>45659</v>
      </c>
      <c r="F5764">
        <v>1010100</v>
      </c>
      <c r="G5764">
        <v>1142.02</v>
      </c>
    </row>
    <row r="5765" spans="1:7" x14ac:dyDescent="0.3">
      <c r="A5765" s="80"/>
      <c r="E5765" s="761">
        <v>45659</v>
      </c>
      <c r="F5765">
        <v>1010100</v>
      </c>
      <c r="G5765">
        <v>1142.02</v>
      </c>
    </row>
    <row r="5766" spans="1:7" x14ac:dyDescent="0.3">
      <c r="A5766" s="80"/>
      <c r="E5766" s="761">
        <v>45659</v>
      </c>
      <c r="F5766">
        <v>1010100</v>
      </c>
      <c r="G5766">
        <v>1142.02</v>
      </c>
    </row>
    <row r="5767" spans="1:7" x14ac:dyDescent="0.3">
      <c r="A5767" s="80"/>
      <c r="E5767" s="761">
        <v>45659</v>
      </c>
      <c r="F5767">
        <v>1010100</v>
      </c>
      <c r="G5767">
        <v>1142.02</v>
      </c>
    </row>
    <row r="5768" spans="1:7" x14ac:dyDescent="0.3">
      <c r="A5768" s="80"/>
      <c r="E5768" s="761">
        <v>45658</v>
      </c>
      <c r="F5768">
        <v>1010100</v>
      </c>
      <c r="G5768">
        <v>1142.02</v>
      </c>
    </row>
    <row r="5769" spans="1:7" x14ac:dyDescent="0.3">
      <c r="A5769" s="80"/>
      <c r="E5769" s="761">
        <v>45658</v>
      </c>
      <c r="F5769">
        <v>1010100</v>
      </c>
      <c r="G5769">
        <v>1142.02</v>
      </c>
    </row>
    <row r="5770" spans="1:7" x14ac:dyDescent="0.3">
      <c r="A5770" s="80"/>
      <c r="E5770" s="761">
        <v>45658</v>
      </c>
      <c r="F5770">
        <v>1010100</v>
      </c>
      <c r="G5770">
        <v>1142.02</v>
      </c>
    </row>
    <row r="5771" spans="1:7" x14ac:dyDescent="0.3">
      <c r="A5771" s="80"/>
      <c r="E5771" s="761">
        <v>45658</v>
      </c>
      <c r="F5771">
        <v>1010100</v>
      </c>
      <c r="G5771">
        <v>1142.02</v>
      </c>
    </row>
    <row r="5772" spans="1:7" x14ac:dyDescent="0.3">
      <c r="A5772" s="80"/>
      <c r="E5772" s="761">
        <v>45658</v>
      </c>
      <c r="F5772">
        <v>1010100</v>
      </c>
      <c r="G5772">
        <v>1142.02</v>
      </c>
    </row>
    <row r="5773" spans="1:7" x14ac:dyDescent="0.3">
      <c r="A5773" s="80"/>
      <c r="E5773" s="761">
        <v>45658</v>
      </c>
      <c r="F5773">
        <v>1010100</v>
      </c>
      <c r="G5773">
        <v>1142.02</v>
      </c>
    </row>
    <row r="5774" spans="1:7" x14ac:dyDescent="0.3">
      <c r="A5774" s="80"/>
      <c r="E5774" s="761">
        <v>45658</v>
      </c>
      <c r="F5774">
        <v>1010100</v>
      </c>
      <c r="G5774">
        <v>1142.02</v>
      </c>
    </row>
    <row r="5775" spans="1:7" x14ac:dyDescent="0.3">
      <c r="A5775" s="80"/>
      <c r="E5775" s="761">
        <v>45658</v>
      </c>
      <c r="F5775">
        <v>1010100</v>
      </c>
      <c r="G5775">
        <v>1142.02</v>
      </c>
    </row>
    <row r="5776" spans="1:7" x14ac:dyDescent="0.3">
      <c r="A5776" s="80"/>
      <c r="E5776" s="761">
        <v>45658</v>
      </c>
      <c r="F5776">
        <v>1010100</v>
      </c>
      <c r="G5776">
        <v>1142.02</v>
      </c>
    </row>
    <row r="5777" spans="1:7" x14ac:dyDescent="0.3">
      <c r="A5777" s="80"/>
      <c r="E5777" s="761">
        <v>45658</v>
      </c>
      <c r="F5777">
        <v>1010100</v>
      </c>
      <c r="G5777">
        <v>380.42</v>
      </c>
    </row>
    <row r="5778" spans="1:7" x14ac:dyDescent="0.3">
      <c r="A5778" s="80"/>
      <c r="E5778" s="761">
        <v>45658</v>
      </c>
      <c r="F5778">
        <v>1010100</v>
      </c>
      <c r="G5778">
        <v>1142.02</v>
      </c>
    </row>
    <row r="5779" spans="1:7" x14ac:dyDescent="0.3">
      <c r="A5779" s="80"/>
      <c r="E5779" s="761">
        <v>45658</v>
      </c>
      <c r="F5779">
        <v>1010100</v>
      </c>
      <c r="G5779">
        <v>1142.02</v>
      </c>
    </row>
    <row r="5780" spans="1:7" x14ac:dyDescent="0.3">
      <c r="A5780" s="80"/>
      <c r="E5780" s="761">
        <v>45658</v>
      </c>
      <c r="F5780">
        <v>1010100</v>
      </c>
      <c r="G5780">
        <v>1027.82</v>
      </c>
    </row>
    <row r="5781" spans="1:7" x14ac:dyDescent="0.3">
      <c r="A5781" s="80"/>
      <c r="E5781" s="761">
        <v>45658</v>
      </c>
      <c r="F5781">
        <v>1010100</v>
      </c>
      <c r="G5781">
        <v>1142.02</v>
      </c>
    </row>
    <row r="5782" spans="1:7" x14ac:dyDescent="0.3">
      <c r="A5782" s="80"/>
      <c r="E5782" s="761">
        <v>45658</v>
      </c>
      <c r="F5782">
        <v>1010100</v>
      </c>
      <c r="G5782">
        <v>1027.82</v>
      </c>
    </row>
    <row r="5783" spans="1:7" x14ac:dyDescent="0.3">
      <c r="A5783" s="80"/>
      <c r="E5783" s="761">
        <v>45838</v>
      </c>
      <c r="F5783">
        <v>1010100</v>
      </c>
      <c r="G5783">
        <v>1142.02</v>
      </c>
    </row>
    <row r="5784" spans="1:7" x14ac:dyDescent="0.3">
      <c r="A5784" s="80"/>
      <c r="E5784" s="761">
        <v>45844</v>
      </c>
      <c r="F5784">
        <v>1010100</v>
      </c>
      <c r="G5784">
        <v>1142.02</v>
      </c>
    </row>
    <row r="5785" spans="1:7" x14ac:dyDescent="0.3">
      <c r="A5785" s="80"/>
      <c r="E5785" s="761">
        <v>45835</v>
      </c>
      <c r="F5785">
        <v>1010100</v>
      </c>
      <c r="G5785">
        <v>1142.02</v>
      </c>
    </row>
    <row r="5786" spans="1:7" x14ac:dyDescent="0.3">
      <c r="A5786" s="80"/>
      <c r="E5786" s="761">
        <v>45844</v>
      </c>
      <c r="F5786">
        <v>1010100</v>
      </c>
      <c r="G5786">
        <v>1142.02</v>
      </c>
    </row>
    <row r="5787" spans="1:7" x14ac:dyDescent="0.3">
      <c r="A5787" s="80"/>
      <c r="E5787" s="761">
        <v>45841</v>
      </c>
      <c r="F5787">
        <v>1010100</v>
      </c>
      <c r="G5787">
        <v>0.38</v>
      </c>
    </row>
    <row r="5788" spans="1:7" x14ac:dyDescent="0.3">
      <c r="A5788" s="80"/>
      <c r="E5788" s="761">
        <v>45833</v>
      </c>
      <c r="F5788">
        <v>1010100</v>
      </c>
      <c r="G5788">
        <v>1142.02</v>
      </c>
    </row>
    <row r="5789" spans="1:7" x14ac:dyDescent="0.3">
      <c r="A5789" s="80"/>
      <c r="E5789" s="761">
        <v>45833</v>
      </c>
      <c r="F5789">
        <v>1010100</v>
      </c>
      <c r="G5789">
        <v>1142.02</v>
      </c>
    </row>
    <row r="5790" spans="1:7" x14ac:dyDescent="0.3">
      <c r="A5790" s="80"/>
      <c r="E5790" s="761">
        <v>45833</v>
      </c>
      <c r="F5790">
        <v>1010100</v>
      </c>
      <c r="G5790">
        <v>1142.02</v>
      </c>
    </row>
    <row r="5791" spans="1:7" x14ac:dyDescent="0.3">
      <c r="A5791" s="80"/>
      <c r="E5791" s="761">
        <v>45838</v>
      </c>
      <c r="F5791">
        <v>1010100</v>
      </c>
      <c r="G5791">
        <v>1142.02</v>
      </c>
    </row>
    <row r="5792" spans="1:7" x14ac:dyDescent="0.3">
      <c r="A5792" s="80"/>
      <c r="E5792" s="761">
        <v>45828</v>
      </c>
      <c r="F5792">
        <v>1010100</v>
      </c>
      <c r="G5792">
        <v>1142.02</v>
      </c>
    </row>
    <row r="5793" spans="1:7" x14ac:dyDescent="0.3">
      <c r="A5793" s="80"/>
      <c r="E5793" s="761">
        <v>45828</v>
      </c>
      <c r="F5793">
        <v>1010100</v>
      </c>
      <c r="G5793">
        <v>1142.02</v>
      </c>
    </row>
    <row r="5794" spans="1:7" x14ac:dyDescent="0.3">
      <c r="A5794" s="80"/>
      <c r="E5794" s="761">
        <v>45832</v>
      </c>
      <c r="F5794">
        <v>1010100</v>
      </c>
      <c r="G5794">
        <v>1142.02</v>
      </c>
    </row>
    <row r="5795" spans="1:7" x14ac:dyDescent="0.3">
      <c r="A5795" s="80"/>
      <c r="E5795" s="761">
        <v>45832</v>
      </c>
      <c r="F5795">
        <v>1010100</v>
      </c>
      <c r="G5795">
        <v>1142.02</v>
      </c>
    </row>
    <row r="5796" spans="1:7" x14ac:dyDescent="0.3">
      <c r="A5796" s="80"/>
      <c r="E5796" s="761">
        <v>45834</v>
      </c>
      <c r="F5796">
        <v>1010100</v>
      </c>
      <c r="G5796">
        <v>1142.02</v>
      </c>
    </row>
    <row r="5797" spans="1:7" x14ac:dyDescent="0.3">
      <c r="A5797" s="80"/>
      <c r="E5797" s="761">
        <v>45838</v>
      </c>
      <c r="F5797">
        <v>1010100</v>
      </c>
      <c r="G5797">
        <v>1142.02</v>
      </c>
    </row>
    <row r="5798" spans="1:7" x14ac:dyDescent="0.3">
      <c r="A5798" s="80"/>
      <c r="E5798" s="761">
        <v>45840</v>
      </c>
      <c r="F5798">
        <v>1010100</v>
      </c>
      <c r="G5798">
        <v>1142.02</v>
      </c>
    </row>
    <row r="5799" spans="1:7" x14ac:dyDescent="0.3">
      <c r="A5799" s="80"/>
      <c r="E5799" s="761">
        <v>45840</v>
      </c>
      <c r="F5799">
        <v>1010100</v>
      </c>
      <c r="G5799">
        <v>1142.02</v>
      </c>
    </row>
    <row r="5800" spans="1:7" x14ac:dyDescent="0.3">
      <c r="A5800" s="80"/>
      <c r="E5800" s="761">
        <v>45841</v>
      </c>
      <c r="F5800">
        <v>1010100</v>
      </c>
      <c r="G5800">
        <v>1142.02</v>
      </c>
    </row>
    <row r="5801" spans="1:7" x14ac:dyDescent="0.3">
      <c r="A5801" s="80"/>
      <c r="E5801" s="761">
        <v>45841</v>
      </c>
      <c r="F5801">
        <v>1010100</v>
      </c>
      <c r="G5801">
        <v>1142.02</v>
      </c>
    </row>
    <row r="5802" spans="1:7" x14ac:dyDescent="0.3">
      <c r="A5802" s="80"/>
      <c r="E5802" s="761">
        <v>45830</v>
      </c>
      <c r="F5802">
        <v>1010100</v>
      </c>
      <c r="G5802">
        <v>380.42</v>
      </c>
    </row>
    <row r="5803" spans="1:7" x14ac:dyDescent="0.3">
      <c r="A5803" s="80"/>
      <c r="E5803" s="761">
        <v>45830</v>
      </c>
      <c r="F5803">
        <v>1010100</v>
      </c>
      <c r="G5803">
        <v>380.42</v>
      </c>
    </row>
    <row r="5804" spans="1:7" x14ac:dyDescent="0.3">
      <c r="A5804" s="80"/>
      <c r="E5804" s="761">
        <v>45830</v>
      </c>
      <c r="F5804">
        <v>1010100</v>
      </c>
      <c r="G5804">
        <v>1256.26</v>
      </c>
    </row>
    <row r="5805" spans="1:7" x14ac:dyDescent="0.3">
      <c r="A5805" s="80"/>
      <c r="E5805" s="761">
        <v>45830</v>
      </c>
      <c r="F5805">
        <v>1010100</v>
      </c>
      <c r="G5805">
        <v>1256.26</v>
      </c>
    </row>
    <row r="5806" spans="1:7" x14ac:dyDescent="0.3">
      <c r="A5806" s="80"/>
      <c r="E5806" s="761">
        <v>45832</v>
      </c>
      <c r="F5806">
        <v>1010100</v>
      </c>
      <c r="G5806">
        <v>1256.26</v>
      </c>
    </row>
    <row r="5807" spans="1:7" x14ac:dyDescent="0.3">
      <c r="A5807" s="80"/>
      <c r="E5807" s="761">
        <v>45832</v>
      </c>
      <c r="F5807">
        <v>1010100</v>
      </c>
      <c r="G5807">
        <v>2512.52</v>
      </c>
    </row>
    <row r="5808" spans="1:7" x14ac:dyDescent="0.3">
      <c r="A5808" s="80"/>
      <c r="E5808" s="761">
        <v>45834</v>
      </c>
      <c r="F5808">
        <v>1010100</v>
      </c>
      <c r="G5808">
        <v>1142.02</v>
      </c>
    </row>
    <row r="5809" spans="1:7" x14ac:dyDescent="0.3">
      <c r="A5809" s="80"/>
      <c r="E5809" s="761">
        <v>45834</v>
      </c>
      <c r="F5809">
        <v>1010100</v>
      </c>
      <c r="G5809">
        <v>1142.02</v>
      </c>
    </row>
    <row r="5810" spans="1:7" x14ac:dyDescent="0.3">
      <c r="A5810" s="80"/>
      <c r="E5810" s="761">
        <v>45835</v>
      </c>
      <c r="F5810">
        <v>1010100</v>
      </c>
      <c r="G5810">
        <v>1142.02</v>
      </c>
    </row>
    <row r="5811" spans="1:7" x14ac:dyDescent="0.3">
      <c r="A5811" s="80"/>
      <c r="E5811" s="761">
        <v>45835</v>
      </c>
      <c r="F5811">
        <v>1010100</v>
      </c>
      <c r="G5811">
        <v>380.42</v>
      </c>
    </row>
    <row r="5812" spans="1:7" x14ac:dyDescent="0.3">
      <c r="A5812" s="80"/>
      <c r="E5812" s="761">
        <v>45836</v>
      </c>
      <c r="F5812">
        <v>1010100</v>
      </c>
      <c r="G5812">
        <v>1142.02</v>
      </c>
    </row>
    <row r="5813" spans="1:7" x14ac:dyDescent="0.3">
      <c r="A5813" s="80"/>
      <c r="E5813" s="761">
        <v>45837</v>
      </c>
      <c r="F5813">
        <v>1010100</v>
      </c>
      <c r="G5813">
        <v>1142.02</v>
      </c>
    </row>
    <row r="5814" spans="1:7" x14ac:dyDescent="0.3">
      <c r="A5814" s="80"/>
      <c r="E5814" s="761">
        <v>45837</v>
      </c>
      <c r="F5814">
        <v>1010100</v>
      </c>
      <c r="G5814">
        <v>1142.02</v>
      </c>
    </row>
    <row r="5815" spans="1:7" x14ac:dyDescent="0.3">
      <c r="A5815" s="80"/>
      <c r="E5815" s="761">
        <v>45838</v>
      </c>
      <c r="F5815">
        <v>1010100</v>
      </c>
      <c r="G5815">
        <v>1142.02</v>
      </c>
    </row>
    <row r="5816" spans="1:7" x14ac:dyDescent="0.3">
      <c r="A5816" s="80"/>
      <c r="E5816" s="761">
        <v>45838</v>
      </c>
      <c r="F5816">
        <v>1010100</v>
      </c>
      <c r="G5816">
        <v>1142.02</v>
      </c>
    </row>
    <row r="5817" spans="1:7" x14ac:dyDescent="0.3">
      <c r="A5817" s="80"/>
      <c r="E5817" s="761">
        <v>45839</v>
      </c>
      <c r="F5817">
        <v>1010100</v>
      </c>
      <c r="G5817">
        <v>1142.02</v>
      </c>
    </row>
    <row r="5818" spans="1:7" x14ac:dyDescent="0.3">
      <c r="A5818" s="80"/>
      <c r="E5818" s="761">
        <v>45839</v>
      </c>
      <c r="F5818">
        <v>1010100</v>
      </c>
      <c r="G5818">
        <v>1142.02</v>
      </c>
    </row>
    <row r="5819" spans="1:7" x14ac:dyDescent="0.3">
      <c r="A5819" s="80"/>
      <c r="E5819" s="761">
        <v>45840</v>
      </c>
      <c r="F5819">
        <v>1010100</v>
      </c>
      <c r="G5819">
        <v>1142.02</v>
      </c>
    </row>
    <row r="5820" spans="1:7" x14ac:dyDescent="0.3">
      <c r="A5820" s="80"/>
      <c r="E5820" s="761">
        <v>45840</v>
      </c>
      <c r="F5820">
        <v>1010100</v>
      </c>
      <c r="G5820">
        <v>1142.02</v>
      </c>
    </row>
    <row r="5821" spans="1:7" x14ac:dyDescent="0.3">
      <c r="A5821" s="80"/>
      <c r="E5821" s="761">
        <v>45841</v>
      </c>
      <c r="F5821">
        <v>1010100</v>
      </c>
      <c r="G5821">
        <v>1142.02</v>
      </c>
    </row>
    <row r="5822" spans="1:7" x14ac:dyDescent="0.3">
      <c r="A5822" s="80"/>
      <c r="E5822" s="761">
        <v>45841</v>
      </c>
      <c r="F5822">
        <v>1010100</v>
      </c>
      <c r="G5822">
        <v>1142.02</v>
      </c>
    </row>
    <row r="5823" spans="1:7" x14ac:dyDescent="0.3">
      <c r="A5823" s="80"/>
      <c r="E5823" s="761">
        <v>45842</v>
      </c>
      <c r="F5823">
        <v>1010100</v>
      </c>
      <c r="G5823">
        <v>380.42</v>
      </c>
    </row>
    <row r="5824" spans="1:7" x14ac:dyDescent="0.3">
      <c r="A5824" s="80"/>
      <c r="E5824" s="761">
        <v>45842</v>
      </c>
      <c r="F5824">
        <v>1010100</v>
      </c>
      <c r="G5824">
        <v>1142.02</v>
      </c>
    </row>
    <row r="5825" spans="1:7" x14ac:dyDescent="0.3">
      <c r="A5825" s="80"/>
      <c r="E5825" s="761">
        <v>45844</v>
      </c>
      <c r="F5825">
        <v>1010100</v>
      </c>
      <c r="G5825">
        <v>1142.02</v>
      </c>
    </row>
    <row r="5826" spans="1:7" x14ac:dyDescent="0.3">
      <c r="A5826" s="80"/>
      <c r="E5826" s="761">
        <v>45844</v>
      </c>
      <c r="F5826">
        <v>1010100</v>
      </c>
      <c r="G5826">
        <v>1142.02</v>
      </c>
    </row>
    <row r="5827" spans="1:7" x14ac:dyDescent="0.3">
      <c r="A5827" s="80"/>
    </row>
    <row r="5828" spans="1:7" x14ac:dyDescent="0.3">
      <c r="A5828" s="80"/>
    </row>
    <row r="5829" spans="1:7" x14ac:dyDescent="0.3">
      <c r="A5829" s="80"/>
    </row>
    <row r="5830" spans="1:7" x14ac:dyDescent="0.3">
      <c r="A5830" s="80"/>
    </row>
    <row r="5831" spans="1:7" x14ac:dyDescent="0.3">
      <c r="A5831" s="80"/>
    </row>
    <row r="5832" spans="1:7" x14ac:dyDescent="0.3">
      <c r="A5832" s="80"/>
    </row>
    <row r="5833" spans="1:7" x14ac:dyDescent="0.3">
      <c r="A5833" s="80"/>
    </row>
    <row r="5834" spans="1:7" x14ac:dyDescent="0.3">
      <c r="A5834" s="80"/>
    </row>
    <row r="5835" spans="1:7" x14ac:dyDescent="0.3">
      <c r="A5835" s="80"/>
    </row>
    <row r="5836" spans="1:7" x14ac:dyDescent="0.3">
      <c r="A5836" s="80"/>
    </row>
    <row r="5837" spans="1:7" x14ac:dyDescent="0.3">
      <c r="A5837" s="80"/>
    </row>
    <row r="5838" spans="1:7" x14ac:dyDescent="0.3">
      <c r="A5838" s="80"/>
    </row>
    <row r="5839" spans="1:7" x14ac:dyDescent="0.3">
      <c r="A5839" s="80"/>
    </row>
    <row r="5840" spans="1:7" x14ac:dyDescent="0.3">
      <c r="A5840" s="80"/>
    </row>
    <row r="5841" spans="1:1" x14ac:dyDescent="0.3">
      <c r="A5841" s="80"/>
    </row>
    <row r="5842" spans="1:1" x14ac:dyDescent="0.3">
      <c r="A5842" s="80"/>
    </row>
    <row r="5843" spans="1:1" x14ac:dyDescent="0.3">
      <c r="A5843" s="80"/>
    </row>
    <row r="5844" spans="1:1" x14ac:dyDescent="0.3">
      <c r="A5844" s="80"/>
    </row>
    <row r="5845" spans="1:1" x14ac:dyDescent="0.3">
      <c r="A5845" s="80"/>
    </row>
    <row r="5846" spans="1:1" x14ac:dyDescent="0.3">
      <c r="A5846" s="80"/>
    </row>
    <row r="5847" spans="1:1" x14ac:dyDescent="0.3">
      <c r="A5847" s="80"/>
    </row>
    <row r="5848" spans="1:1" x14ac:dyDescent="0.3">
      <c r="A5848" s="80"/>
    </row>
    <row r="5849" spans="1:1" x14ac:dyDescent="0.3">
      <c r="A5849" s="80"/>
    </row>
    <row r="5850" spans="1:1" x14ac:dyDescent="0.3">
      <c r="A5850" s="80"/>
    </row>
    <row r="5851" spans="1:1" x14ac:dyDescent="0.3">
      <c r="A5851" s="80"/>
    </row>
    <row r="5852" spans="1:1" x14ac:dyDescent="0.3">
      <c r="A5852" s="80"/>
    </row>
    <row r="5853" spans="1:1" x14ac:dyDescent="0.3">
      <c r="A5853" s="80"/>
    </row>
    <row r="5854" spans="1:1" x14ac:dyDescent="0.3">
      <c r="A5854" s="80"/>
    </row>
    <row r="5855" spans="1:1" x14ac:dyDescent="0.3">
      <c r="A5855" s="80"/>
    </row>
    <row r="5856" spans="1:1" x14ac:dyDescent="0.3">
      <c r="A5856" s="80"/>
    </row>
    <row r="5857" spans="1:1" x14ac:dyDescent="0.3">
      <c r="A5857" s="80"/>
    </row>
    <row r="5858" spans="1:1" x14ac:dyDescent="0.3">
      <c r="A5858" s="80"/>
    </row>
    <row r="5859" spans="1:1" x14ac:dyDescent="0.3">
      <c r="A5859" s="80"/>
    </row>
    <row r="5860" spans="1:1" x14ac:dyDescent="0.3">
      <c r="A5860" s="80"/>
    </row>
    <row r="5861" spans="1:1" x14ac:dyDescent="0.3">
      <c r="A5861" s="80"/>
    </row>
    <row r="5862" spans="1:1" x14ac:dyDescent="0.3">
      <c r="A5862" s="80"/>
    </row>
    <row r="5863" spans="1:1" x14ac:dyDescent="0.3">
      <c r="A5863" s="80"/>
    </row>
    <row r="5864" spans="1:1" x14ac:dyDescent="0.3">
      <c r="A5864" s="80"/>
    </row>
    <row r="5865" spans="1:1" x14ac:dyDescent="0.3">
      <c r="A5865" s="80"/>
    </row>
    <row r="5866" spans="1:1" x14ac:dyDescent="0.3">
      <c r="A5866" s="80"/>
    </row>
    <row r="5867" spans="1:1" x14ac:dyDescent="0.3">
      <c r="A5867" s="80"/>
    </row>
    <row r="5868" spans="1:1" x14ac:dyDescent="0.3">
      <c r="A5868" s="80"/>
    </row>
    <row r="5869" spans="1:1" x14ac:dyDescent="0.3">
      <c r="A5869" s="80"/>
    </row>
    <row r="5870" spans="1:1" x14ac:dyDescent="0.3">
      <c r="A5870" s="80"/>
    </row>
    <row r="5871" spans="1:1" x14ac:dyDescent="0.3">
      <c r="A5871" s="80"/>
    </row>
    <row r="5872" spans="1:1" x14ac:dyDescent="0.3">
      <c r="A5872" s="80"/>
    </row>
    <row r="5873" spans="1:1" x14ac:dyDescent="0.3">
      <c r="A5873" s="80"/>
    </row>
    <row r="5874" spans="1:1" x14ac:dyDescent="0.3">
      <c r="A5874" s="80"/>
    </row>
    <row r="5875" spans="1:1" x14ac:dyDescent="0.3">
      <c r="A5875" s="80"/>
    </row>
    <row r="5876" spans="1:1" x14ac:dyDescent="0.3">
      <c r="A5876" s="80"/>
    </row>
    <row r="5877" spans="1:1" x14ac:dyDescent="0.3">
      <c r="A5877" s="80"/>
    </row>
    <row r="5878" spans="1:1" x14ac:dyDescent="0.3">
      <c r="A5878" s="80"/>
    </row>
    <row r="5879" spans="1:1" x14ac:dyDescent="0.3">
      <c r="A5879" s="80"/>
    </row>
    <row r="5880" spans="1:1" x14ac:dyDescent="0.3">
      <c r="A5880" s="80"/>
    </row>
    <row r="5881" spans="1:1" x14ac:dyDescent="0.3">
      <c r="A5881" s="80"/>
    </row>
    <row r="5882" spans="1:1" x14ac:dyDescent="0.3">
      <c r="A5882" s="80"/>
    </row>
    <row r="5883" spans="1:1" x14ac:dyDescent="0.3">
      <c r="A5883" s="80"/>
    </row>
    <row r="5884" spans="1:1" x14ac:dyDescent="0.3">
      <c r="A5884" s="80"/>
    </row>
    <row r="5885" spans="1:1" x14ac:dyDescent="0.3">
      <c r="A5885" s="80"/>
    </row>
    <row r="5886" spans="1:1" x14ac:dyDescent="0.3">
      <c r="A5886" s="80"/>
    </row>
    <row r="5887" spans="1:1" x14ac:dyDescent="0.3">
      <c r="A5887" s="80"/>
    </row>
    <row r="5888" spans="1:1" x14ac:dyDescent="0.3">
      <c r="A5888" s="80"/>
    </row>
    <row r="5889" spans="1:1" x14ac:dyDescent="0.3">
      <c r="A5889" s="80"/>
    </row>
    <row r="5890" spans="1:1" x14ac:dyDescent="0.3">
      <c r="A5890" s="80"/>
    </row>
    <row r="5891" spans="1:1" x14ac:dyDescent="0.3">
      <c r="A5891" s="80"/>
    </row>
    <row r="5892" spans="1:1" x14ac:dyDescent="0.3">
      <c r="A5892" s="80"/>
    </row>
    <row r="5893" spans="1:1" x14ac:dyDescent="0.3">
      <c r="A5893" s="80"/>
    </row>
    <row r="5894" spans="1:1" x14ac:dyDescent="0.3">
      <c r="A5894" s="80"/>
    </row>
    <row r="5895" spans="1:1" x14ac:dyDescent="0.3">
      <c r="A5895" s="80"/>
    </row>
    <row r="5896" spans="1:1" x14ac:dyDescent="0.3">
      <c r="A5896" s="80"/>
    </row>
    <row r="5897" spans="1:1" x14ac:dyDescent="0.3">
      <c r="A5897" s="80"/>
    </row>
    <row r="5898" spans="1:1" x14ac:dyDescent="0.3">
      <c r="A5898" s="80"/>
    </row>
    <row r="5899" spans="1:1" x14ac:dyDescent="0.3">
      <c r="A5899" s="80"/>
    </row>
    <row r="5900" spans="1:1" x14ac:dyDescent="0.3">
      <c r="A5900" s="80"/>
    </row>
    <row r="5901" spans="1:1" x14ac:dyDescent="0.3">
      <c r="A5901" s="80"/>
    </row>
    <row r="5902" spans="1:1" x14ac:dyDescent="0.3">
      <c r="A5902" s="80"/>
    </row>
    <row r="5903" spans="1:1" x14ac:dyDescent="0.3">
      <c r="A5903" s="80"/>
    </row>
    <row r="5904" spans="1:1" x14ac:dyDescent="0.3">
      <c r="A5904" s="80"/>
    </row>
    <row r="5905" spans="1:1" x14ac:dyDescent="0.3">
      <c r="A5905" s="80"/>
    </row>
    <row r="5906" spans="1:1" x14ac:dyDescent="0.3">
      <c r="A5906" s="80"/>
    </row>
    <row r="5907" spans="1:1" x14ac:dyDescent="0.3">
      <c r="A5907" s="80"/>
    </row>
    <row r="5908" spans="1:1" x14ac:dyDescent="0.3">
      <c r="A5908" s="80"/>
    </row>
    <row r="5909" spans="1:1" x14ac:dyDescent="0.3">
      <c r="A5909" s="80"/>
    </row>
    <row r="5910" spans="1:1" x14ac:dyDescent="0.3">
      <c r="A5910" s="80"/>
    </row>
    <row r="5911" spans="1:1" x14ac:dyDescent="0.3">
      <c r="A5911" s="80"/>
    </row>
    <row r="5912" spans="1:1" x14ac:dyDescent="0.3">
      <c r="A5912" s="80"/>
    </row>
    <row r="5913" spans="1:1" x14ac:dyDescent="0.3">
      <c r="A5913" s="80"/>
    </row>
    <row r="5914" spans="1:1" x14ac:dyDescent="0.3">
      <c r="A5914" s="80"/>
    </row>
    <row r="5915" spans="1:1" x14ac:dyDescent="0.3">
      <c r="A5915" s="80"/>
    </row>
    <row r="5916" spans="1:1" x14ac:dyDescent="0.3">
      <c r="A5916" s="80"/>
    </row>
    <row r="5917" spans="1:1" x14ac:dyDescent="0.3">
      <c r="A5917" s="80"/>
    </row>
    <row r="5918" spans="1:1" x14ac:dyDescent="0.3">
      <c r="A5918" s="80"/>
    </row>
    <row r="5919" spans="1:1" x14ac:dyDescent="0.3">
      <c r="A5919" s="80"/>
    </row>
    <row r="5920" spans="1:1" x14ac:dyDescent="0.3">
      <c r="A5920" s="80"/>
    </row>
    <row r="5921" spans="1:1" x14ac:dyDescent="0.3">
      <c r="A5921" s="80"/>
    </row>
    <row r="5922" spans="1:1" x14ac:dyDescent="0.3">
      <c r="A5922" s="80"/>
    </row>
    <row r="5923" spans="1:1" x14ac:dyDescent="0.3">
      <c r="A5923" s="80"/>
    </row>
    <row r="5924" spans="1:1" x14ac:dyDescent="0.3">
      <c r="A5924" s="80"/>
    </row>
    <row r="5925" spans="1:1" x14ac:dyDescent="0.3">
      <c r="A5925" s="80"/>
    </row>
    <row r="5926" spans="1:1" x14ac:dyDescent="0.3">
      <c r="A5926" s="80"/>
    </row>
    <row r="5927" spans="1:1" x14ac:dyDescent="0.3">
      <c r="A5927" s="80"/>
    </row>
    <row r="5928" spans="1:1" x14ac:dyDescent="0.3">
      <c r="A5928" s="80"/>
    </row>
    <row r="5929" spans="1:1" x14ac:dyDescent="0.3">
      <c r="A5929" s="80"/>
    </row>
    <row r="5930" spans="1:1" x14ac:dyDescent="0.3">
      <c r="A5930" s="80"/>
    </row>
    <row r="5931" spans="1:1" x14ac:dyDescent="0.3">
      <c r="A5931" s="80"/>
    </row>
    <row r="5932" spans="1:1" x14ac:dyDescent="0.3">
      <c r="A5932" s="80"/>
    </row>
    <row r="5933" spans="1:1" x14ac:dyDescent="0.3">
      <c r="A5933" s="80"/>
    </row>
    <row r="5934" spans="1:1" x14ac:dyDescent="0.3">
      <c r="A5934" s="80"/>
    </row>
    <row r="5935" spans="1:1" x14ac:dyDescent="0.3">
      <c r="A5935" s="80"/>
    </row>
    <row r="5936" spans="1:1" x14ac:dyDescent="0.3">
      <c r="A5936" s="80"/>
    </row>
    <row r="5937" spans="1:1" x14ac:dyDescent="0.3">
      <c r="A5937" s="80"/>
    </row>
    <row r="5938" spans="1:1" x14ac:dyDescent="0.3">
      <c r="A5938" s="80"/>
    </row>
    <row r="5939" spans="1:1" x14ac:dyDescent="0.3">
      <c r="A5939" s="80"/>
    </row>
    <row r="5940" spans="1:1" x14ac:dyDescent="0.3">
      <c r="A5940" s="80"/>
    </row>
    <row r="5941" spans="1:1" x14ac:dyDescent="0.3">
      <c r="A5941" s="80"/>
    </row>
    <row r="5942" spans="1:1" x14ac:dyDescent="0.3">
      <c r="A5942" s="80"/>
    </row>
    <row r="5943" spans="1:1" x14ac:dyDescent="0.3">
      <c r="A5943" s="80"/>
    </row>
    <row r="5944" spans="1:1" x14ac:dyDescent="0.3">
      <c r="A5944" s="80"/>
    </row>
    <row r="5945" spans="1:1" x14ac:dyDescent="0.3">
      <c r="A5945" s="80"/>
    </row>
    <row r="5946" spans="1:1" x14ac:dyDescent="0.3">
      <c r="A5946" s="80"/>
    </row>
    <row r="5947" spans="1:1" x14ac:dyDescent="0.3">
      <c r="A5947" s="80"/>
    </row>
    <row r="5948" spans="1:1" x14ac:dyDescent="0.3">
      <c r="A5948" s="80"/>
    </row>
    <row r="5949" spans="1:1" x14ac:dyDescent="0.3">
      <c r="A5949" s="80"/>
    </row>
    <row r="5950" spans="1:1" x14ac:dyDescent="0.3">
      <c r="A5950" s="80"/>
    </row>
    <row r="5951" spans="1:1" x14ac:dyDescent="0.3">
      <c r="A5951" s="80"/>
    </row>
    <row r="5952" spans="1:1" x14ac:dyDescent="0.3">
      <c r="A5952" s="80"/>
    </row>
    <row r="5953" spans="1:1" x14ac:dyDescent="0.3">
      <c r="A5953" s="80"/>
    </row>
    <row r="5954" spans="1:1" x14ac:dyDescent="0.3">
      <c r="A5954" s="80"/>
    </row>
    <row r="5955" spans="1:1" x14ac:dyDescent="0.3">
      <c r="A5955" s="80"/>
    </row>
    <row r="5956" spans="1:1" x14ac:dyDescent="0.3">
      <c r="A5956" s="80"/>
    </row>
    <row r="5957" spans="1:1" x14ac:dyDescent="0.3">
      <c r="A5957" s="80"/>
    </row>
    <row r="5958" spans="1:1" x14ac:dyDescent="0.3">
      <c r="A5958" s="80"/>
    </row>
    <row r="5959" spans="1:1" x14ac:dyDescent="0.3">
      <c r="A5959" s="80"/>
    </row>
    <row r="5960" spans="1:1" x14ac:dyDescent="0.3">
      <c r="A5960" s="80"/>
    </row>
    <row r="5961" spans="1:1" x14ac:dyDescent="0.3">
      <c r="A5961" s="80"/>
    </row>
    <row r="5962" spans="1:1" x14ac:dyDescent="0.3">
      <c r="A5962" s="80"/>
    </row>
    <row r="5963" spans="1:1" x14ac:dyDescent="0.3">
      <c r="A5963" s="80"/>
    </row>
    <row r="5964" spans="1:1" x14ac:dyDescent="0.3">
      <c r="A5964" s="80"/>
    </row>
    <row r="5965" spans="1:1" x14ac:dyDescent="0.3">
      <c r="A5965" s="80"/>
    </row>
    <row r="5966" spans="1:1" x14ac:dyDescent="0.3">
      <c r="A5966" s="80"/>
    </row>
    <row r="5967" spans="1:1" x14ac:dyDescent="0.3">
      <c r="A5967" s="80"/>
    </row>
    <row r="5968" spans="1:1" x14ac:dyDescent="0.3">
      <c r="A5968" s="80"/>
    </row>
    <row r="5969" spans="1:1" x14ac:dyDescent="0.3">
      <c r="A5969" s="80"/>
    </row>
    <row r="5970" spans="1:1" x14ac:dyDescent="0.3">
      <c r="A5970" s="80"/>
    </row>
    <row r="5971" spans="1:1" x14ac:dyDescent="0.3">
      <c r="A5971" s="80"/>
    </row>
    <row r="5972" spans="1:1" x14ac:dyDescent="0.3">
      <c r="A5972" s="80"/>
    </row>
    <row r="5973" spans="1:1" x14ac:dyDescent="0.3">
      <c r="A5973" s="80"/>
    </row>
    <row r="5974" spans="1:1" x14ac:dyDescent="0.3">
      <c r="A5974" s="80"/>
    </row>
    <row r="5975" spans="1:1" x14ac:dyDescent="0.3">
      <c r="A5975" s="80"/>
    </row>
    <row r="5976" spans="1:1" x14ac:dyDescent="0.3">
      <c r="A5976" s="80"/>
    </row>
    <row r="5977" spans="1:1" x14ac:dyDescent="0.3">
      <c r="A5977" s="80"/>
    </row>
    <row r="5978" spans="1:1" x14ac:dyDescent="0.3">
      <c r="A5978" s="80"/>
    </row>
    <row r="5979" spans="1:1" x14ac:dyDescent="0.3">
      <c r="A5979" s="80"/>
    </row>
    <row r="5980" spans="1:1" x14ac:dyDescent="0.3">
      <c r="A5980" s="80"/>
    </row>
    <row r="5981" spans="1:1" x14ac:dyDescent="0.3">
      <c r="A5981" s="80"/>
    </row>
    <row r="5982" spans="1:1" x14ac:dyDescent="0.3">
      <c r="A5982" s="80"/>
    </row>
    <row r="5983" spans="1:1" x14ac:dyDescent="0.3">
      <c r="A5983" s="80"/>
    </row>
    <row r="5984" spans="1:1" x14ac:dyDescent="0.3">
      <c r="A5984" s="80"/>
    </row>
    <row r="5985" spans="1:1" x14ac:dyDescent="0.3">
      <c r="A5985" s="80"/>
    </row>
    <row r="5986" spans="1:1" x14ac:dyDescent="0.3">
      <c r="A5986" s="80"/>
    </row>
    <row r="5987" spans="1:1" x14ac:dyDescent="0.3">
      <c r="A5987" s="80"/>
    </row>
    <row r="5988" spans="1:1" x14ac:dyDescent="0.3">
      <c r="A5988" s="80"/>
    </row>
    <row r="5989" spans="1:1" x14ac:dyDescent="0.3">
      <c r="A5989" s="80"/>
    </row>
    <row r="5990" spans="1:1" x14ac:dyDescent="0.3">
      <c r="A5990" s="80"/>
    </row>
    <row r="5991" spans="1:1" x14ac:dyDescent="0.3">
      <c r="A5991" s="80"/>
    </row>
    <row r="5992" spans="1:1" x14ac:dyDescent="0.3">
      <c r="A5992" s="80"/>
    </row>
    <row r="5993" spans="1:1" x14ac:dyDescent="0.3">
      <c r="A5993" s="80"/>
    </row>
    <row r="5994" spans="1:1" x14ac:dyDescent="0.3">
      <c r="A5994" s="80"/>
    </row>
    <row r="5995" spans="1:1" x14ac:dyDescent="0.3">
      <c r="A5995" s="80"/>
    </row>
    <row r="5996" spans="1:1" x14ac:dyDescent="0.3">
      <c r="A5996" s="80"/>
    </row>
    <row r="5997" spans="1:1" x14ac:dyDescent="0.3">
      <c r="A5997" s="80"/>
    </row>
    <row r="5998" spans="1:1" x14ac:dyDescent="0.3">
      <c r="A5998" s="80"/>
    </row>
    <row r="5999" spans="1:1" x14ac:dyDescent="0.3">
      <c r="A5999" s="80"/>
    </row>
    <row r="6000" spans="1:1" x14ac:dyDescent="0.3">
      <c r="A6000" s="80"/>
    </row>
    <row r="6001" spans="1:1" x14ac:dyDescent="0.3">
      <c r="A6001" s="80"/>
    </row>
    <row r="6002" spans="1:1" x14ac:dyDescent="0.3">
      <c r="A6002" s="80"/>
    </row>
    <row r="6003" spans="1:1" x14ac:dyDescent="0.3">
      <c r="A6003" s="80"/>
    </row>
    <row r="6004" spans="1:1" x14ac:dyDescent="0.3">
      <c r="A6004" s="80"/>
    </row>
    <row r="6005" spans="1:1" x14ac:dyDescent="0.3">
      <c r="A6005" s="80"/>
    </row>
    <row r="6006" spans="1:1" x14ac:dyDescent="0.3">
      <c r="A6006" s="80"/>
    </row>
    <row r="6007" spans="1:1" x14ac:dyDescent="0.3">
      <c r="A6007" s="80"/>
    </row>
    <row r="6008" spans="1:1" x14ac:dyDescent="0.3">
      <c r="A6008" s="80"/>
    </row>
    <row r="6009" spans="1:1" x14ac:dyDescent="0.3">
      <c r="A6009" s="80"/>
    </row>
    <row r="6010" spans="1:1" x14ac:dyDescent="0.3">
      <c r="A6010" s="80"/>
    </row>
    <row r="6011" spans="1:1" x14ac:dyDescent="0.3">
      <c r="A6011" s="80"/>
    </row>
    <row r="6012" spans="1:1" x14ac:dyDescent="0.3">
      <c r="A6012" s="80"/>
    </row>
    <row r="6013" spans="1:1" x14ac:dyDescent="0.3">
      <c r="A6013" s="80"/>
    </row>
    <row r="6014" spans="1:1" x14ac:dyDescent="0.3">
      <c r="A6014" s="80"/>
    </row>
    <row r="6015" spans="1:1" x14ac:dyDescent="0.3">
      <c r="A6015" s="80"/>
    </row>
    <row r="6016" spans="1:1" x14ac:dyDescent="0.3">
      <c r="A6016" s="80"/>
    </row>
    <row r="6017" spans="1:1" x14ac:dyDescent="0.3">
      <c r="A6017" s="80"/>
    </row>
    <row r="6018" spans="1:1" x14ac:dyDescent="0.3">
      <c r="A6018" s="80"/>
    </row>
    <row r="6019" spans="1:1" x14ac:dyDescent="0.3">
      <c r="A6019" s="80"/>
    </row>
    <row r="6020" spans="1:1" x14ac:dyDescent="0.3">
      <c r="A6020" s="80"/>
    </row>
    <row r="6021" spans="1:1" x14ac:dyDescent="0.3">
      <c r="A6021" s="80"/>
    </row>
    <row r="6022" spans="1:1" x14ac:dyDescent="0.3">
      <c r="A6022" s="80"/>
    </row>
    <row r="6023" spans="1:1" x14ac:dyDescent="0.3">
      <c r="A6023" s="80"/>
    </row>
    <row r="6024" spans="1:1" x14ac:dyDescent="0.3">
      <c r="A6024" s="80"/>
    </row>
    <row r="6025" spans="1:1" x14ac:dyDescent="0.3">
      <c r="A6025" s="80"/>
    </row>
    <row r="6026" spans="1:1" x14ac:dyDescent="0.3">
      <c r="A6026" s="80"/>
    </row>
    <row r="6027" spans="1:1" x14ac:dyDescent="0.3">
      <c r="A6027" s="80"/>
    </row>
    <row r="6028" spans="1:1" x14ac:dyDescent="0.3">
      <c r="A6028" s="80"/>
    </row>
    <row r="6029" spans="1:1" x14ac:dyDescent="0.3">
      <c r="A6029" s="80"/>
    </row>
    <row r="6030" spans="1:1" x14ac:dyDescent="0.3">
      <c r="A6030" s="80"/>
    </row>
    <row r="6031" spans="1:1" x14ac:dyDescent="0.3">
      <c r="A6031" s="80"/>
    </row>
    <row r="6032" spans="1:1" x14ac:dyDescent="0.3">
      <c r="A6032" s="80"/>
    </row>
    <row r="6033" spans="1:1" x14ac:dyDescent="0.3">
      <c r="A6033" s="80"/>
    </row>
    <row r="6034" spans="1:1" x14ac:dyDescent="0.3">
      <c r="A6034" s="80"/>
    </row>
    <row r="6035" spans="1:1" x14ac:dyDescent="0.3">
      <c r="A6035" s="80"/>
    </row>
    <row r="6036" spans="1:1" x14ac:dyDescent="0.3">
      <c r="A6036" s="80"/>
    </row>
    <row r="6037" spans="1:1" x14ac:dyDescent="0.3">
      <c r="A6037" s="80"/>
    </row>
    <row r="6038" spans="1:1" x14ac:dyDescent="0.3">
      <c r="A6038" s="80"/>
    </row>
    <row r="6039" spans="1:1" x14ac:dyDescent="0.3">
      <c r="A6039" s="80"/>
    </row>
    <row r="6040" spans="1:1" x14ac:dyDescent="0.3">
      <c r="A6040" s="80"/>
    </row>
    <row r="6041" spans="1:1" x14ac:dyDescent="0.3">
      <c r="A6041" s="80"/>
    </row>
    <row r="6042" spans="1:1" x14ac:dyDescent="0.3">
      <c r="A6042" s="80"/>
    </row>
    <row r="6043" spans="1:1" x14ac:dyDescent="0.3">
      <c r="A6043" s="80"/>
    </row>
    <row r="6044" spans="1:1" x14ac:dyDescent="0.3">
      <c r="A6044" s="80"/>
    </row>
    <row r="6045" spans="1:1" x14ac:dyDescent="0.3">
      <c r="A6045" s="80"/>
    </row>
    <row r="6046" spans="1:1" x14ac:dyDescent="0.3">
      <c r="A6046" s="80"/>
    </row>
    <row r="6047" spans="1:1" x14ac:dyDescent="0.3">
      <c r="A6047" s="80"/>
    </row>
    <row r="6048" spans="1:1" x14ac:dyDescent="0.3">
      <c r="A6048" s="80"/>
    </row>
    <row r="6049" spans="1:1" x14ac:dyDescent="0.3">
      <c r="A6049" s="80"/>
    </row>
    <row r="6050" spans="1:1" x14ac:dyDescent="0.3">
      <c r="A6050" s="80"/>
    </row>
    <row r="6051" spans="1:1" x14ac:dyDescent="0.3">
      <c r="A6051" s="80"/>
    </row>
    <row r="6052" spans="1:1" x14ac:dyDescent="0.3">
      <c r="A6052" s="80"/>
    </row>
    <row r="6053" spans="1:1" x14ac:dyDescent="0.3">
      <c r="A6053" s="80"/>
    </row>
    <row r="6054" spans="1:1" x14ac:dyDescent="0.3">
      <c r="A6054" s="80"/>
    </row>
    <row r="6055" spans="1:1" x14ac:dyDescent="0.3">
      <c r="A6055" s="80"/>
    </row>
    <row r="6056" spans="1:1" x14ac:dyDescent="0.3">
      <c r="A6056" s="80"/>
    </row>
    <row r="6057" spans="1:1" x14ac:dyDescent="0.3">
      <c r="A6057" s="80"/>
    </row>
    <row r="6058" spans="1:1" x14ac:dyDescent="0.3">
      <c r="A6058" s="80"/>
    </row>
    <row r="6059" spans="1:1" x14ac:dyDescent="0.3">
      <c r="A6059" s="80"/>
    </row>
    <row r="6060" spans="1:1" x14ac:dyDescent="0.3">
      <c r="A6060" s="80"/>
    </row>
    <row r="6061" spans="1:1" x14ac:dyDescent="0.3">
      <c r="A6061" s="80"/>
    </row>
    <row r="6062" spans="1:1" x14ac:dyDescent="0.3">
      <c r="A6062" s="80"/>
    </row>
    <row r="6063" spans="1:1" x14ac:dyDescent="0.3">
      <c r="A6063" s="80"/>
    </row>
    <row r="6064" spans="1:1" x14ac:dyDescent="0.3">
      <c r="A6064" s="80"/>
    </row>
    <row r="6065" spans="1:1" x14ac:dyDescent="0.3">
      <c r="A6065" s="80"/>
    </row>
    <row r="6066" spans="1:1" x14ac:dyDescent="0.3">
      <c r="A6066" s="80"/>
    </row>
    <row r="6067" spans="1:1" x14ac:dyDescent="0.3">
      <c r="A6067" s="80"/>
    </row>
    <row r="6068" spans="1:1" x14ac:dyDescent="0.3">
      <c r="A6068" s="80"/>
    </row>
    <row r="6069" spans="1:1" x14ac:dyDescent="0.3">
      <c r="A6069" s="80"/>
    </row>
    <row r="6070" spans="1:1" x14ac:dyDescent="0.3">
      <c r="A6070" s="80"/>
    </row>
    <row r="6071" spans="1:1" x14ac:dyDescent="0.3">
      <c r="A6071" s="80"/>
    </row>
    <row r="6072" spans="1:1" x14ac:dyDescent="0.3">
      <c r="A6072" s="80"/>
    </row>
    <row r="6073" spans="1:1" x14ac:dyDescent="0.3">
      <c r="A6073" s="80"/>
    </row>
    <row r="6074" spans="1:1" x14ac:dyDescent="0.3">
      <c r="A6074" s="80"/>
    </row>
    <row r="6075" spans="1:1" x14ac:dyDescent="0.3">
      <c r="A6075" s="80"/>
    </row>
    <row r="6076" spans="1:1" x14ac:dyDescent="0.3">
      <c r="A6076" s="80"/>
    </row>
    <row r="6077" spans="1:1" x14ac:dyDescent="0.3">
      <c r="A6077" s="80"/>
    </row>
    <row r="6078" spans="1:1" x14ac:dyDescent="0.3">
      <c r="A6078" s="80"/>
    </row>
    <row r="6079" spans="1:1" x14ac:dyDescent="0.3">
      <c r="A6079" s="80"/>
    </row>
    <row r="6080" spans="1:1" x14ac:dyDescent="0.3">
      <c r="A6080" s="80"/>
    </row>
    <row r="6081" spans="1:1" x14ac:dyDescent="0.3">
      <c r="A6081" s="80"/>
    </row>
    <row r="6082" spans="1:1" x14ac:dyDescent="0.3">
      <c r="A6082" s="80"/>
    </row>
    <row r="6083" spans="1:1" x14ac:dyDescent="0.3">
      <c r="A6083" s="80"/>
    </row>
    <row r="6084" spans="1:1" x14ac:dyDescent="0.3">
      <c r="A6084" s="80"/>
    </row>
    <row r="6085" spans="1:1" x14ac:dyDescent="0.3">
      <c r="A6085" s="80"/>
    </row>
    <row r="6086" spans="1:1" x14ac:dyDescent="0.3">
      <c r="A6086" s="80"/>
    </row>
    <row r="6087" spans="1:1" x14ac:dyDescent="0.3">
      <c r="A6087" s="80"/>
    </row>
    <row r="6088" spans="1:1" x14ac:dyDescent="0.3">
      <c r="A6088" s="80"/>
    </row>
    <row r="6089" spans="1:1" x14ac:dyDescent="0.3">
      <c r="A6089" s="80"/>
    </row>
    <row r="6090" spans="1:1" x14ac:dyDescent="0.3">
      <c r="A6090" s="80"/>
    </row>
    <row r="6091" spans="1:1" x14ac:dyDescent="0.3">
      <c r="A6091" s="80"/>
    </row>
    <row r="6092" spans="1:1" x14ac:dyDescent="0.3">
      <c r="A6092" s="80"/>
    </row>
    <row r="6093" spans="1:1" x14ac:dyDescent="0.3">
      <c r="A6093" s="80"/>
    </row>
    <row r="6094" spans="1:1" x14ac:dyDescent="0.3">
      <c r="A6094" s="80"/>
    </row>
    <row r="6095" spans="1:1" x14ac:dyDescent="0.3">
      <c r="A6095" s="80"/>
    </row>
    <row r="6096" spans="1:1" x14ac:dyDescent="0.3">
      <c r="A6096" s="80"/>
    </row>
    <row r="6097" spans="1:1" x14ac:dyDescent="0.3">
      <c r="A6097" s="80"/>
    </row>
    <row r="6098" spans="1:1" x14ac:dyDescent="0.3">
      <c r="A6098" s="80"/>
    </row>
    <row r="6099" spans="1:1" x14ac:dyDescent="0.3">
      <c r="A6099" s="80"/>
    </row>
    <row r="6100" spans="1:1" x14ac:dyDescent="0.3">
      <c r="A6100" s="80"/>
    </row>
    <row r="6101" spans="1:1" x14ac:dyDescent="0.3">
      <c r="A6101" s="80"/>
    </row>
    <row r="6102" spans="1:1" x14ac:dyDescent="0.3">
      <c r="A6102" s="80"/>
    </row>
    <row r="6103" spans="1:1" x14ac:dyDescent="0.3">
      <c r="A6103" s="80"/>
    </row>
    <row r="6104" spans="1:1" x14ac:dyDescent="0.3">
      <c r="A6104" s="80"/>
    </row>
    <row r="6105" spans="1:1" x14ac:dyDescent="0.3">
      <c r="A6105" s="80"/>
    </row>
    <row r="6106" spans="1:1" x14ac:dyDescent="0.3">
      <c r="A6106" s="80"/>
    </row>
    <row r="6107" spans="1:1" x14ac:dyDescent="0.3">
      <c r="A6107" s="80"/>
    </row>
    <row r="6108" spans="1:1" x14ac:dyDescent="0.3">
      <c r="A6108" s="80"/>
    </row>
    <row r="6109" spans="1:1" x14ac:dyDescent="0.3">
      <c r="A6109" s="80"/>
    </row>
    <row r="6110" spans="1:1" x14ac:dyDescent="0.3">
      <c r="A6110" s="80"/>
    </row>
    <row r="6111" spans="1:1" x14ac:dyDescent="0.3">
      <c r="A6111" s="80"/>
    </row>
    <row r="6112" spans="1:1" x14ac:dyDescent="0.3">
      <c r="A6112" s="80"/>
    </row>
    <row r="6113" spans="1:1" x14ac:dyDescent="0.3">
      <c r="A6113" s="80"/>
    </row>
    <row r="6114" spans="1:1" x14ac:dyDescent="0.3">
      <c r="A6114" s="80"/>
    </row>
    <row r="6115" spans="1:1" x14ac:dyDescent="0.3">
      <c r="A6115" s="80"/>
    </row>
    <row r="6116" spans="1:1" x14ac:dyDescent="0.3">
      <c r="A6116" s="80"/>
    </row>
    <row r="6117" spans="1:1" x14ac:dyDescent="0.3">
      <c r="A6117" s="80"/>
    </row>
    <row r="6118" spans="1:1" x14ac:dyDescent="0.3">
      <c r="A6118" s="80"/>
    </row>
    <row r="6119" spans="1:1" x14ac:dyDescent="0.3">
      <c r="A6119" s="80"/>
    </row>
    <row r="6120" spans="1:1" x14ac:dyDescent="0.3">
      <c r="A6120" s="80"/>
    </row>
    <row r="6121" spans="1:1" x14ac:dyDescent="0.3">
      <c r="A6121" s="80"/>
    </row>
    <row r="6122" spans="1:1" x14ac:dyDescent="0.3">
      <c r="A6122" s="80"/>
    </row>
    <row r="6123" spans="1:1" x14ac:dyDescent="0.3">
      <c r="A6123" s="80"/>
    </row>
    <row r="6124" spans="1:1" x14ac:dyDescent="0.3">
      <c r="A6124" s="80"/>
    </row>
    <row r="6125" spans="1:1" x14ac:dyDescent="0.3">
      <c r="A6125" s="80"/>
    </row>
    <row r="6126" spans="1:1" x14ac:dyDescent="0.3">
      <c r="A6126" s="80"/>
    </row>
    <row r="6127" spans="1:1" x14ac:dyDescent="0.3">
      <c r="A6127" s="80"/>
    </row>
    <row r="6128" spans="1:1" x14ac:dyDescent="0.3">
      <c r="A6128" s="80"/>
    </row>
    <row r="6129" spans="1:1" x14ac:dyDescent="0.3">
      <c r="A6129" s="80"/>
    </row>
    <row r="6130" spans="1:1" x14ac:dyDescent="0.3">
      <c r="A6130" s="80"/>
    </row>
    <row r="6131" spans="1:1" x14ac:dyDescent="0.3">
      <c r="A6131" s="80"/>
    </row>
    <row r="6132" spans="1:1" x14ac:dyDescent="0.3">
      <c r="A6132" s="80"/>
    </row>
    <row r="6133" spans="1:1" x14ac:dyDescent="0.3">
      <c r="A6133" s="80"/>
    </row>
    <row r="6134" spans="1:1" x14ac:dyDescent="0.3">
      <c r="A6134" s="80"/>
    </row>
    <row r="6135" spans="1:1" x14ac:dyDescent="0.3">
      <c r="A6135" s="80"/>
    </row>
    <row r="6136" spans="1:1" x14ac:dyDescent="0.3">
      <c r="A6136" s="80"/>
    </row>
    <row r="6137" spans="1:1" x14ac:dyDescent="0.3">
      <c r="A6137" s="80"/>
    </row>
    <row r="6138" spans="1:1" x14ac:dyDescent="0.3">
      <c r="A6138" s="80"/>
    </row>
    <row r="6139" spans="1:1" x14ac:dyDescent="0.3">
      <c r="A6139" s="80"/>
    </row>
    <row r="6140" spans="1:1" x14ac:dyDescent="0.3">
      <c r="A6140" s="80"/>
    </row>
    <row r="6141" spans="1:1" x14ac:dyDescent="0.3">
      <c r="A6141" s="80"/>
    </row>
    <row r="6142" spans="1:1" x14ac:dyDescent="0.3">
      <c r="A6142" s="80"/>
    </row>
    <row r="6143" spans="1:1" x14ac:dyDescent="0.3">
      <c r="A6143" s="80"/>
    </row>
    <row r="6144" spans="1:1" x14ac:dyDescent="0.3">
      <c r="A6144" s="80"/>
    </row>
    <row r="6145" spans="1:1" x14ac:dyDescent="0.3">
      <c r="A6145" s="80"/>
    </row>
    <row r="6146" spans="1:1" x14ac:dyDescent="0.3">
      <c r="A6146" s="80"/>
    </row>
    <row r="6147" spans="1:1" x14ac:dyDescent="0.3">
      <c r="A6147" s="80"/>
    </row>
    <row r="6148" spans="1:1" x14ac:dyDescent="0.3">
      <c r="A6148" s="80"/>
    </row>
    <row r="6149" spans="1:1" x14ac:dyDescent="0.3">
      <c r="A6149" s="80"/>
    </row>
    <row r="6150" spans="1:1" x14ac:dyDescent="0.3">
      <c r="A6150" s="80"/>
    </row>
    <row r="6151" spans="1:1" x14ac:dyDescent="0.3">
      <c r="A6151" s="80"/>
    </row>
    <row r="6152" spans="1:1" x14ac:dyDescent="0.3">
      <c r="A6152" s="80"/>
    </row>
    <row r="6153" spans="1:1" x14ac:dyDescent="0.3">
      <c r="A6153" s="80"/>
    </row>
    <row r="6154" spans="1:1" x14ac:dyDescent="0.3">
      <c r="A6154" s="80"/>
    </row>
    <row r="6155" spans="1:1" x14ac:dyDescent="0.3">
      <c r="A6155" s="80"/>
    </row>
    <row r="6156" spans="1:1" x14ac:dyDescent="0.3">
      <c r="A6156" s="80"/>
    </row>
    <row r="6157" spans="1:1" x14ac:dyDescent="0.3">
      <c r="A6157" s="80"/>
    </row>
    <row r="6158" spans="1:1" x14ac:dyDescent="0.3">
      <c r="A6158" s="80"/>
    </row>
    <row r="6159" spans="1:1" x14ac:dyDescent="0.3">
      <c r="A6159" s="80"/>
    </row>
    <row r="6160" spans="1:1" x14ac:dyDescent="0.3">
      <c r="A6160" s="80"/>
    </row>
    <row r="6161" spans="1:1" x14ac:dyDescent="0.3">
      <c r="A6161" s="80"/>
    </row>
    <row r="6162" spans="1:1" x14ac:dyDescent="0.3">
      <c r="A6162" s="80"/>
    </row>
    <row r="6163" spans="1:1" x14ac:dyDescent="0.3">
      <c r="A6163" s="80"/>
    </row>
    <row r="6164" spans="1:1" x14ac:dyDescent="0.3">
      <c r="A6164" s="80"/>
    </row>
    <row r="6165" spans="1:1" x14ac:dyDescent="0.3">
      <c r="A6165" s="80"/>
    </row>
    <row r="6166" spans="1:1" x14ac:dyDescent="0.3">
      <c r="A6166" s="80"/>
    </row>
    <row r="6167" spans="1:1" x14ac:dyDescent="0.3">
      <c r="A6167" s="80"/>
    </row>
    <row r="6168" spans="1:1" x14ac:dyDescent="0.3">
      <c r="A6168" s="80"/>
    </row>
    <row r="6169" spans="1:1" x14ac:dyDescent="0.3">
      <c r="A6169" s="80"/>
    </row>
    <row r="6170" spans="1:1" x14ac:dyDescent="0.3">
      <c r="A6170" s="80"/>
    </row>
    <row r="6171" spans="1:1" x14ac:dyDescent="0.3">
      <c r="A6171" s="80"/>
    </row>
    <row r="6172" spans="1:1" x14ac:dyDescent="0.3">
      <c r="A6172" s="80"/>
    </row>
    <row r="6173" spans="1:1" x14ac:dyDescent="0.3">
      <c r="A6173" s="80"/>
    </row>
    <row r="6174" spans="1:1" x14ac:dyDescent="0.3">
      <c r="A6174" s="80"/>
    </row>
    <row r="6175" spans="1:1" x14ac:dyDescent="0.3">
      <c r="A6175" s="80"/>
    </row>
    <row r="6176" spans="1:1" x14ac:dyDescent="0.3">
      <c r="A6176" s="80"/>
    </row>
    <row r="6177" spans="1:1" x14ac:dyDescent="0.3">
      <c r="A6177" s="80"/>
    </row>
    <row r="6178" spans="1:1" x14ac:dyDescent="0.3">
      <c r="A6178" s="80"/>
    </row>
    <row r="6179" spans="1:1" x14ac:dyDescent="0.3">
      <c r="A6179" s="80"/>
    </row>
    <row r="6180" spans="1:1" x14ac:dyDescent="0.3">
      <c r="A6180" s="80"/>
    </row>
    <row r="6181" spans="1:1" x14ac:dyDescent="0.3">
      <c r="A6181" s="80"/>
    </row>
    <row r="6182" spans="1:1" x14ac:dyDescent="0.3">
      <c r="A6182" s="80"/>
    </row>
    <row r="6183" spans="1:1" x14ac:dyDescent="0.3">
      <c r="A6183" s="80"/>
    </row>
    <row r="6184" spans="1:1" x14ac:dyDescent="0.3">
      <c r="A6184" s="80"/>
    </row>
    <row r="6185" spans="1:1" x14ac:dyDescent="0.3">
      <c r="A6185" s="80"/>
    </row>
    <row r="6186" spans="1:1" x14ac:dyDescent="0.3">
      <c r="A6186" s="80"/>
    </row>
    <row r="6187" spans="1:1" x14ac:dyDescent="0.3">
      <c r="A6187" s="80"/>
    </row>
    <row r="6188" spans="1:1" x14ac:dyDescent="0.3">
      <c r="A6188" s="80"/>
    </row>
    <row r="6189" spans="1:1" x14ac:dyDescent="0.3">
      <c r="A6189" s="80"/>
    </row>
    <row r="6190" spans="1:1" x14ac:dyDescent="0.3">
      <c r="A6190" s="80"/>
    </row>
    <row r="6191" spans="1:1" x14ac:dyDescent="0.3">
      <c r="A6191" s="80"/>
    </row>
    <row r="6192" spans="1:1" x14ac:dyDescent="0.3">
      <c r="A6192" s="80"/>
    </row>
    <row r="6193" spans="1:1" x14ac:dyDescent="0.3">
      <c r="A6193" s="80"/>
    </row>
    <row r="6194" spans="1:1" x14ac:dyDescent="0.3">
      <c r="A6194" s="80"/>
    </row>
    <row r="6195" spans="1:1" x14ac:dyDescent="0.3">
      <c r="A6195" s="80"/>
    </row>
    <row r="6196" spans="1:1" x14ac:dyDescent="0.3">
      <c r="A6196" s="80"/>
    </row>
    <row r="6197" spans="1:1" x14ac:dyDescent="0.3">
      <c r="A6197" s="80"/>
    </row>
    <row r="6198" spans="1:1" x14ac:dyDescent="0.3">
      <c r="A6198" s="80"/>
    </row>
    <row r="6199" spans="1:1" x14ac:dyDescent="0.3">
      <c r="A6199" s="80"/>
    </row>
    <row r="6200" spans="1:1" x14ac:dyDescent="0.3">
      <c r="A6200" s="80"/>
    </row>
    <row r="6201" spans="1:1" x14ac:dyDescent="0.3">
      <c r="A6201" s="80"/>
    </row>
    <row r="6202" spans="1:1" x14ac:dyDescent="0.3">
      <c r="A6202" s="80"/>
    </row>
    <row r="6203" spans="1:1" x14ac:dyDescent="0.3">
      <c r="A6203" s="80"/>
    </row>
    <row r="6204" spans="1:1" x14ac:dyDescent="0.3">
      <c r="A6204" s="80"/>
    </row>
    <row r="6205" spans="1:1" x14ac:dyDescent="0.3">
      <c r="A6205" s="80"/>
    </row>
    <row r="6206" spans="1:1" x14ac:dyDescent="0.3">
      <c r="A6206" s="80"/>
    </row>
    <row r="6207" spans="1:1" x14ac:dyDescent="0.3">
      <c r="A6207" s="80"/>
    </row>
    <row r="6208" spans="1:1" x14ac:dyDescent="0.3">
      <c r="A6208" s="80"/>
    </row>
    <row r="6209" spans="1:1" x14ac:dyDescent="0.3">
      <c r="A6209" s="80"/>
    </row>
    <row r="6210" spans="1:1" x14ac:dyDescent="0.3">
      <c r="A6210" s="80"/>
    </row>
    <row r="6211" spans="1:1" x14ac:dyDescent="0.3">
      <c r="A6211" s="80"/>
    </row>
    <row r="6212" spans="1:1" x14ac:dyDescent="0.3">
      <c r="A6212" s="80"/>
    </row>
    <row r="6213" spans="1:1" x14ac:dyDescent="0.3">
      <c r="A6213" s="80"/>
    </row>
    <row r="6214" spans="1:1" x14ac:dyDescent="0.3">
      <c r="A6214" s="80"/>
    </row>
    <row r="6215" spans="1:1" x14ac:dyDescent="0.3">
      <c r="A6215" s="80"/>
    </row>
    <row r="6216" spans="1:1" x14ac:dyDescent="0.3">
      <c r="A6216" s="80"/>
    </row>
    <row r="6217" spans="1:1" x14ac:dyDescent="0.3">
      <c r="A6217" s="80"/>
    </row>
    <row r="6218" spans="1:1" x14ac:dyDescent="0.3">
      <c r="A6218" s="80"/>
    </row>
    <row r="6219" spans="1:1" x14ac:dyDescent="0.3">
      <c r="A6219" s="80"/>
    </row>
    <row r="6220" spans="1:1" x14ac:dyDescent="0.3">
      <c r="A6220" s="80"/>
    </row>
    <row r="6221" spans="1:1" x14ac:dyDescent="0.3">
      <c r="A6221" s="80"/>
    </row>
    <row r="6222" spans="1:1" x14ac:dyDescent="0.3">
      <c r="A6222" s="80"/>
    </row>
    <row r="6223" spans="1:1" x14ac:dyDescent="0.3">
      <c r="A6223" s="80"/>
    </row>
    <row r="6224" spans="1:1" x14ac:dyDescent="0.3">
      <c r="A6224" s="80"/>
    </row>
    <row r="6225" spans="1:1" x14ac:dyDescent="0.3">
      <c r="A6225" s="80"/>
    </row>
    <row r="6226" spans="1:1" x14ac:dyDescent="0.3">
      <c r="A6226" s="80"/>
    </row>
    <row r="6227" spans="1:1" x14ac:dyDescent="0.3">
      <c r="A6227" s="80"/>
    </row>
    <row r="6228" spans="1:1" x14ac:dyDescent="0.3">
      <c r="A6228" s="80"/>
    </row>
    <row r="6229" spans="1:1" x14ac:dyDescent="0.3">
      <c r="A6229" s="80"/>
    </row>
    <row r="6230" spans="1:1" x14ac:dyDescent="0.3">
      <c r="A6230" s="80"/>
    </row>
    <row r="6231" spans="1:1" x14ac:dyDescent="0.3">
      <c r="A6231" s="80"/>
    </row>
    <row r="6232" spans="1:1" x14ac:dyDescent="0.3">
      <c r="A6232" s="80"/>
    </row>
    <row r="6233" spans="1:1" x14ac:dyDescent="0.3">
      <c r="A6233" s="80"/>
    </row>
    <row r="6234" spans="1:1" x14ac:dyDescent="0.3">
      <c r="A6234" s="80"/>
    </row>
    <row r="6235" spans="1:1" x14ac:dyDescent="0.3">
      <c r="A6235" s="80"/>
    </row>
    <row r="6236" spans="1:1" x14ac:dyDescent="0.3">
      <c r="A6236" s="80"/>
    </row>
    <row r="6237" spans="1:1" x14ac:dyDescent="0.3">
      <c r="A6237" s="80"/>
    </row>
    <row r="6238" spans="1:1" x14ac:dyDescent="0.3">
      <c r="A6238" s="80"/>
    </row>
    <row r="6239" spans="1:1" x14ac:dyDescent="0.3">
      <c r="A6239" s="80"/>
    </row>
    <row r="6240" spans="1:1" x14ac:dyDescent="0.3">
      <c r="A6240" s="80"/>
    </row>
    <row r="6241" spans="1:1" x14ac:dyDescent="0.3">
      <c r="A6241" s="80"/>
    </row>
    <row r="6242" spans="1:1" x14ac:dyDescent="0.3">
      <c r="A6242" s="80"/>
    </row>
    <row r="6243" spans="1:1" x14ac:dyDescent="0.3">
      <c r="A6243" s="80"/>
    </row>
    <row r="6244" spans="1:1" x14ac:dyDescent="0.3">
      <c r="A6244" s="80"/>
    </row>
    <row r="6245" spans="1:1" x14ac:dyDescent="0.3">
      <c r="A6245" s="80"/>
    </row>
    <row r="6246" spans="1:1" x14ac:dyDescent="0.3">
      <c r="A6246" s="80"/>
    </row>
    <row r="6247" spans="1:1" x14ac:dyDescent="0.3">
      <c r="A6247" s="80"/>
    </row>
    <row r="6248" spans="1:1" x14ac:dyDescent="0.3">
      <c r="A6248" s="80"/>
    </row>
    <row r="6249" spans="1:1" x14ac:dyDescent="0.3">
      <c r="A6249" s="80"/>
    </row>
    <row r="6250" spans="1:1" x14ac:dyDescent="0.3">
      <c r="A6250" s="80"/>
    </row>
    <row r="6251" spans="1:1" x14ac:dyDescent="0.3">
      <c r="A6251" s="80"/>
    </row>
    <row r="6252" spans="1:1" x14ac:dyDescent="0.3">
      <c r="A6252" s="80"/>
    </row>
    <row r="6253" spans="1:1" x14ac:dyDescent="0.3">
      <c r="A6253" s="80"/>
    </row>
    <row r="6254" spans="1:1" x14ac:dyDescent="0.3">
      <c r="A6254" s="80"/>
    </row>
    <row r="6255" spans="1:1" x14ac:dyDescent="0.3">
      <c r="A6255" s="80"/>
    </row>
    <row r="6256" spans="1:1" x14ac:dyDescent="0.3">
      <c r="A6256" s="80"/>
    </row>
    <row r="6257" spans="1:1" x14ac:dyDescent="0.3">
      <c r="A6257" s="80"/>
    </row>
    <row r="6258" spans="1:1" x14ac:dyDescent="0.3">
      <c r="A6258" s="80"/>
    </row>
    <row r="6259" spans="1:1" x14ac:dyDescent="0.3">
      <c r="A6259" s="80"/>
    </row>
    <row r="6260" spans="1:1" x14ac:dyDescent="0.3">
      <c r="A6260" s="80"/>
    </row>
    <row r="6261" spans="1:1" x14ac:dyDescent="0.3">
      <c r="A6261" s="80"/>
    </row>
    <row r="6262" spans="1:1" x14ac:dyDescent="0.3">
      <c r="A6262" s="80"/>
    </row>
    <row r="6263" spans="1:1" x14ac:dyDescent="0.3">
      <c r="A6263" s="80"/>
    </row>
    <row r="6264" spans="1:1" x14ac:dyDescent="0.3">
      <c r="A6264" s="80"/>
    </row>
    <row r="6265" spans="1:1" x14ac:dyDescent="0.3">
      <c r="A6265" s="80"/>
    </row>
    <row r="6266" spans="1:1" x14ac:dyDescent="0.3">
      <c r="A6266" s="80"/>
    </row>
    <row r="6267" spans="1:1" x14ac:dyDescent="0.3">
      <c r="A6267" s="80"/>
    </row>
    <row r="6268" spans="1:1" x14ac:dyDescent="0.3">
      <c r="A6268" s="80"/>
    </row>
    <row r="6269" spans="1:1" x14ac:dyDescent="0.3">
      <c r="A6269" s="80"/>
    </row>
    <row r="6270" spans="1:1" x14ac:dyDescent="0.3">
      <c r="A6270" s="80"/>
    </row>
    <row r="6271" spans="1:1" x14ac:dyDescent="0.3">
      <c r="A6271" s="80"/>
    </row>
    <row r="6272" spans="1:1" x14ac:dyDescent="0.3">
      <c r="A6272" s="80"/>
    </row>
    <row r="6273" spans="1:1" x14ac:dyDescent="0.3">
      <c r="A6273" s="80"/>
    </row>
    <row r="6274" spans="1:1" x14ac:dyDescent="0.3">
      <c r="A6274" s="80"/>
    </row>
    <row r="6275" spans="1:1" x14ac:dyDescent="0.3">
      <c r="A6275" s="80"/>
    </row>
    <row r="6276" spans="1:1" x14ac:dyDescent="0.3">
      <c r="A6276" s="80"/>
    </row>
    <row r="6277" spans="1:1" x14ac:dyDescent="0.3">
      <c r="A6277" s="80"/>
    </row>
    <row r="6278" spans="1:1" x14ac:dyDescent="0.3">
      <c r="A6278" s="80"/>
    </row>
    <row r="6279" spans="1:1" x14ac:dyDescent="0.3">
      <c r="A6279" s="80"/>
    </row>
    <row r="6280" spans="1:1" x14ac:dyDescent="0.3">
      <c r="A6280" s="80"/>
    </row>
    <row r="6281" spans="1:1" x14ac:dyDescent="0.3">
      <c r="A6281" s="80"/>
    </row>
    <row r="6282" spans="1:1" x14ac:dyDescent="0.3">
      <c r="A6282" s="80"/>
    </row>
    <row r="6283" spans="1:1" x14ac:dyDescent="0.3">
      <c r="A6283" s="80"/>
    </row>
    <row r="6284" spans="1:1" x14ac:dyDescent="0.3">
      <c r="A6284" s="80"/>
    </row>
    <row r="6285" spans="1:1" x14ac:dyDescent="0.3">
      <c r="A6285" s="80"/>
    </row>
    <row r="6286" spans="1:1" x14ac:dyDescent="0.3">
      <c r="A6286" s="80"/>
    </row>
    <row r="6287" spans="1:1" x14ac:dyDescent="0.3">
      <c r="A6287" s="80"/>
    </row>
    <row r="6288" spans="1:1" x14ac:dyDescent="0.3">
      <c r="A6288" s="80"/>
    </row>
    <row r="6289" spans="1:1" x14ac:dyDescent="0.3">
      <c r="A6289" s="80"/>
    </row>
    <row r="6290" spans="1:1" x14ac:dyDescent="0.3">
      <c r="A6290" s="80"/>
    </row>
    <row r="6291" spans="1:1" x14ac:dyDescent="0.3">
      <c r="A6291" s="80"/>
    </row>
    <row r="6292" spans="1:1" x14ac:dyDescent="0.3">
      <c r="A6292" s="80"/>
    </row>
    <row r="6293" spans="1:1" x14ac:dyDescent="0.3">
      <c r="A6293" s="80"/>
    </row>
    <row r="6294" spans="1:1" x14ac:dyDescent="0.3">
      <c r="A6294" s="80"/>
    </row>
    <row r="6295" spans="1:1" x14ac:dyDescent="0.3">
      <c r="A6295" s="80"/>
    </row>
    <row r="6296" spans="1:1" x14ac:dyDescent="0.3">
      <c r="A6296" s="80"/>
    </row>
    <row r="6297" spans="1:1" x14ac:dyDescent="0.3">
      <c r="A6297" s="80"/>
    </row>
    <row r="6298" spans="1:1" x14ac:dyDescent="0.3">
      <c r="A6298" s="80"/>
    </row>
    <row r="6299" spans="1:1" x14ac:dyDescent="0.3">
      <c r="A6299" s="80"/>
    </row>
    <row r="6300" spans="1:1" x14ac:dyDescent="0.3">
      <c r="A6300" s="80"/>
    </row>
    <row r="6301" spans="1:1" x14ac:dyDescent="0.3">
      <c r="A6301" s="80"/>
    </row>
    <row r="6302" spans="1:1" x14ac:dyDescent="0.3">
      <c r="A6302" s="80"/>
    </row>
    <row r="6303" spans="1:1" x14ac:dyDescent="0.3">
      <c r="A6303" s="80"/>
    </row>
    <row r="6304" spans="1:1" x14ac:dyDescent="0.3">
      <c r="A6304" s="80"/>
    </row>
    <row r="6305" spans="1:1" x14ac:dyDescent="0.3">
      <c r="A6305" s="80"/>
    </row>
    <row r="6306" spans="1:1" x14ac:dyDescent="0.3">
      <c r="A6306" s="80"/>
    </row>
    <row r="6307" spans="1:1" x14ac:dyDescent="0.3">
      <c r="A6307" s="80"/>
    </row>
    <row r="6308" spans="1:1" x14ac:dyDescent="0.3">
      <c r="A6308" s="80"/>
    </row>
    <row r="6309" spans="1:1" x14ac:dyDescent="0.3">
      <c r="A6309" s="80"/>
    </row>
    <row r="6310" spans="1:1" x14ac:dyDescent="0.3">
      <c r="A6310" s="80"/>
    </row>
    <row r="6311" spans="1:1" x14ac:dyDescent="0.3">
      <c r="A6311" s="80"/>
    </row>
    <row r="6312" spans="1:1" x14ac:dyDescent="0.3">
      <c r="A6312" s="80"/>
    </row>
    <row r="6313" spans="1:1" x14ac:dyDescent="0.3">
      <c r="A6313" s="80"/>
    </row>
    <row r="6314" spans="1:1" x14ac:dyDescent="0.3">
      <c r="A6314" s="80"/>
    </row>
    <row r="6315" spans="1:1" x14ac:dyDescent="0.3">
      <c r="A6315" s="80"/>
    </row>
    <row r="6316" spans="1:1" x14ac:dyDescent="0.3">
      <c r="A6316" s="80"/>
    </row>
    <row r="6317" spans="1:1" x14ac:dyDescent="0.3">
      <c r="A6317" s="80"/>
    </row>
    <row r="6318" spans="1:1" x14ac:dyDescent="0.3">
      <c r="A6318" s="80"/>
    </row>
    <row r="6319" spans="1:1" x14ac:dyDescent="0.3">
      <c r="A6319" s="80"/>
    </row>
    <row r="6320" spans="1:1" x14ac:dyDescent="0.3">
      <c r="A6320" s="80"/>
    </row>
    <row r="6321" spans="1:1" x14ac:dyDescent="0.3">
      <c r="A6321" s="80"/>
    </row>
    <row r="6322" spans="1:1" x14ac:dyDescent="0.3">
      <c r="A6322" s="80"/>
    </row>
    <row r="6323" spans="1:1" x14ac:dyDescent="0.3">
      <c r="A6323" s="80"/>
    </row>
    <row r="6324" spans="1:1" x14ac:dyDescent="0.3">
      <c r="A6324" s="80"/>
    </row>
    <row r="6325" spans="1:1" x14ac:dyDescent="0.3">
      <c r="A6325" s="80"/>
    </row>
    <row r="6326" spans="1:1" x14ac:dyDescent="0.3">
      <c r="A6326" s="80"/>
    </row>
    <row r="6327" spans="1:1" x14ac:dyDescent="0.3">
      <c r="A6327" s="80"/>
    </row>
    <row r="6328" spans="1:1" x14ac:dyDescent="0.3">
      <c r="A6328" s="80"/>
    </row>
    <row r="6329" spans="1:1" x14ac:dyDescent="0.3">
      <c r="A6329" s="80"/>
    </row>
    <row r="6330" spans="1:1" x14ac:dyDescent="0.3">
      <c r="A6330" s="80"/>
    </row>
    <row r="6331" spans="1:1" x14ac:dyDescent="0.3">
      <c r="A6331" s="80"/>
    </row>
    <row r="6332" spans="1:1" x14ac:dyDescent="0.3">
      <c r="A6332" s="80"/>
    </row>
    <row r="6333" spans="1:1" x14ac:dyDescent="0.3">
      <c r="A6333" s="80"/>
    </row>
    <row r="6334" spans="1:1" x14ac:dyDescent="0.3">
      <c r="A6334" s="80"/>
    </row>
    <row r="6335" spans="1:1" x14ac:dyDescent="0.3">
      <c r="A6335" s="80"/>
    </row>
    <row r="6336" spans="1:1" x14ac:dyDescent="0.3">
      <c r="A6336" s="80"/>
    </row>
    <row r="6337" spans="1:1" x14ac:dyDescent="0.3">
      <c r="A6337" s="80"/>
    </row>
    <row r="6338" spans="1:1" x14ac:dyDescent="0.3">
      <c r="A6338" s="80"/>
    </row>
    <row r="6339" spans="1:1" x14ac:dyDescent="0.3">
      <c r="A6339" s="80"/>
    </row>
    <row r="6340" spans="1:1" x14ac:dyDescent="0.3">
      <c r="A6340" s="80"/>
    </row>
    <row r="6341" spans="1:1" x14ac:dyDescent="0.3">
      <c r="A6341" s="80"/>
    </row>
    <row r="6342" spans="1:1" x14ac:dyDescent="0.3">
      <c r="A6342" s="80"/>
    </row>
    <row r="6343" spans="1:1" x14ac:dyDescent="0.3">
      <c r="A6343" s="80"/>
    </row>
    <row r="6344" spans="1:1" x14ac:dyDescent="0.3">
      <c r="A6344" s="80"/>
    </row>
    <row r="6345" spans="1:1" x14ac:dyDescent="0.3">
      <c r="A6345" s="80"/>
    </row>
    <row r="6346" spans="1:1" x14ac:dyDescent="0.3">
      <c r="A6346" s="80"/>
    </row>
    <row r="6347" spans="1:1" x14ac:dyDescent="0.3">
      <c r="A6347" s="80"/>
    </row>
    <row r="6348" spans="1:1" x14ac:dyDescent="0.3">
      <c r="A6348" s="80"/>
    </row>
    <row r="6349" spans="1:1" x14ac:dyDescent="0.3">
      <c r="A6349" s="80"/>
    </row>
    <row r="6350" spans="1:1" x14ac:dyDescent="0.3">
      <c r="A6350" s="80"/>
    </row>
    <row r="6351" spans="1:1" x14ac:dyDescent="0.3">
      <c r="A6351" s="80"/>
    </row>
    <row r="6352" spans="1:1" x14ac:dyDescent="0.3">
      <c r="A6352" s="80"/>
    </row>
    <row r="6353" spans="1:1" x14ac:dyDescent="0.3">
      <c r="A6353" s="80"/>
    </row>
    <row r="6354" spans="1:1" x14ac:dyDescent="0.3">
      <c r="A6354" s="80"/>
    </row>
    <row r="6355" spans="1:1" x14ac:dyDescent="0.3">
      <c r="A6355" s="80"/>
    </row>
    <row r="6356" spans="1:1" x14ac:dyDescent="0.3">
      <c r="A6356" s="80"/>
    </row>
    <row r="6357" spans="1:1" x14ac:dyDescent="0.3">
      <c r="A6357" s="80"/>
    </row>
    <row r="6358" spans="1:1" x14ac:dyDescent="0.3">
      <c r="A6358" s="80"/>
    </row>
    <row r="6359" spans="1:1" x14ac:dyDescent="0.3">
      <c r="A6359" s="80"/>
    </row>
    <row r="6360" spans="1:1" x14ac:dyDescent="0.3">
      <c r="A6360" s="80"/>
    </row>
    <row r="6361" spans="1:1" x14ac:dyDescent="0.3">
      <c r="A6361" s="80"/>
    </row>
    <row r="6362" spans="1:1" x14ac:dyDescent="0.3">
      <c r="A6362" s="80"/>
    </row>
    <row r="6363" spans="1:1" x14ac:dyDescent="0.3">
      <c r="A6363" s="80"/>
    </row>
    <row r="6364" spans="1:1" x14ac:dyDescent="0.3">
      <c r="A6364" s="80"/>
    </row>
    <row r="6365" spans="1:1" x14ac:dyDescent="0.3">
      <c r="A6365" s="80"/>
    </row>
    <row r="6366" spans="1:1" x14ac:dyDescent="0.3">
      <c r="A6366" s="80"/>
    </row>
    <row r="6367" spans="1:1" x14ac:dyDescent="0.3">
      <c r="A6367" s="80"/>
    </row>
    <row r="6368" spans="1:1" x14ac:dyDescent="0.3">
      <c r="A6368" s="80"/>
    </row>
    <row r="6369" spans="1:1" x14ac:dyDescent="0.3">
      <c r="A6369" s="80"/>
    </row>
    <row r="6370" spans="1:1" x14ac:dyDescent="0.3">
      <c r="A6370" s="80"/>
    </row>
    <row r="6371" spans="1:1" x14ac:dyDescent="0.3">
      <c r="A6371" s="80"/>
    </row>
    <row r="6372" spans="1:1" x14ac:dyDescent="0.3">
      <c r="A6372" s="80"/>
    </row>
    <row r="6373" spans="1:1" x14ac:dyDescent="0.3">
      <c r="A6373" s="80"/>
    </row>
    <row r="6374" spans="1:1" x14ac:dyDescent="0.3">
      <c r="A6374" s="80"/>
    </row>
    <row r="6375" spans="1:1" x14ac:dyDescent="0.3">
      <c r="A6375" s="80"/>
    </row>
    <row r="6376" spans="1:1" x14ac:dyDescent="0.3">
      <c r="A6376" s="80"/>
    </row>
    <row r="6377" spans="1:1" x14ac:dyDescent="0.3">
      <c r="A6377" s="80"/>
    </row>
    <row r="6378" spans="1:1" x14ac:dyDescent="0.3">
      <c r="A6378" s="80"/>
    </row>
    <row r="6379" spans="1:1" x14ac:dyDescent="0.3">
      <c r="A6379" s="80"/>
    </row>
    <row r="6380" spans="1:1" x14ac:dyDescent="0.3">
      <c r="A6380" s="80"/>
    </row>
    <row r="6381" spans="1:1" x14ac:dyDescent="0.3">
      <c r="A6381" s="80"/>
    </row>
    <row r="6382" spans="1:1" x14ac:dyDescent="0.3">
      <c r="A6382" s="80"/>
    </row>
    <row r="6383" spans="1:1" x14ac:dyDescent="0.3">
      <c r="A6383" s="80"/>
    </row>
    <row r="6384" spans="1:1" x14ac:dyDescent="0.3">
      <c r="A6384" s="80"/>
    </row>
    <row r="6385" spans="1:1" x14ac:dyDescent="0.3">
      <c r="A6385" s="80"/>
    </row>
    <row r="6386" spans="1:1" x14ac:dyDescent="0.3">
      <c r="A6386" s="80"/>
    </row>
    <row r="6387" spans="1:1" x14ac:dyDescent="0.3">
      <c r="A6387" s="80"/>
    </row>
    <row r="6388" spans="1:1" x14ac:dyDescent="0.3">
      <c r="A6388" s="80"/>
    </row>
    <row r="6389" spans="1:1" x14ac:dyDescent="0.3">
      <c r="A6389" s="80"/>
    </row>
    <row r="6390" spans="1:1" x14ac:dyDescent="0.3">
      <c r="A6390" s="80"/>
    </row>
    <row r="6391" spans="1:1" x14ac:dyDescent="0.3">
      <c r="A6391" s="80"/>
    </row>
    <row r="6392" spans="1:1" x14ac:dyDescent="0.3">
      <c r="A6392" s="80"/>
    </row>
    <row r="6393" spans="1:1" x14ac:dyDescent="0.3">
      <c r="A6393" s="80"/>
    </row>
    <row r="6394" spans="1:1" x14ac:dyDescent="0.3">
      <c r="A6394" s="80"/>
    </row>
    <row r="6395" spans="1:1" x14ac:dyDescent="0.3">
      <c r="A6395" s="80"/>
    </row>
    <row r="6396" spans="1:1" x14ac:dyDescent="0.3">
      <c r="A6396" s="80"/>
    </row>
    <row r="6397" spans="1:1" x14ac:dyDescent="0.3">
      <c r="A6397" s="80"/>
    </row>
    <row r="6398" spans="1:1" x14ac:dyDescent="0.3">
      <c r="A6398" s="80"/>
    </row>
    <row r="6399" spans="1:1" x14ac:dyDescent="0.3">
      <c r="A6399" s="80"/>
    </row>
    <row r="6400" spans="1:1" x14ac:dyDescent="0.3">
      <c r="A6400" s="80"/>
    </row>
    <row r="6401" spans="1:1" x14ac:dyDescent="0.3">
      <c r="A6401" s="80"/>
    </row>
    <row r="6402" spans="1:1" x14ac:dyDescent="0.3">
      <c r="A6402" s="80"/>
    </row>
    <row r="6403" spans="1:1" x14ac:dyDescent="0.3">
      <c r="A6403" s="80"/>
    </row>
    <row r="6404" spans="1:1" x14ac:dyDescent="0.3">
      <c r="A6404" s="80"/>
    </row>
    <row r="6405" spans="1:1" x14ac:dyDescent="0.3">
      <c r="A6405" s="80"/>
    </row>
    <row r="6406" spans="1:1" x14ac:dyDescent="0.3">
      <c r="A6406" s="80"/>
    </row>
    <row r="6407" spans="1:1" x14ac:dyDescent="0.3">
      <c r="A6407" s="80"/>
    </row>
    <row r="6408" spans="1:1" x14ac:dyDescent="0.3">
      <c r="A6408" s="80"/>
    </row>
    <row r="6409" spans="1:1" x14ac:dyDescent="0.3">
      <c r="A6409" s="80"/>
    </row>
    <row r="6410" spans="1:1" x14ac:dyDescent="0.3">
      <c r="A6410" s="80"/>
    </row>
    <row r="6411" spans="1:1" x14ac:dyDescent="0.3">
      <c r="A6411" s="80"/>
    </row>
    <row r="6412" spans="1:1" x14ac:dyDescent="0.3">
      <c r="A6412" s="80"/>
    </row>
    <row r="6413" spans="1:1" x14ac:dyDescent="0.3">
      <c r="A6413" s="80"/>
    </row>
    <row r="6414" spans="1:1" x14ac:dyDescent="0.3">
      <c r="A6414" s="80"/>
    </row>
    <row r="6415" spans="1:1" x14ac:dyDescent="0.3">
      <c r="A6415" s="80"/>
    </row>
    <row r="6416" spans="1:1" x14ac:dyDescent="0.3">
      <c r="A6416" s="80"/>
    </row>
    <row r="6417" spans="1:1" x14ac:dyDescent="0.3">
      <c r="A6417" s="80"/>
    </row>
    <row r="6418" spans="1:1" x14ac:dyDescent="0.3">
      <c r="A6418" s="80"/>
    </row>
    <row r="6419" spans="1:1" x14ac:dyDescent="0.3">
      <c r="A6419" s="80"/>
    </row>
    <row r="6420" spans="1:1" x14ac:dyDescent="0.3">
      <c r="A6420" s="80"/>
    </row>
    <row r="6421" spans="1:1" x14ac:dyDescent="0.3">
      <c r="A6421" s="80"/>
    </row>
    <row r="6422" spans="1:1" x14ac:dyDescent="0.3">
      <c r="A6422" s="80"/>
    </row>
    <row r="6423" spans="1:1" x14ac:dyDescent="0.3">
      <c r="A6423" s="80"/>
    </row>
    <row r="6424" spans="1:1" x14ac:dyDescent="0.3">
      <c r="A6424" s="80"/>
    </row>
    <row r="6425" spans="1:1" x14ac:dyDescent="0.3">
      <c r="A6425" s="80"/>
    </row>
    <row r="6426" spans="1:1" x14ac:dyDescent="0.3">
      <c r="A6426" s="80"/>
    </row>
    <row r="6427" spans="1:1" x14ac:dyDescent="0.3">
      <c r="A6427" s="80"/>
    </row>
    <row r="6428" spans="1:1" x14ac:dyDescent="0.3">
      <c r="A6428" s="80"/>
    </row>
    <row r="6429" spans="1:1" x14ac:dyDescent="0.3">
      <c r="A6429" s="80"/>
    </row>
    <row r="6430" spans="1:1" x14ac:dyDescent="0.3">
      <c r="A6430" s="80"/>
    </row>
    <row r="6431" spans="1:1" x14ac:dyDescent="0.3">
      <c r="A6431" s="80"/>
    </row>
    <row r="6432" spans="1:1" x14ac:dyDescent="0.3">
      <c r="A6432" s="80"/>
    </row>
    <row r="6433" spans="1:1" x14ac:dyDescent="0.3">
      <c r="A6433" s="80"/>
    </row>
    <row r="6434" spans="1:1" x14ac:dyDescent="0.3">
      <c r="A6434" s="80"/>
    </row>
    <row r="6435" spans="1:1" x14ac:dyDescent="0.3">
      <c r="A6435" s="80"/>
    </row>
    <row r="6436" spans="1:1" x14ac:dyDescent="0.3">
      <c r="A6436" s="80"/>
    </row>
    <row r="6437" spans="1:1" x14ac:dyDescent="0.3">
      <c r="A6437" s="80"/>
    </row>
    <row r="6438" spans="1:1" x14ac:dyDescent="0.3">
      <c r="A6438" s="80"/>
    </row>
    <row r="6439" spans="1:1" x14ac:dyDescent="0.3">
      <c r="A6439" s="80"/>
    </row>
    <row r="6440" spans="1:1" x14ac:dyDescent="0.3">
      <c r="A6440" s="80"/>
    </row>
    <row r="6441" spans="1:1" x14ac:dyDescent="0.3">
      <c r="A6441" s="80"/>
    </row>
    <row r="6442" spans="1:1" x14ac:dyDescent="0.3">
      <c r="A6442" s="80"/>
    </row>
    <row r="6443" spans="1:1" x14ac:dyDescent="0.3">
      <c r="A6443" s="80"/>
    </row>
    <row r="6444" spans="1:1" x14ac:dyDescent="0.3">
      <c r="A6444" s="80"/>
    </row>
    <row r="6445" spans="1:1" x14ac:dyDescent="0.3">
      <c r="A6445" s="80"/>
    </row>
    <row r="6446" spans="1:1" x14ac:dyDescent="0.3">
      <c r="A6446" s="80"/>
    </row>
    <row r="6447" spans="1:1" x14ac:dyDescent="0.3">
      <c r="A6447" s="80"/>
    </row>
    <row r="6448" spans="1:1" x14ac:dyDescent="0.3">
      <c r="A6448" s="80"/>
    </row>
    <row r="6449" spans="1:1" x14ac:dyDescent="0.3">
      <c r="A6449" s="80"/>
    </row>
    <row r="6450" spans="1:1" x14ac:dyDescent="0.3">
      <c r="A6450" s="80"/>
    </row>
    <row r="6451" spans="1:1" x14ac:dyDescent="0.3">
      <c r="A6451" s="80"/>
    </row>
    <row r="6452" spans="1:1" x14ac:dyDescent="0.3">
      <c r="A6452" s="80"/>
    </row>
    <row r="6453" spans="1:1" x14ac:dyDescent="0.3">
      <c r="A6453" s="80"/>
    </row>
    <row r="6454" spans="1:1" x14ac:dyDescent="0.3">
      <c r="A6454" s="80"/>
    </row>
    <row r="6455" spans="1:1" x14ac:dyDescent="0.3">
      <c r="A6455" s="80"/>
    </row>
    <row r="6456" spans="1:1" x14ac:dyDescent="0.3">
      <c r="A6456" s="80"/>
    </row>
    <row r="6457" spans="1:1" x14ac:dyDescent="0.3">
      <c r="A6457" s="80"/>
    </row>
    <row r="6458" spans="1:1" x14ac:dyDescent="0.3">
      <c r="A6458" s="80"/>
    </row>
    <row r="6459" spans="1:1" x14ac:dyDescent="0.3">
      <c r="A6459" s="80"/>
    </row>
    <row r="6460" spans="1:1" x14ac:dyDescent="0.3">
      <c r="A6460" s="80"/>
    </row>
    <row r="6461" spans="1:1" x14ac:dyDescent="0.3">
      <c r="A6461" s="80"/>
    </row>
    <row r="6462" spans="1:1" x14ac:dyDescent="0.3">
      <c r="A6462" s="80"/>
    </row>
    <row r="6463" spans="1:1" x14ac:dyDescent="0.3">
      <c r="A6463" s="80"/>
    </row>
    <row r="6464" spans="1:1" x14ac:dyDescent="0.3">
      <c r="A6464" s="80"/>
    </row>
    <row r="6465" spans="1:1" x14ac:dyDescent="0.3">
      <c r="A6465" s="80"/>
    </row>
    <row r="6466" spans="1:1" x14ac:dyDescent="0.3">
      <c r="A6466" s="80"/>
    </row>
    <row r="6467" spans="1:1" x14ac:dyDescent="0.3">
      <c r="A6467" s="80"/>
    </row>
    <row r="6468" spans="1:1" x14ac:dyDescent="0.3">
      <c r="A6468" s="80"/>
    </row>
    <row r="6469" spans="1:1" x14ac:dyDescent="0.3">
      <c r="A6469" s="80"/>
    </row>
    <row r="6470" spans="1:1" x14ac:dyDescent="0.3">
      <c r="A6470" s="80"/>
    </row>
    <row r="6471" spans="1:1" x14ac:dyDescent="0.3">
      <c r="A6471" s="80"/>
    </row>
    <row r="6472" spans="1:1" x14ac:dyDescent="0.3">
      <c r="A6472" s="80"/>
    </row>
    <row r="6473" spans="1:1" x14ac:dyDescent="0.3">
      <c r="A6473" s="80"/>
    </row>
    <row r="6474" spans="1:1" x14ac:dyDescent="0.3">
      <c r="A6474" s="80"/>
    </row>
    <row r="6475" spans="1:1" x14ac:dyDescent="0.3">
      <c r="A6475" s="80"/>
    </row>
    <row r="6476" spans="1:1" x14ac:dyDescent="0.3">
      <c r="A6476" s="80"/>
    </row>
    <row r="6477" spans="1:1" x14ac:dyDescent="0.3">
      <c r="A6477" s="80"/>
    </row>
    <row r="6478" spans="1:1" x14ac:dyDescent="0.3">
      <c r="A6478" s="80"/>
    </row>
    <row r="6479" spans="1:1" x14ac:dyDescent="0.3">
      <c r="A6479" s="80"/>
    </row>
    <row r="6480" spans="1:1" x14ac:dyDescent="0.3">
      <c r="A6480" s="80"/>
    </row>
    <row r="6481" spans="1:1" x14ac:dyDescent="0.3">
      <c r="A6481" s="80"/>
    </row>
    <row r="6482" spans="1:1" x14ac:dyDescent="0.3">
      <c r="A6482" s="80"/>
    </row>
    <row r="6483" spans="1:1" x14ac:dyDescent="0.3">
      <c r="A6483" s="80"/>
    </row>
    <row r="6484" spans="1:1" x14ac:dyDescent="0.3">
      <c r="A6484" s="80"/>
    </row>
    <row r="6485" spans="1:1" x14ac:dyDescent="0.3">
      <c r="A6485" s="80"/>
    </row>
    <row r="6486" spans="1:1" x14ac:dyDescent="0.3">
      <c r="A6486" s="80"/>
    </row>
    <row r="6487" spans="1:1" x14ac:dyDescent="0.3">
      <c r="A6487" s="80"/>
    </row>
    <row r="6488" spans="1:1" x14ac:dyDescent="0.3">
      <c r="A6488" s="80"/>
    </row>
    <row r="6489" spans="1:1" x14ac:dyDescent="0.3">
      <c r="A6489" s="80"/>
    </row>
    <row r="6490" spans="1:1" x14ac:dyDescent="0.3">
      <c r="A6490" s="80"/>
    </row>
    <row r="6491" spans="1:1" x14ac:dyDescent="0.3">
      <c r="A6491" s="80"/>
    </row>
    <row r="6492" spans="1:1" x14ac:dyDescent="0.3">
      <c r="A6492" s="80"/>
    </row>
    <row r="6493" spans="1:1" x14ac:dyDescent="0.3">
      <c r="A6493" s="80"/>
    </row>
    <row r="6494" spans="1:1" x14ac:dyDescent="0.3">
      <c r="A6494" s="80"/>
    </row>
    <row r="6495" spans="1:1" x14ac:dyDescent="0.3">
      <c r="A6495" s="80"/>
    </row>
    <row r="6496" spans="1:1" x14ac:dyDescent="0.3">
      <c r="A6496" s="80"/>
    </row>
    <row r="6497" spans="1:1" x14ac:dyDescent="0.3">
      <c r="A6497" s="80"/>
    </row>
    <row r="6498" spans="1:1" x14ac:dyDescent="0.3">
      <c r="A6498" s="80"/>
    </row>
    <row r="6499" spans="1:1" x14ac:dyDescent="0.3">
      <c r="A6499" s="80"/>
    </row>
    <row r="6500" spans="1:1" x14ac:dyDescent="0.3">
      <c r="A6500" s="80"/>
    </row>
    <row r="6501" spans="1:1" x14ac:dyDescent="0.3">
      <c r="A6501" s="80"/>
    </row>
    <row r="6502" spans="1:1" x14ac:dyDescent="0.3">
      <c r="A6502" s="80"/>
    </row>
    <row r="6503" spans="1:1" x14ac:dyDescent="0.3">
      <c r="A6503" s="80"/>
    </row>
    <row r="6504" spans="1:1" x14ac:dyDescent="0.3">
      <c r="A6504" s="80"/>
    </row>
    <row r="6505" spans="1:1" x14ac:dyDescent="0.3">
      <c r="A6505" s="80"/>
    </row>
    <row r="6506" spans="1:1" x14ac:dyDescent="0.3">
      <c r="A6506" s="80"/>
    </row>
    <row r="6507" spans="1:1" x14ac:dyDescent="0.3">
      <c r="A6507" s="80"/>
    </row>
    <row r="6508" spans="1:1" x14ac:dyDescent="0.3">
      <c r="A6508" s="80"/>
    </row>
    <row r="6509" spans="1:1" x14ac:dyDescent="0.3">
      <c r="A6509" s="80"/>
    </row>
    <row r="6510" spans="1:1" x14ac:dyDescent="0.3">
      <c r="A6510" s="80"/>
    </row>
    <row r="6511" spans="1:1" x14ac:dyDescent="0.3">
      <c r="A6511" s="80"/>
    </row>
    <row r="6512" spans="1:1" x14ac:dyDescent="0.3">
      <c r="A6512" s="80"/>
    </row>
    <row r="6513" spans="1:1" x14ac:dyDescent="0.3">
      <c r="A6513" s="80"/>
    </row>
    <row r="6514" spans="1:1" x14ac:dyDescent="0.3">
      <c r="A6514" s="80"/>
    </row>
    <row r="6515" spans="1:1" x14ac:dyDescent="0.3">
      <c r="A6515" s="80"/>
    </row>
    <row r="6516" spans="1:1" x14ac:dyDescent="0.3">
      <c r="A6516" s="80"/>
    </row>
    <row r="6517" spans="1:1" x14ac:dyDescent="0.3">
      <c r="A6517" s="80"/>
    </row>
    <row r="6518" spans="1:1" x14ac:dyDescent="0.3">
      <c r="A6518" s="80"/>
    </row>
    <row r="6519" spans="1:1" x14ac:dyDescent="0.3">
      <c r="A6519" s="80"/>
    </row>
    <row r="6520" spans="1:1" x14ac:dyDescent="0.3">
      <c r="A6520" s="80"/>
    </row>
    <row r="6521" spans="1:1" x14ac:dyDescent="0.3">
      <c r="A6521" s="80"/>
    </row>
    <row r="6522" spans="1:1" x14ac:dyDescent="0.3">
      <c r="A6522" s="80"/>
    </row>
    <row r="6523" spans="1:1" x14ac:dyDescent="0.3">
      <c r="A6523" s="80"/>
    </row>
    <row r="6524" spans="1:1" x14ac:dyDescent="0.3">
      <c r="A6524" s="80"/>
    </row>
    <row r="6525" spans="1:1" x14ac:dyDescent="0.3">
      <c r="A6525" s="80"/>
    </row>
    <row r="6526" spans="1:1" x14ac:dyDescent="0.3">
      <c r="A6526" s="80"/>
    </row>
    <row r="6527" spans="1:1" x14ac:dyDescent="0.3">
      <c r="A6527" s="80"/>
    </row>
    <row r="6528" spans="1:1" x14ac:dyDescent="0.3">
      <c r="A6528" s="80"/>
    </row>
    <row r="6529" spans="1:1" x14ac:dyDescent="0.3">
      <c r="A6529" s="80"/>
    </row>
    <row r="6530" spans="1:1" x14ac:dyDescent="0.3">
      <c r="A6530" s="80"/>
    </row>
    <row r="6531" spans="1:1" x14ac:dyDescent="0.3">
      <c r="A6531" s="80"/>
    </row>
    <row r="6532" spans="1:1" x14ac:dyDescent="0.3">
      <c r="A6532" s="80"/>
    </row>
    <row r="6533" spans="1:1" x14ac:dyDescent="0.3">
      <c r="A6533" s="80"/>
    </row>
    <row r="6534" spans="1:1" x14ac:dyDescent="0.3">
      <c r="A6534" s="80"/>
    </row>
    <row r="6535" spans="1:1" x14ac:dyDescent="0.3">
      <c r="A6535" s="80"/>
    </row>
    <row r="6536" spans="1:1" x14ac:dyDescent="0.3">
      <c r="A6536" s="80"/>
    </row>
    <row r="6537" spans="1:1" x14ac:dyDescent="0.3">
      <c r="A6537" s="80"/>
    </row>
    <row r="6538" spans="1:1" x14ac:dyDescent="0.3">
      <c r="A6538" s="80"/>
    </row>
    <row r="6539" spans="1:1" x14ac:dyDescent="0.3">
      <c r="A6539" s="80"/>
    </row>
    <row r="6540" spans="1:1" x14ac:dyDescent="0.3">
      <c r="A6540" s="80"/>
    </row>
    <row r="6541" spans="1:1" x14ac:dyDescent="0.3">
      <c r="A6541" s="80"/>
    </row>
    <row r="6542" spans="1:1" x14ac:dyDescent="0.3">
      <c r="A6542" s="80"/>
    </row>
    <row r="6543" spans="1:1" x14ac:dyDescent="0.3">
      <c r="A6543" s="80"/>
    </row>
    <row r="6544" spans="1:1" x14ac:dyDescent="0.3">
      <c r="A6544" s="80"/>
    </row>
    <row r="6545" spans="1:1" x14ac:dyDescent="0.3">
      <c r="A6545" s="80"/>
    </row>
    <row r="6546" spans="1:1" x14ac:dyDescent="0.3">
      <c r="A6546" s="80"/>
    </row>
    <row r="6547" spans="1:1" x14ac:dyDescent="0.3">
      <c r="A6547" s="80"/>
    </row>
    <row r="6548" spans="1:1" x14ac:dyDescent="0.3">
      <c r="A6548" s="80"/>
    </row>
    <row r="6549" spans="1:1" x14ac:dyDescent="0.3">
      <c r="A6549" s="80"/>
    </row>
    <row r="6550" spans="1:1" x14ac:dyDescent="0.3">
      <c r="A6550" s="80"/>
    </row>
    <row r="6551" spans="1:1" x14ac:dyDescent="0.3">
      <c r="A6551" s="80"/>
    </row>
    <row r="6552" spans="1:1" x14ac:dyDescent="0.3">
      <c r="A6552" s="80"/>
    </row>
    <row r="6553" spans="1:1" x14ac:dyDescent="0.3">
      <c r="A6553" s="80"/>
    </row>
    <row r="6554" spans="1:1" x14ac:dyDescent="0.3">
      <c r="A6554" s="80"/>
    </row>
    <row r="6555" spans="1:1" x14ac:dyDescent="0.3">
      <c r="A6555" s="80"/>
    </row>
    <row r="6556" spans="1:1" x14ac:dyDescent="0.3">
      <c r="A6556" s="80"/>
    </row>
    <row r="6557" spans="1:1" x14ac:dyDescent="0.3">
      <c r="A6557" s="80"/>
    </row>
    <row r="6558" spans="1:1" x14ac:dyDescent="0.3">
      <c r="A6558" s="80"/>
    </row>
    <row r="6559" spans="1:1" x14ac:dyDescent="0.3">
      <c r="A6559" s="80"/>
    </row>
    <row r="6560" spans="1:1" x14ac:dyDescent="0.3">
      <c r="A6560" s="80"/>
    </row>
    <row r="6561" spans="1:1" x14ac:dyDescent="0.3">
      <c r="A6561" s="80"/>
    </row>
    <row r="6562" spans="1:1" x14ac:dyDescent="0.3">
      <c r="A6562" s="80"/>
    </row>
    <row r="6563" spans="1:1" x14ac:dyDescent="0.3">
      <c r="A6563" s="80"/>
    </row>
    <row r="6564" spans="1:1" x14ac:dyDescent="0.3">
      <c r="A6564" s="80"/>
    </row>
    <row r="6565" spans="1:1" x14ac:dyDescent="0.3">
      <c r="A6565" s="80"/>
    </row>
    <row r="6566" spans="1:1" x14ac:dyDescent="0.3">
      <c r="A6566" s="80"/>
    </row>
    <row r="6567" spans="1:1" x14ac:dyDescent="0.3">
      <c r="A6567" s="80"/>
    </row>
    <row r="6568" spans="1:1" x14ac:dyDescent="0.3">
      <c r="A6568" s="80"/>
    </row>
    <row r="6569" spans="1:1" x14ac:dyDescent="0.3">
      <c r="A6569" s="80"/>
    </row>
    <row r="6570" spans="1:1" x14ac:dyDescent="0.3">
      <c r="A6570" s="80"/>
    </row>
    <row r="6571" spans="1:1" x14ac:dyDescent="0.3">
      <c r="A6571" s="80"/>
    </row>
    <row r="6572" spans="1:1" x14ac:dyDescent="0.3">
      <c r="A6572" s="80"/>
    </row>
    <row r="6573" spans="1:1" x14ac:dyDescent="0.3">
      <c r="A6573" s="80"/>
    </row>
    <row r="6574" spans="1:1" x14ac:dyDescent="0.3">
      <c r="A6574" s="80"/>
    </row>
    <row r="6575" spans="1:1" x14ac:dyDescent="0.3">
      <c r="A6575" s="80"/>
    </row>
    <row r="6576" spans="1:1" x14ac:dyDescent="0.3">
      <c r="A6576" s="80"/>
    </row>
    <row r="6577" spans="1:1" x14ac:dyDescent="0.3">
      <c r="A6577" s="80"/>
    </row>
    <row r="6578" spans="1:1" x14ac:dyDescent="0.3">
      <c r="A6578" s="80"/>
    </row>
    <row r="6579" spans="1:1" x14ac:dyDescent="0.3">
      <c r="A6579" s="80"/>
    </row>
    <row r="6580" spans="1:1" x14ac:dyDescent="0.3">
      <c r="A6580" s="80"/>
    </row>
    <row r="6581" spans="1:1" x14ac:dyDescent="0.3">
      <c r="A6581" s="80"/>
    </row>
    <row r="6582" spans="1:1" x14ac:dyDescent="0.3">
      <c r="A6582" s="80"/>
    </row>
    <row r="6583" spans="1:1" x14ac:dyDescent="0.3">
      <c r="A6583" s="80"/>
    </row>
    <row r="6584" spans="1:1" x14ac:dyDescent="0.3">
      <c r="A6584" s="80"/>
    </row>
    <row r="6585" spans="1:1" x14ac:dyDescent="0.3">
      <c r="A6585" s="80"/>
    </row>
    <row r="6586" spans="1:1" x14ac:dyDescent="0.3">
      <c r="A6586" s="80"/>
    </row>
    <row r="6587" spans="1:1" x14ac:dyDescent="0.3">
      <c r="A6587" s="80"/>
    </row>
    <row r="6588" spans="1:1" x14ac:dyDescent="0.3">
      <c r="A6588" s="80"/>
    </row>
    <row r="6589" spans="1:1" x14ac:dyDescent="0.3">
      <c r="A6589" s="80"/>
    </row>
    <row r="6590" spans="1:1" x14ac:dyDescent="0.3">
      <c r="A6590" s="80"/>
    </row>
    <row r="6591" spans="1:1" x14ac:dyDescent="0.3">
      <c r="A6591" s="80"/>
    </row>
    <row r="6592" spans="1:1" x14ac:dyDescent="0.3">
      <c r="A6592" s="80"/>
    </row>
    <row r="6593" spans="1:1" x14ac:dyDescent="0.3">
      <c r="A6593" s="80"/>
    </row>
    <row r="6594" spans="1:1" x14ac:dyDescent="0.3">
      <c r="A6594" s="80"/>
    </row>
    <row r="6595" spans="1:1" x14ac:dyDescent="0.3">
      <c r="A6595" s="80"/>
    </row>
    <row r="6596" spans="1:1" x14ac:dyDescent="0.3">
      <c r="A6596" s="80"/>
    </row>
    <row r="6597" spans="1:1" x14ac:dyDescent="0.3">
      <c r="A6597" s="80"/>
    </row>
    <row r="6598" spans="1:1" x14ac:dyDescent="0.3">
      <c r="A6598" s="80"/>
    </row>
    <row r="6599" spans="1:1" x14ac:dyDescent="0.3">
      <c r="A6599" s="80"/>
    </row>
    <row r="6600" spans="1:1" x14ac:dyDescent="0.3">
      <c r="A6600" s="80"/>
    </row>
    <row r="6601" spans="1:1" x14ac:dyDescent="0.3">
      <c r="A6601" s="80"/>
    </row>
    <row r="6602" spans="1:1" x14ac:dyDescent="0.3">
      <c r="A6602" s="80"/>
    </row>
    <row r="6603" spans="1:1" x14ac:dyDescent="0.3">
      <c r="A6603" s="80"/>
    </row>
    <row r="6604" spans="1:1" x14ac:dyDescent="0.3">
      <c r="A6604" s="80"/>
    </row>
    <row r="6605" spans="1:1" x14ac:dyDescent="0.3">
      <c r="A6605" s="80"/>
    </row>
    <row r="6606" spans="1:1" x14ac:dyDescent="0.3">
      <c r="A6606" s="80"/>
    </row>
    <row r="6607" spans="1:1" x14ac:dyDescent="0.3">
      <c r="A6607" s="80"/>
    </row>
    <row r="6608" spans="1:1" x14ac:dyDescent="0.3">
      <c r="A6608" s="80"/>
    </row>
    <row r="6609" spans="1:1" x14ac:dyDescent="0.3">
      <c r="A6609" s="80"/>
    </row>
    <row r="6610" spans="1:1" x14ac:dyDescent="0.3">
      <c r="A6610" s="80"/>
    </row>
    <row r="6611" spans="1:1" x14ac:dyDescent="0.3">
      <c r="A6611" s="80"/>
    </row>
    <row r="6612" spans="1:1" x14ac:dyDescent="0.3">
      <c r="A6612" s="80"/>
    </row>
    <row r="6613" spans="1:1" x14ac:dyDescent="0.3">
      <c r="A6613" s="80"/>
    </row>
    <row r="6614" spans="1:1" x14ac:dyDescent="0.3">
      <c r="A6614" s="80"/>
    </row>
    <row r="6615" spans="1:1" x14ac:dyDescent="0.3">
      <c r="A6615" s="80"/>
    </row>
    <row r="6616" spans="1:1" x14ac:dyDescent="0.3">
      <c r="A6616" s="80"/>
    </row>
    <row r="6617" spans="1:1" x14ac:dyDescent="0.3">
      <c r="A6617" s="80"/>
    </row>
    <row r="6618" spans="1:1" x14ac:dyDescent="0.3">
      <c r="A6618" s="80"/>
    </row>
    <row r="6619" spans="1:1" x14ac:dyDescent="0.3">
      <c r="A6619" s="80"/>
    </row>
    <row r="6620" spans="1:1" x14ac:dyDescent="0.3">
      <c r="A6620" s="80"/>
    </row>
    <row r="6621" spans="1:1" x14ac:dyDescent="0.3">
      <c r="A6621" s="80"/>
    </row>
    <row r="6622" spans="1:1" x14ac:dyDescent="0.3">
      <c r="A6622" s="80"/>
    </row>
    <row r="6623" spans="1:1" x14ac:dyDescent="0.3">
      <c r="A6623" s="80"/>
    </row>
    <row r="6624" spans="1:1" x14ac:dyDescent="0.3">
      <c r="A6624" s="80"/>
    </row>
    <row r="6625" spans="1:1" x14ac:dyDescent="0.3">
      <c r="A6625" s="80"/>
    </row>
    <row r="6626" spans="1:1" x14ac:dyDescent="0.3">
      <c r="A6626" s="80"/>
    </row>
    <row r="6627" spans="1:1" x14ac:dyDescent="0.3">
      <c r="A6627" s="80"/>
    </row>
    <row r="6628" spans="1:1" x14ac:dyDescent="0.3">
      <c r="A6628" s="80"/>
    </row>
    <row r="6629" spans="1:1" x14ac:dyDescent="0.3">
      <c r="A6629" s="80"/>
    </row>
    <row r="6630" spans="1:1" x14ac:dyDescent="0.3">
      <c r="A6630" s="80"/>
    </row>
    <row r="6631" spans="1:1" x14ac:dyDescent="0.3">
      <c r="A6631" s="80"/>
    </row>
    <row r="6632" spans="1:1" x14ac:dyDescent="0.3">
      <c r="A6632" s="80"/>
    </row>
    <row r="6633" spans="1:1" x14ac:dyDescent="0.3">
      <c r="A6633" s="80"/>
    </row>
    <row r="6634" spans="1:1" x14ac:dyDescent="0.3">
      <c r="A6634" s="80"/>
    </row>
    <row r="6635" spans="1:1" x14ac:dyDescent="0.3">
      <c r="A6635" s="80"/>
    </row>
    <row r="6636" spans="1:1" x14ac:dyDescent="0.3">
      <c r="A6636" s="80"/>
    </row>
    <row r="6637" spans="1:1" x14ac:dyDescent="0.3">
      <c r="A6637" s="80"/>
    </row>
    <row r="6638" spans="1:1" x14ac:dyDescent="0.3">
      <c r="A6638" s="80"/>
    </row>
    <row r="6639" spans="1:1" x14ac:dyDescent="0.3">
      <c r="A6639" s="80"/>
    </row>
    <row r="6640" spans="1:1" x14ac:dyDescent="0.3">
      <c r="A6640" s="80"/>
    </row>
    <row r="6641" spans="1:1" x14ac:dyDescent="0.3">
      <c r="A6641" s="80"/>
    </row>
    <row r="6642" spans="1:1" x14ac:dyDescent="0.3">
      <c r="A6642" s="80"/>
    </row>
    <row r="6643" spans="1:1" x14ac:dyDescent="0.3">
      <c r="A6643" s="80"/>
    </row>
    <row r="6644" spans="1:1" x14ac:dyDescent="0.3">
      <c r="A6644" s="80"/>
    </row>
    <row r="6645" spans="1:1" x14ac:dyDescent="0.3">
      <c r="A6645" s="80"/>
    </row>
    <row r="6646" spans="1:1" x14ac:dyDescent="0.3">
      <c r="A6646" s="80"/>
    </row>
    <row r="6647" spans="1:1" x14ac:dyDescent="0.3">
      <c r="A6647" s="80"/>
    </row>
    <row r="6648" spans="1:1" x14ac:dyDescent="0.3">
      <c r="A6648" s="80"/>
    </row>
    <row r="6649" spans="1:1" x14ac:dyDescent="0.3">
      <c r="A6649" s="80"/>
    </row>
    <row r="6650" spans="1:1" x14ac:dyDescent="0.3">
      <c r="A6650" s="80"/>
    </row>
    <row r="6651" spans="1:1" x14ac:dyDescent="0.3">
      <c r="A6651" s="80"/>
    </row>
    <row r="6652" spans="1:1" x14ac:dyDescent="0.3">
      <c r="A6652" s="80"/>
    </row>
    <row r="6653" spans="1:1" x14ac:dyDescent="0.3">
      <c r="A6653" s="80"/>
    </row>
    <row r="6654" spans="1:1" x14ac:dyDescent="0.3">
      <c r="A6654" s="80"/>
    </row>
    <row r="6655" spans="1:1" x14ac:dyDescent="0.3">
      <c r="A6655" s="80"/>
    </row>
    <row r="6656" spans="1:1" x14ac:dyDescent="0.3">
      <c r="A6656" s="80"/>
    </row>
    <row r="6657" spans="1:1" x14ac:dyDescent="0.3">
      <c r="A6657" s="80"/>
    </row>
    <row r="6658" spans="1:1" x14ac:dyDescent="0.3">
      <c r="A6658" s="80"/>
    </row>
    <row r="6659" spans="1:1" x14ac:dyDescent="0.3">
      <c r="A6659" s="80"/>
    </row>
    <row r="6660" spans="1:1" x14ac:dyDescent="0.3">
      <c r="A6660" s="80"/>
    </row>
    <row r="6661" spans="1:1" x14ac:dyDescent="0.3">
      <c r="A6661" s="80"/>
    </row>
    <row r="6662" spans="1:1" x14ac:dyDescent="0.3">
      <c r="A6662" s="80"/>
    </row>
    <row r="6663" spans="1:1" x14ac:dyDescent="0.3">
      <c r="A6663" s="80"/>
    </row>
    <row r="6664" spans="1:1" x14ac:dyDescent="0.3">
      <c r="A6664" s="80"/>
    </row>
    <row r="6665" spans="1:1" x14ac:dyDescent="0.3">
      <c r="A6665" s="80"/>
    </row>
    <row r="6666" spans="1:1" x14ac:dyDescent="0.3">
      <c r="A6666" s="80"/>
    </row>
    <row r="6667" spans="1:1" x14ac:dyDescent="0.3">
      <c r="A6667" s="80"/>
    </row>
    <row r="6668" spans="1:1" x14ac:dyDescent="0.3">
      <c r="A6668" s="80"/>
    </row>
    <row r="6669" spans="1:1" x14ac:dyDescent="0.3">
      <c r="A6669" s="80"/>
    </row>
    <row r="6670" spans="1:1" x14ac:dyDescent="0.3">
      <c r="A6670" s="80"/>
    </row>
    <row r="6671" spans="1:1" x14ac:dyDescent="0.3">
      <c r="A6671" s="80"/>
    </row>
    <row r="6672" spans="1:1" x14ac:dyDescent="0.3">
      <c r="A6672" s="80"/>
    </row>
    <row r="6673" spans="1:1" x14ac:dyDescent="0.3">
      <c r="A6673" s="80"/>
    </row>
    <row r="6674" spans="1:1" x14ac:dyDescent="0.3">
      <c r="A6674" s="80"/>
    </row>
    <row r="6675" spans="1:1" x14ac:dyDescent="0.3">
      <c r="A6675" s="80"/>
    </row>
    <row r="6676" spans="1:1" x14ac:dyDescent="0.3">
      <c r="A6676" s="80"/>
    </row>
    <row r="6677" spans="1:1" x14ac:dyDescent="0.3">
      <c r="A6677" s="80"/>
    </row>
    <row r="6678" spans="1:1" x14ac:dyDescent="0.3">
      <c r="A6678" s="80"/>
    </row>
    <row r="6679" spans="1:1" x14ac:dyDescent="0.3">
      <c r="A6679" s="80"/>
    </row>
    <row r="6680" spans="1:1" x14ac:dyDescent="0.3">
      <c r="A6680" s="80"/>
    </row>
    <row r="6681" spans="1:1" x14ac:dyDescent="0.3">
      <c r="A6681" s="80"/>
    </row>
    <row r="6682" spans="1:1" x14ac:dyDescent="0.3">
      <c r="A6682" s="80"/>
    </row>
    <row r="6683" spans="1:1" x14ac:dyDescent="0.3">
      <c r="A6683" s="80"/>
    </row>
    <row r="6684" spans="1:1" x14ac:dyDescent="0.3">
      <c r="A6684" s="80"/>
    </row>
    <row r="6685" spans="1:1" x14ac:dyDescent="0.3">
      <c r="A6685" s="80"/>
    </row>
    <row r="6686" spans="1:1" x14ac:dyDescent="0.3">
      <c r="A6686" s="80"/>
    </row>
    <row r="6687" spans="1:1" x14ac:dyDescent="0.3">
      <c r="A6687" s="80"/>
    </row>
    <row r="6688" spans="1:1" x14ac:dyDescent="0.3">
      <c r="A6688" s="80"/>
    </row>
    <row r="6689" spans="1:1" x14ac:dyDescent="0.3">
      <c r="A6689" s="80"/>
    </row>
    <row r="6690" spans="1:1" x14ac:dyDescent="0.3">
      <c r="A6690" s="80"/>
    </row>
    <row r="6691" spans="1:1" x14ac:dyDescent="0.3">
      <c r="A6691" s="80"/>
    </row>
    <row r="6692" spans="1:1" x14ac:dyDescent="0.3">
      <c r="A6692" s="80"/>
    </row>
    <row r="6693" spans="1:1" x14ac:dyDescent="0.3">
      <c r="A6693" s="80"/>
    </row>
    <row r="6694" spans="1:1" x14ac:dyDescent="0.3">
      <c r="A6694" s="80"/>
    </row>
    <row r="6695" spans="1:1" x14ac:dyDescent="0.3">
      <c r="A6695" s="80"/>
    </row>
    <row r="6696" spans="1:1" x14ac:dyDescent="0.3">
      <c r="A6696" s="80"/>
    </row>
    <row r="6697" spans="1:1" x14ac:dyDescent="0.3">
      <c r="A6697" s="80"/>
    </row>
    <row r="6698" spans="1:1" x14ac:dyDescent="0.3">
      <c r="A6698" s="80"/>
    </row>
    <row r="6699" spans="1:1" x14ac:dyDescent="0.3">
      <c r="A6699" s="80"/>
    </row>
    <row r="6700" spans="1:1" x14ac:dyDescent="0.3">
      <c r="A6700" s="80"/>
    </row>
    <row r="6701" spans="1:1" x14ac:dyDescent="0.3">
      <c r="A6701" s="80"/>
    </row>
    <row r="6702" spans="1:1" x14ac:dyDescent="0.3">
      <c r="A6702" s="80"/>
    </row>
    <row r="6703" spans="1:1" x14ac:dyDescent="0.3">
      <c r="A6703" s="80"/>
    </row>
    <row r="6704" spans="1:1" x14ac:dyDescent="0.3">
      <c r="A6704" s="80"/>
    </row>
    <row r="6705" spans="1:1" x14ac:dyDescent="0.3">
      <c r="A6705" s="80"/>
    </row>
    <row r="6706" spans="1:1" x14ac:dyDescent="0.3">
      <c r="A6706" s="80"/>
    </row>
    <row r="6707" spans="1:1" x14ac:dyDescent="0.3">
      <c r="A6707" s="80"/>
    </row>
    <row r="6708" spans="1:1" x14ac:dyDescent="0.3">
      <c r="A6708" s="80"/>
    </row>
    <row r="6709" spans="1:1" x14ac:dyDescent="0.3">
      <c r="A6709" s="80"/>
    </row>
    <row r="6710" spans="1:1" x14ac:dyDescent="0.3">
      <c r="A6710" s="80"/>
    </row>
    <row r="6711" spans="1:1" x14ac:dyDescent="0.3">
      <c r="A6711" s="80"/>
    </row>
    <row r="6712" spans="1:1" x14ac:dyDescent="0.3">
      <c r="A6712" s="80"/>
    </row>
    <row r="6713" spans="1:1" x14ac:dyDescent="0.3">
      <c r="A6713" s="80"/>
    </row>
    <row r="6714" spans="1:1" x14ac:dyDescent="0.3">
      <c r="A6714" s="80"/>
    </row>
    <row r="6715" spans="1:1" x14ac:dyDescent="0.3">
      <c r="A6715" s="80"/>
    </row>
    <row r="6716" spans="1:1" x14ac:dyDescent="0.3">
      <c r="A6716" s="80"/>
    </row>
    <row r="6717" spans="1:1" x14ac:dyDescent="0.3">
      <c r="A6717" s="80"/>
    </row>
    <row r="6718" spans="1:1" x14ac:dyDescent="0.3">
      <c r="A6718" s="80"/>
    </row>
    <row r="6719" spans="1:1" x14ac:dyDescent="0.3">
      <c r="A6719" s="80"/>
    </row>
    <row r="6720" spans="1:1" x14ac:dyDescent="0.3">
      <c r="A6720" s="80"/>
    </row>
    <row r="6721" spans="1:1" x14ac:dyDescent="0.3">
      <c r="A6721" s="80"/>
    </row>
    <row r="6722" spans="1:1" x14ac:dyDescent="0.3">
      <c r="A6722" s="80"/>
    </row>
    <row r="6723" spans="1:1" x14ac:dyDescent="0.3">
      <c r="A6723" s="80"/>
    </row>
    <row r="6724" spans="1:1" x14ac:dyDescent="0.3">
      <c r="A6724" s="80"/>
    </row>
    <row r="6725" spans="1:1" x14ac:dyDescent="0.3">
      <c r="A6725" s="80"/>
    </row>
    <row r="6726" spans="1:1" x14ac:dyDescent="0.3">
      <c r="A6726" s="80"/>
    </row>
    <row r="6727" spans="1:1" x14ac:dyDescent="0.3">
      <c r="A6727" s="80"/>
    </row>
    <row r="6728" spans="1:1" x14ac:dyDescent="0.3">
      <c r="A6728" s="80"/>
    </row>
    <row r="6729" spans="1:1" x14ac:dyDescent="0.3">
      <c r="A6729" s="80"/>
    </row>
    <row r="6730" spans="1:1" x14ac:dyDescent="0.3">
      <c r="A6730" s="80"/>
    </row>
    <row r="6731" spans="1:1" x14ac:dyDescent="0.3">
      <c r="A6731" s="80"/>
    </row>
    <row r="6732" spans="1:1" x14ac:dyDescent="0.3">
      <c r="A6732" s="80"/>
    </row>
    <row r="6733" spans="1:1" x14ac:dyDescent="0.3">
      <c r="A6733" s="80"/>
    </row>
    <row r="6734" spans="1:1" x14ac:dyDescent="0.3">
      <c r="A6734" s="80"/>
    </row>
    <row r="6735" spans="1:1" x14ac:dyDescent="0.3">
      <c r="A6735" s="80"/>
    </row>
    <row r="6736" spans="1:1" x14ac:dyDescent="0.3">
      <c r="A6736" s="80"/>
    </row>
    <row r="6737" spans="1:1" x14ac:dyDescent="0.3">
      <c r="A6737" s="80"/>
    </row>
    <row r="6738" spans="1:1" x14ac:dyDescent="0.3">
      <c r="A6738" s="80"/>
    </row>
    <row r="6739" spans="1:1" x14ac:dyDescent="0.3">
      <c r="A6739" s="80"/>
    </row>
    <row r="6740" spans="1:1" x14ac:dyDescent="0.3">
      <c r="A6740" s="80"/>
    </row>
    <row r="6741" spans="1:1" x14ac:dyDescent="0.3">
      <c r="A6741" s="80"/>
    </row>
    <row r="6742" spans="1:1" x14ac:dyDescent="0.3">
      <c r="A6742" s="80"/>
    </row>
    <row r="6743" spans="1:1" x14ac:dyDescent="0.3">
      <c r="A6743" s="80"/>
    </row>
    <row r="6744" spans="1:1" x14ac:dyDescent="0.3">
      <c r="A6744" s="80"/>
    </row>
    <row r="6745" spans="1:1" x14ac:dyDescent="0.3">
      <c r="A6745" s="80"/>
    </row>
    <row r="6746" spans="1:1" x14ac:dyDescent="0.3">
      <c r="A6746" s="80"/>
    </row>
    <row r="6747" spans="1:1" x14ac:dyDescent="0.3">
      <c r="A6747" s="80"/>
    </row>
    <row r="6748" spans="1:1" x14ac:dyDescent="0.3">
      <c r="A6748" s="80"/>
    </row>
    <row r="6749" spans="1:1" x14ac:dyDescent="0.3">
      <c r="A6749" s="80"/>
    </row>
    <row r="6750" spans="1:1" x14ac:dyDescent="0.3">
      <c r="A6750" s="80"/>
    </row>
    <row r="6751" spans="1:1" x14ac:dyDescent="0.3">
      <c r="A6751" s="80"/>
    </row>
    <row r="6752" spans="1:1" x14ac:dyDescent="0.3">
      <c r="A6752" s="80"/>
    </row>
    <row r="6753" spans="1:1" x14ac:dyDescent="0.3">
      <c r="A6753" s="80"/>
    </row>
    <row r="6754" spans="1:1" x14ac:dyDescent="0.3">
      <c r="A6754" s="80"/>
    </row>
    <row r="6755" spans="1:1" x14ac:dyDescent="0.3">
      <c r="A6755" s="80"/>
    </row>
    <row r="6756" spans="1:1" x14ac:dyDescent="0.3">
      <c r="A6756" s="80"/>
    </row>
    <row r="6757" spans="1:1" x14ac:dyDescent="0.3">
      <c r="A6757" s="80"/>
    </row>
    <row r="6758" spans="1:1" x14ac:dyDescent="0.3">
      <c r="A6758" s="80"/>
    </row>
    <row r="6759" spans="1:1" x14ac:dyDescent="0.3">
      <c r="A6759" s="80"/>
    </row>
    <row r="6760" spans="1:1" x14ac:dyDescent="0.3">
      <c r="A6760" s="80"/>
    </row>
    <row r="6761" spans="1:1" x14ac:dyDescent="0.3">
      <c r="A6761" s="80"/>
    </row>
    <row r="6762" spans="1:1" x14ac:dyDescent="0.3">
      <c r="A6762" s="80"/>
    </row>
    <row r="6763" spans="1:1" x14ac:dyDescent="0.3">
      <c r="A6763" s="80"/>
    </row>
    <row r="6764" spans="1:1" x14ac:dyDescent="0.3">
      <c r="A6764" s="80"/>
    </row>
    <row r="6765" spans="1:1" x14ac:dyDescent="0.3">
      <c r="A6765" s="80"/>
    </row>
    <row r="6766" spans="1:1" x14ac:dyDescent="0.3">
      <c r="A6766" s="80"/>
    </row>
    <row r="6767" spans="1:1" x14ac:dyDescent="0.3">
      <c r="A6767" s="80"/>
    </row>
    <row r="6768" spans="1:1" x14ac:dyDescent="0.3">
      <c r="A6768" s="80"/>
    </row>
    <row r="6769" spans="1:1" x14ac:dyDescent="0.3">
      <c r="A6769" s="80"/>
    </row>
    <row r="6770" spans="1:1" x14ac:dyDescent="0.3">
      <c r="A6770" s="80"/>
    </row>
    <row r="6771" spans="1:1" x14ac:dyDescent="0.3">
      <c r="A6771" s="80"/>
    </row>
    <row r="6772" spans="1:1" x14ac:dyDescent="0.3">
      <c r="A6772" s="80"/>
    </row>
    <row r="6773" spans="1:1" x14ac:dyDescent="0.3">
      <c r="A6773" s="80"/>
    </row>
    <row r="6774" spans="1:1" x14ac:dyDescent="0.3">
      <c r="A6774" s="80"/>
    </row>
    <row r="6775" spans="1:1" x14ac:dyDescent="0.3">
      <c r="A6775" s="80"/>
    </row>
    <row r="6776" spans="1:1" x14ac:dyDescent="0.3">
      <c r="A6776" s="80"/>
    </row>
    <row r="6777" spans="1:1" x14ac:dyDescent="0.3">
      <c r="A6777" s="80"/>
    </row>
    <row r="6778" spans="1:1" x14ac:dyDescent="0.3">
      <c r="A6778" s="80"/>
    </row>
    <row r="6779" spans="1:1" x14ac:dyDescent="0.3">
      <c r="A6779" s="80"/>
    </row>
    <row r="6780" spans="1:1" x14ac:dyDescent="0.3">
      <c r="A6780" s="80"/>
    </row>
    <row r="6781" spans="1:1" x14ac:dyDescent="0.3">
      <c r="A6781" s="80"/>
    </row>
    <row r="6782" spans="1:1" x14ac:dyDescent="0.3">
      <c r="A6782" s="80"/>
    </row>
    <row r="6783" spans="1:1" x14ac:dyDescent="0.3">
      <c r="A6783" s="80"/>
    </row>
    <row r="6784" spans="1:1" x14ac:dyDescent="0.3">
      <c r="A6784" s="80"/>
    </row>
    <row r="6785" spans="1:1" x14ac:dyDescent="0.3">
      <c r="A6785" s="80"/>
    </row>
    <row r="6786" spans="1:1" x14ac:dyDescent="0.3">
      <c r="A6786" s="80"/>
    </row>
    <row r="6787" spans="1:1" x14ac:dyDescent="0.3">
      <c r="A6787" s="80"/>
    </row>
    <row r="6788" spans="1:1" x14ac:dyDescent="0.3">
      <c r="A6788" s="80"/>
    </row>
    <row r="6789" spans="1:1" x14ac:dyDescent="0.3">
      <c r="A6789" s="80"/>
    </row>
    <row r="6790" spans="1:1" x14ac:dyDescent="0.3">
      <c r="A6790" s="80"/>
    </row>
    <row r="6791" spans="1:1" x14ac:dyDescent="0.3">
      <c r="A6791" s="80"/>
    </row>
    <row r="6792" spans="1:1" x14ac:dyDescent="0.3">
      <c r="A6792" s="80"/>
    </row>
    <row r="6793" spans="1:1" x14ac:dyDescent="0.3">
      <c r="A6793" s="80"/>
    </row>
    <row r="6794" spans="1:1" x14ac:dyDescent="0.3">
      <c r="A6794" s="80"/>
    </row>
    <row r="6795" spans="1:1" x14ac:dyDescent="0.3">
      <c r="A6795" s="80"/>
    </row>
    <row r="6796" spans="1:1" x14ac:dyDescent="0.3">
      <c r="A6796" s="80"/>
    </row>
    <row r="6797" spans="1:1" x14ac:dyDescent="0.3">
      <c r="A6797" s="80"/>
    </row>
    <row r="6798" spans="1:1" x14ac:dyDescent="0.3">
      <c r="A6798" s="80"/>
    </row>
    <row r="6799" spans="1:1" x14ac:dyDescent="0.3">
      <c r="A6799" s="80"/>
    </row>
    <row r="6800" spans="1:1" x14ac:dyDescent="0.3">
      <c r="A6800" s="80"/>
    </row>
    <row r="6801" spans="1:1" x14ac:dyDescent="0.3">
      <c r="A6801" s="80"/>
    </row>
    <row r="6802" spans="1:1" x14ac:dyDescent="0.3">
      <c r="A6802" s="80"/>
    </row>
    <row r="6803" spans="1:1" x14ac:dyDescent="0.3">
      <c r="A6803" s="80"/>
    </row>
    <row r="6804" spans="1:1" x14ac:dyDescent="0.3">
      <c r="A6804" s="80"/>
    </row>
    <row r="6805" spans="1:1" x14ac:dyDescent="0.3">
      <c r="A6805" s="80"/>
    </row>
    <row r="6806" spans="1:1" x14ac:dyDescent="0.3">
      <c r="A6806" s="80"/>
    </row>
    <row r="6807" spans="1:1" x14ac:dyDescent="0.3">
      <c r="A6807" s="80"/>
    </row>
    <row r="6808" spans="1:1" x14ac:dyDescent="0.3">
      <c r="A6808" s="80"/>
    </row>
    <row r="6809" spans="1:1" x14ac:dyDescent="0.3">
      <c r="A6809" s="80"/>
    </row>
    <row r="6810" spans="1:1" x14ac:dyDescent="0.3">
      <c r="A6810" s="80"/>
    </row>
    <row r="6811" spans="1:1" x14ac:dyDescent="0.3">
      <c r="A6811" s="80"/>
    </row>
    <row r="6812" spans="1:1" x14ac:dyDescent="0.3">
      <c r="A6812" s="80"/>
    </row>
    <row r="6813" spans="1:1" x14ac:dyDescent="0.3">
      <c r="A6813" s="80"/>
    </row>
    <row r="6814" spans="1:1" x14ac:dyDescent="0.3">
      <c r="A6814" s="80"/>
    </row>
    <row r="6815" spans="1:1" x14ac:dyDescent="0.3">
      <c r="A6815" s="80"/>
    </row>
    <row r="6816" spans="1:1" x14ac:dyDescent="0.3">
      <c r="A6816" s="80"/>
    </row>
    <row r="6817" spans="1:1" x14ac:dyDescent="0.3">
      <c r="A6817" s="80"/>
    </row>
    <row r="6818" spans="1:1" x14ac:dyDescent="0.3">
      <c r="A6818" s="80"/>
    </row>
    <row r="6819" spans="1:1" x14ac:dyDescent="0.3">
      <c r="A6819" s="80"/>
    </row>
    <row r="6820" spans="1:1" x14ac:dyDescent="0.3">
      <c r="A6820" s="80"/>
    </row>
    <row r="6821" spans="1:1" x14ac:dyDescent="0.3">
      <c r="A6821" s="80"/>
    </row>
    <row r="6822" spans="1:1" x14ac:dyDescent="0.3">
      <c r="A6822" s="80"/>
    </row>
    <row r="6823" spans="1:1" x14ac:dyDescent="0.3">
      <c r="A6823" s="80"/>
    </row>
    <row r="6824" spans="1:1" x14ac:dyDescent="0.3">
      <c r="A6824" s="80"/>
    </row>
    <row r="6825" spans="1:1" x14ac:dyDescent="0.3">
      <c r="A6825" s="80"/>
    </row>
    <row r="6826" spans="1:1" x14ac:dyDescent="0.3">
      <c r="A6826" s="80"/>
    </row>
    <row r="6827" spans="1:1" x14ac:dyDescent="0.3">
      <c r="A6827" s="80"/>
    </row>
    <row r="6828" spans="1:1" x14ac:dyDescent="0.3">
      <c r="A6828" s="80"/>
    </row>
    <row r="6829" spans="1:1" x14ac:dyDescent="0.3">
      <c r="A6829" s="80"/>
    </row>
    <row r="6830" spans="1:1" x14ac:dyDescent="0.3">
      <c r="A6830" s="80"/>
    </row>
    <row r="6831" spans="1:1" x14ac:dyDescent="0.3">
      <c r="A6831" s="80"/>
    </row>
    <row r="6832" spans="1:1" x14ac:dyDescent="0.3">
      <c r="A6832" s="80"/>
    </row>
    <row r="6833" spans="1:1" x14ac:dyDescent="0.3">
      <c r="A6833" s="80"/>
    </row>
    <row r="6834" spans="1:1" x14ac:dyDescent="0.3">
      <c r="A6834" s="80"/>
    </row>
    <row r="6835" spans="1:1" x14ac:dyDescent="0.3">
      <c r="A6835" s="80"/>
    </row>
    <row r="6836" spans="1:1" x14ac:dyDescent="0.3">
      <c r="A6836" s="80"/>
    </row>
    <row r="6837" spans="1:1" x14ac:dyDescent="0.3">
      <c r="A6837" s="80"/>
    </row>
    <row r="6838" spans="1:1" x14ac:dyDescent="0.3">
      <c r="A6838" s="80"/>
    </row>
    <row r="6839" spans="1:1" x14ac:dyDescent="0.3">
      <c r="A6839" s="80"/>
    </row>
    <row r="6840" spans="1:1" x14ac:dyDescent="0.3">
      <c r="A6840" s="80"/>
    </row>
    <row r="6841" spans="1:1" x14ac:dyDescent="0.3">
      <c r="A6841" s="80"/>
    </row>
    <row r="6842" spans="1:1" x14ac:dyDescent="0.3">
      <c r="A6842" s="80"/>
    </row>
    <row r="6843" spans="1:1" x14ac:dyDescent="0.3">
      <c r="A6843" s="80"/>
    </row>
    <row r="6844" spans="1:1" x14ac:dyDescent="0.3">
      <c r="A6844" s="80"/>
    </row>
    <row r="6845" spans="1:1" x14ac:dyDescent="0.3">
      <c r="A6845" s="80"/>
    </row>
    <row r="6846" spans="1:1" x14ac:dyDescent="0.3">
      <c r="A6846" s="80"/>
    </row>
    <row r="6847" spans="1:1" x14ac:dyDescent="0.3">
      <c r="A6847" s="80"/>
    </row>
    <row r="6848" spans="1:1" x14ac:dyDescent="0.3">
      <c r="A6848" s="80"/>
    </row>
    <row r="6849" spans="1:1" x14ac:dyDescent="0.3">
      <c r="A6849" s="80"/>
    </row>
    <row r="6850" spans="1:1" x14ac:dyDescent="0.3">
      <c r="A6850" s="80"/>
    </row>
    <row r="6851" spans="1:1" x14ac:dyDescent="0.3">
      <c r="A6851" s="80"/>
    </row>
    <row r="6852" spans="1:1" x14ac:dyDescent="0.3">
      <c r="A6852" s="80"/>
    </row>
    <row r="6853" spans="1:1" x14ac:dyDescent="0.3">
      <c r="A6853" s="80"/>
    </row>
    <row r="6854" spans="1:1" x14ac:dyDescent="0.3">
      <c r="A6854" s="80"/>
    </row>
    <row r="6855" spans="1:1" x14ac:dyDescent="0.3">
      <c r="A6855" s="80"/>
    </row>
    <row r="6856" spans="1:1" x14ac:dyDescent="0.3">
      <c r="A6856" s="80"/>
    </row>
    <row r="6857" spans="1:1" x14ac:dyDescent="0.3">
      <c r="A6857" s="80"/>
    </row>
    <row r="6858" spans="1:1" x14ac:dyDescent="0.3">
      <c r="A6858" s="80"/>
    </row>
    <row r="6859" spans="1:1" x14ac:dyDescent="0.3">
      <c r="A6859" s="80"/>
    </row>
    <row r="6860" spans="1:1" x14ac:dyDescent="0.3">
      <c r="A6860" s="80"/>
    </row>
    <row r="6861" spans="1:1" x14ac:dyDescent="0.3">
      <c r="A6861" s="80"/>
    </row>
    <row r="6862" spans="1:1" x14ac:dyDescent="0.3">
      <c r="A6862" s="80"/>
    </row>
    <row r="6863" spans="1:1" x14ac:dyDescent="0.3">
      <c r="A6863" s="80"/>
    </row>
    <row r="6864" spans="1:1" x14ac:dyDescent="0.3">
      <c r="A6864" s="80"/>
    </row>
    <row r="6865" spans="1:1" x14ac:dyDescent="0.3">
      <c r="A6865" s="80"/>
    </row>
    <row r="6866" spans="1:1" x14ac:dyDescent="0.3">
      <c r="A6866" s="80"/>
    </row>
    <row r="6867" spans="1:1" x14ac:dyDescent="0.3">
      <c r="A6867" s="80"/>
    </row>
    <row r="6868" spans="1:1" x14ac:dyDescent="0.3">
      <c r="A6868" s="80"/>
    </row>
    <row r="6869" spans="1:1" x14ac:dyDescent="0.3">
      <c r="A6869" s="80"/>
    </row>
    <row r="6870" spans="1:1" x14ac:dyDescent="0.3">
      <c r="A6870" s="80"/>
    </row>
    <row r="6871" spans="1:1" x14ac:dyDescent="0.3">
      <c r="A6871" s="80"/>
    </row>
    <row r="6872" spans="1:1" x14ac:dyDescent="0.3">
      <c r="A6872" s="80"/>
    </row>
    <row r="6873" spans="1:1" x14ac:dyDescent="0.3">
      <c r="A6873" s="80"/>
    </row>
    <row r="6874" spans="1:1" x14ac:dyDescent="0.3">
      <c r="A6874" s="80"/>
    </row>
    <row r="6875" spans="1:1" x14ac:dyDescent="0.3">
      <c r="A6875" s="80"/>
    </row>
    <row r="6876" spans="1:1" x14ac:dyDescent="0.3">
      <c r="A6876" s="80"/>
    </row>
    <row r="6877" spans="1:1" x14ac:dyDescent="0.3">
      <c r="A6877" s="80"/>
    </row>
    <row r="6878" spans="1:1" x14ac:dyDescent="0.3">
      <c r="A6878" s="80"/>
    </row>
    <row r="6879" spans="1:1" x14ac:dyDescent="0.3">
      <c r="A6879" s="80"/>
    </row>
    <row r="6880" spans="1:1" x14ac:dyDescent="0.3">
      <c r="A6880" s="80"/>
    </row>
    <row r="6881" spans="1:1" x14ac:dyDescent="0.3">
      <c r="A6881" s="80"/>
    </row>
    <row r="6882" spans="1:1" x14ac:dyDescent="0.3">
      <c r="A6882" s="80"/>
    </row>
    <row r="6883" spans="1:1" x14ac:dyDescent="0.3">
      <c r="A6883" s="80"/>
    </row>
    <row r="6884" spans="1:1" x14ac:dyDescent="0.3">
      <c r="A6884" s="80"/>
    </row>
    <row r="6885" spans="1:1" x14ac:dyDescent="0.3">
      <c r="A6885" s="80"/>
    </row>
    <row r="6886" spans="1:1" x14ac:dyDescent="0.3">
      <c r="A6886" s="80"/>
    </row>
    <row r="6887" spans="1:1" x14ac:dyDescent="0.3">
      <c r="A6887" s="80"/>
    </row>
    <row r="6888" spans="1:1" x14ac:dyDescent="0.3">
      <c r="A6888" s="80"/>
    </row>
    <row r="6889" spans="1:1" x14ac:dyDescent="0.3">
      <c r="A6889" s="80"/>
    </row>
    <row r="6890" spans="1:1" x14ac:dyDescent="0.3">
      <c r="A6890" s="80"/>
    </row>
    <row r="6891" spans="1:1" x14ac:dyDescent="0.3">
      <c r="A6891" s="80"/>
    </row>
    <row r="6892" spans="1:1" x14ac:dyDescent="0.3">
      <c r="A6892" s="80"/>
    </row>
    <row r="6893" spans="1:1" x14ac:dyDescent="0.3">
      <c r="A6893" s="80"/>
    </row>
    <row r="6894" spans="1:1" x14ac:dyDescent="0.3">
      <c r="A6894" s="80"/>
    </row>
    <row r="6895" spans="1:1" x14ac:dyDescent="0.3">
      <c r="A6895" s="80"/>
    </row>
    <row r="6896" spans="1:1" x14ac:dyDescent="0.3">
      <c r="A6896" s="80"/>
    </row>
    <row r="6897" spans="1:1" x14ac:dyDescent="0.3">
      <c r="A6897" s="80"/>
    </row>
    <row r="6898" spans="1:1" x14ac:dyDescent="0.3">
      <c r="A6898" s="80"/>
    </row>
    <row r="6899" spans="1:1" x14ac:dyDescent="0.3">
      <c r="A6899" s="80"/>
    </row>
    <row r="6900" spans="1:1" x14ac:dyDescent="0.3">
      <c r="A6900" s="80"/>
    </row>
    <row r="6901" spans="1:1" x14ac:dyDescent="0.3">
      <c r="A6901" s="80"/>
    </row>
    <row r="6902" spans="1:1" x14ac:dyDescent="0.3">
      <c r="A6902" s="80"/>
    </row>
    <row r="6903" spans="1:1" x14ac:dyDescent="0.3">
      <c r="A6903" s="80"/>
    </row>
    <row r="6904" spans="1:1" x14ac:dyDescent="0.3">
      <c r="A6904" s="80"/>
    </row>
    <row r="6905" spans="1:1" x14ac:dyDescent="0.3">
      <c r="A6905" s="80"/>
    </row>
    <row r="6906" spans="1:1" x14ac:dyDescent="0.3">
      <c r="A6906" s="80"/>
    </row>
    <row r="6907" spans="1:1" x14ac:dyDescent="0.3">
      <c r="A6907" s="80"/>
    </row>
    <row r="6908" spans="1:1" x14ac:dyDescent="0.3">
      <c r="A6908" s="80"/>
    </row>
    <row r="6909" spans="1:1" x14ac:dyDescent="0.3">
      <c r="A6909" s="80"/>
    </row>
    <row r="6910" spans="1:1" x14ac:dyDescent="0.3">
      <c r="A6910" s="80"/>
    </row>
    <row r="6911" spans="1:1" x14ac:dyDescent="0.3">
      <c r="A6911" s="80"/>
    </row>
    <row r="6912" spans="1:1" x14ac:dyDescent="0.3">
      <c r="A6912" s="80"/>
    </row>
    <row r="6913" spans="1:1" x14ac:dyDescent="0.3">
      <c r="A6913" s="80"/>
    </row>
    <row r="6914" spans="1:1" x14ac:dyDescent="0.3">
      <c r="A6914" s="80"/>
    </row>
    <row r="6915" spans="1:1" x14ac:dyDescent="0.3">
      <c r="A6915" s="80"/>
    </row>
    <row r="6916" spans="1:1" x14ac:dyDescent="0.3">
      <c r="A6916" s="80"/>
    </row>
    <row r="6917" spans="1:1" x14ac:dyDescent="0.3">
      <c r="A6917" s="80"/>
    </row>
    <row r="6918" spans="1:1" x14ac:dyDescent="0.3">
      <c r="A6918" s="80"/>
    </row>
    <row r="6919" spans="1:1" x14ac:dyDescent="0.3">
      <c r="A6919" s="80"/>
    </row>
    <row r="6920" spans="1:1" x14ac:dyDescent="0.3">
      <c r="A6920" s="80"/>
    </row>
    <row r="6921" spans="1:1" x14ac:dyDescent="0.3">
      <c r="A6921" s="80"/>
    </row>
    <row r="6922" spans="1:1" x14ac:dyDescent="0.3">
      <c r="A6922" s="80"/>
    </row>
    <row r="6923" spans="1:1" x14ac:dyDescent="0.3">
      <c r="A6923" s="80"/>
    </row>
    <row r="6924" spans="1:1" x14ac:dyDescent="0.3">
      <c r="A6924" s="80"/>
    </row>
    <row r="6925" spans="1:1" x14ac:dyDescent="0.3">
      <c r="A6925" s="80"/>
    </row>
    <row r="6926" spans="1:1" x14ac:dyDescent="0.3">
      <c r="A6926" s="80"/>
    </row>
    <row r="6927" spans="1:1" x14ac:dyDescent="0.3">
      <c r="A6927" s="80"/>
    </row>
    <row r="6928" spans="1:1" x14ac:dyDescent="0.3">
      <c r="A6928" s="80"/>
    </row>
    <row r="6929" spans="1:1" x14ac:dyDescent="0.3">
      <c r="A6929" s="80"/>
    </row>
    <row r="6930" spans="1:1" x14ac:dyDescent="0.3">
      <c r="A6930" s="80"/>
    </row>
    <row r="6931" spans="1:1" x14ac:dyDescent="0.3">
      <c r="A6931" s="80"/>
    </row>
    <row r="6932" spans="1:1" x14ac:dyDescent="0.3">
      <c r="A6932" s="80"/>
    </row>
    <row r="6933" spans="1:1" x14ac:dyDescent="0.3">
      <c r="A6933" s="80"/>
    </row>
    <row r="6934" spans="1:1" x14ac:dyDescent="0.3">
      <c r="A6934" s="80"/>
    </row>
    <row r="6935" spans="1:1" x14ac:dyDescent="0.3">
      <c r="A6935" s="80"/>
    </row>
    <row r="6936" spans="1:1" x14ac:dyDescent="0.3">
      <c r="A6936" s="80"/>
    </row>
    <row r="6937" spans="1:1" x14ac:dyDescent="0.3">
      <c r="A6937" s="80"/>
    </row>
    <row r="6938" spans="1:1" x14ac:dyDescent="0.3">
      <c r="A6938" s="80"/>
    </row>
    <row r="6939" spans="1:1" x14ac:dyDescent="0.3">
      <c r="A6939" s="80"/>
    </row>
    <row r="6940" spans="1:1" x14ac:dyDescent="0.3">
      <c r="A6940" s="80"/>
    </row>
    <row r="6941" spans="1:1" x14ac:dyDescent="0.3">
      <c r="A6941" s="80"/>
    </row>
    <row r="6942" spans="1:1" x14ac:dyDescent="0.3">
      <c r="A6942" s="80"/>
    </row>
    <row r="6943" spans="1:1" x14ac:dyDescent="0.3">
      <c r="A6943" s="80"/>
    </row>
    <row r="6944" spans="1:1" x14ac:dyDescent="0.3">
      <c r="A6944" s="80"/>
    </row>
    <row r="6945" spans="1:1" x14ac:dyDescent="0.3">
      <c r="A6945" s="80"/>
    </row>
    <row r="6946" spans="1:1" x14ac:dyDescent="0.3">
      <c r="A6946" s="80"/>
    </row>
    <row r="6947" spans="1:1" x14ac:dyDescent="0.3">
      <c r="A6947" s="80"/>
    </row>
    <row r="6948" spans="1:1" x14ac:dyDescent="0.3">
      <c r="A6948" s="80"/>
    </row>
    <row r="6949" spans="1:1" x14ac:dyDescent="0.3">
      <c r="A6949" s="80"/>
    </row>
    <row r="6950" spans="1:1" x14ac:dyDescent="0.3">
      <c r="A6950" s="80"/>
    </row>
    <row r="6951" spans="1:1" x14ac:dyDescent="0.3">
      <c r="A6951" s="80"/>
    </row>
    <row r="6952" spans="1:1" x14ac:dyDescent="0.3">
      <c r="A6952" s="80"/>
    </row>
    <row r="6953" spans="1:1" x14ac:dyDescent="0.3">
      <c r="A6953" s="80"/>
    </row>
    <row r="6954" spans="1:1" x14ac:dyDescent="0.3">
      <c r="A6954" s="80"/>
    </row>
    <row r="6955" spans="1:1" x14ac:dyDescent="0.3">
      <c r="A6955" s="80"/>
    </row>
    <row r="6956" spans="1:1" x14ac:dyDescent="0.3">
      <c r="A6956" s="80"/>
    </row>
    <row r="6957" spans="1:1" x14ac:dyDescent="0.3">
      <c r="A6957" s="80"/>
    </row>
    <row r="6958" spans="1:1" x14ac:dyDescent="0.3">
      <c r="A6958" s="80"/>
    </row>
    <row r="6959" spans="1:1" x14ac:dyDescent="0.3">
      <c r="A6959" s="80"/>
    </row>
    <row r="6960" spans="1:1" x14ac:dyDescent="0.3">
      <c r="A6960" s="80"/>
    </row>
    <row r="6961" spans="1:1" x14ac:dyDescent="0.3">
      <c r="A6961" s="80"/>
    </row>
    <row r="6962" spans="1:1" x14ac:dyDescent="0.3">
      <c r="A6962" s="80"/>
    </row>
    <row r="6963" spans="1:1" x14ac:dyDescent="0.3">
      <c r="A6963" s="80"/>
    </row>
    <row r="6964" spans="1:1" x14ac:dyDescent="0.3">
      <c r="A6964" s="80"/>
    </row>
    <row r="6965" spans="1:1" x14ac:dyDescent="0.3">
      <c r="A6965" s="80"/>
    </row>
    <row r="6966" spans="1:1" x14ac:dyDescent="0.3">
      <c r="A6966" s="80"/>
    </row>
    <row r="6967" spans="1:1" x14ac:dyDescent="0.3">
      <c r="A6967" s="80"/>
    </row>
    <row r="6968" spans="1:1" x14ac:dyDescent="0.3">
      <c r="A6968" s="80"/>
    </row>
    <row r="6969" spans="1:1" x14ac:dyDescent="0.3">
      <c r="A6969" s="80"/>
    </row>
    <row r="6970" spans="1:1" x14ac:dyDescent="0.3">
      <c r="A6970" s="80"/>
    </row>
    <row r="6971" spans="1:1" x14ac:dyDescent="0.3">
      <c r="A6971" s="80"/>
    </row>
    <row r="6972" spans="1:1" x14ac:dyDescent="0.3">
      <c r="A6972" s="80"/>
    </row>
    <row r="6973" spans="1:1" x14ac:dyDescent="0.3">
      <c r="A6973" s="80"/>
    </row>
    <row r="6974" spans="1:1" x14ac:dyDescent="0.3">
      <c r="A6974" s="80"/>
    </row>
    <row r="6975" spans="1:1" x14ac:dyDescent="0.3">
      <c r="A6975" s="80"/>
    </row>
    <row r="6976" spans="1:1" x14ac:dyDescent="0.3">
      <c r="A6976" s="80"/>
    </row>
    <row r="6977" spans="1:1" x14ac:dyDescent="0.3">
      <c r="A6977" s="80"/>
    </row>
    <row r="6978" spans="1:1" x14ac:dyDescent="0.3">
      <c r="A6978" s="80"/>
    </row>
    <row r="6979" spans="1:1" x14ac:dyDescent="0.3">
      <c r="A6979" s="80"/>
    </row>
    <row r="6980" spans="1:1" x14ac:dyDescent="0.3">
      <c r="A6980" s="80"/>
    </row>
    <row r="6981" spans="1:1" x14ac:dyDescent="0.3">
      <c r="A6981" s="80"/>
    </row>
    <row r="6982" spans="1:1" x14ac:dyDescent="0.3">
      <c r="A6982" s="80"/>
    </row>
    <row r="6983" spans="1:1" x14ac:dyDescent="0.3">
      <c r="A6983" s="80"/>
    </row>
    <row r="6984" spans="1:1" x14ac:dyDescent="0.3">
      <c r="A6984" s="80"/>
    </row>
    <row r="6985" spans="1:1" x14ac:dyDescent="0.3">
      <c r="A6985" s="80"/>
    </row>
    <row r="6986" spans="1:1" x14ac:dyDescent="0.3">
      <c r="A6986" s="80"/>
    </row>
    <row r="6987" spans="1:1" x14ac:dyDescent="0.3">
      <c r="A6987" s="80"/>
    </row>
    <row r="6988" spans="1:1" x14ac:dyDescent="0.3">
      <c r="A6988" s="80"/>
    </row>
    <row r="6989" spans="1:1" x14ac:dyDescent="0.3">
      <c r="A6989" s="80"/>
    </row>
    <row r="6990" spans="1:1" x14ac:dyDescent="0.3">
      <c r="A6990" s="80"/>
    </row>
    <row r="6991" spans="1:1" x14ac:dyDescent="0.3">
      <c r="A6991" s="80"/>
    </row>
    <row r="6992" spans="1:1" x14ac:dyDescent="0.3">
      <c r="A6992" s="80"/>
    </row>
    <row r="6993" spans="1:1" x14ac:dyDescent="0.3">
      <c r="A6993" s="80"/>
    </row>
    <row r="6994" spans="1:1" x14ac:dyDescent="0.3">
      <c r="A6994" s="80"/>
    </row>
    <row r="6995" spans="1:1" x14ac:dyDescent="0.3">
      <c r="A6995" s="80"/>
    </row>
    <row r="6996" spans="1:1" x14ac:dyDescent="0.3">
      <c r="A6996" s="80"/>
    </row>
    <row r="6997" spans="1:1" x14ac:dyDescent="0.3">
      <c r="A6997" s="80"/>
    </row>
    <row r="6998" spans="1:1" x14ac:dyDescent="0.3">
      <c r="A6998" s="80"/>
    </row>
    <row r="6999" spans="1:1" x14ac:dyDescent="0.3">
      <c r="A6999" s="80"/>
    </row>
    <row r="7000" spans="1:1" x14ac:dyDescent="0.3">
      <c r="A7000" s="80"/>
    </row>
    <row r="7001" spans="1:1" x14ac:dyDescent="0.3">
      <c r="A7001" s="80"/>
    </row>
    <row r="7002" spans="1:1" x14ac:dyDescent="0.3">
      <c r="A7002" s="80"/>
    </row>
    <row r="7003" spans="1:1" x14ac:dyDescent="0.3">
      <c r="A7003" s="80"/>
    </row>
    <row r="7004" spans="1:1" x14ac:dyDescent="0.3">
      <c r="A7004" s="80"/>
    </row>
    <row r="7005" spans="1:1" x14ac:dyDescent="0.3">
      <c r="A7005" s="80"/>
    </row>
    <row r="7006" spans="1:1" x14ac:dyDescent="0.3">
      <c r="A7006" s="80"/>
    </row>
    <row r="7007" spans="1:1" x14ac:dyDescent="0.3">
      <c r="A7007" s="80"/>
    </row>
    <row r="7008" spans="1:1" x14ac:dyDescent="0.3">
      <c r="A7008" s="80"/>
    </row>
    <row r="7009" spans="1:1" x14ac:dyDescent="0.3">
      <c r="A7009" s="80"/>
    </row>
    <row r="7010" spans="1:1" x14ac:dyDescent="0.3">
      <c r="A7010" s="80"/>
    </row>
    <row r="7011" spans="1:1" x14ac:dyDescent="0.3">
      <c r="A7011" s="80"/>
    </row>
    <row r="7012" spans="1:1" x14ac:dyDescent="0.3">
      <c r="A7012" s="80"/>
    </row>
    <row r="7013" spans="1:1" x14ac:dyDescent="0.3">
      <c r="A7013" s="80"/>
    </row>
    <row r="7014" spans="1:1" x14ac:dyDescent="0.3">
      <c r="A7014" s="80"/>
    </row>
    <row r="7015" spans="1:1" x14ac:dyDescent="0.3">
      <c r="A7015" s="80"/>
    </row>
    <row r="7016" spans="1:1" x14ac:dyDescent="0.3">
      <c r="A7016" s="80"/>
    </row>
    <row r="7017" spans="1:1" x14ac:dyDescent="0.3">
      <c r="A7017" s="80"/>
    </row>
    <row r="7018" spans="1:1" x14ac:dyDescent="0.3">
      <c r="A7018" s="80"/>
    </row>
    <row r="7019" spans="1:1" x14ac:dyDescent="0.3">
      <c r="A7019" s="80"/>
    </row>
    <row r="7020" spans="1:1" x14ac:dyDescent="0.3">
      <c r="A7020" s="80"/>
    </row>
    <row r="7021" spans="1:1" x14ac:dyDescent="0.3">
      <c r="A7021" s="80"/>
    </row>
    <row r="7022" spans="1:1" x14ac:dyDescent="0.3">
      <c r="A7022" s="80"/>
    </row>
    <row r="7023" spans="1:1" x14ac:dyDescent="0.3">
      <c r="A7023" s="80"/>
    </row>
    <row r="7024" spans="1:1" x14ac:dyDescent="0.3">
      <c r="A7024" s="80"/>
    </row>
    <row r="7025" spans="1:1" x14ac:dyDescent="0.3">
      <c r="A7025" s="80"/>
    </row>
    <row r="7026" spans="1:1" x14ac:dyDescent="0.3">
      <c r="A7026" s="80"/>
    </row>
    <row r="7027" spans="1:1" x14ac:dyDescent="0.3">
      <c r="A7027" s="80"/>
    </row>
    <row r="7028" spans="1:1" x14ac:dyDescent="0.3">
      <c r="A7028" s="80"/>
    </row>
    <row r="7029" spans="1:1" x14ac:dyDescent="0.3">
      <c r="A7029" s="80"/>
    </row>
    <row r="7030" spans="1:1" x14ac:dyDescent="0.3">
      <c r="A7030" s="80"/>
    </row>
    <row r="7031" spans="1:1" x14ac:dyDescent="0.3">
      <c r="A7031" s="80"/>
    </row>
    <row r="7032" spans="1:1" x14ac:dyDescent="0.3">
      <c r="A7032" s="80"/>
    </row>
    <row r="7033" spans="1:1" x14ac:dyDescent="0.3">
      <c r="A7033" s="80"/>
    </row>
    <row r="7034" spans="1:1" x14ac:dyDescent="0.3">
      <c r="A7034" s="80"/>
    </row>
    <row r="7035" spans="1:1" x14ac:dyDescent="0.3">
      <c r="A7035" s="80"/>
    </row>
    <row r="7036" spans="1:1" x14ac:dyDescent="0.3">
      <c r="A7036" s="80"/>
    </row>
    <row r="7037" spans="1:1" x14ac:dyDescent="0.3">
      <c r="A7037" s="80"/>
    </row>
    <row r="7038" spans="1:1" x14ac:dyDescent="0.3">
      <c r="A7038" s="80"/>
    </row>
    <row r="7039" spans="1:1" x14ac:dyDescent="0.3">
      <c r="A7039" s="80"/>
    </row>
    <row r="7040" spans="1:1" x14ac:dyDescent="0.3">
      <c r="A7040" s="80"/>
    </row>
    <row r="7041" spans="1:1" x14ac:dyDescent="0.3">
      <c r="A7041" s="80"/>
    </row>
    <row r="7042" spans="1:1" x14ac:dyDescent="0.3">
      <c r="A7042" s="80"/>
    </row>
    <row r="7043" spans="1:1" x14ac:dyDescent="0.3">
      <c r="A7043" s="80"/>
    </row>
    <row r="7044" spans="1:1" x14ac:dyDescent="0.3">
      <c r="A7044" s="80"/>
    </row>
    <row r="7045" spans="1:1" x14ac:dyDescent="0.3">
      <c r="A7045" s="80"/>
    </row>
    <row r="7046" spans="1:1" x14ac:dyDescent="0.3">
      <c r="A7046" s="80"/>
    </row>
    <row r="7047" spans="1:1" x14ac:dyDescent="0.3">
      <c r="A7047" s="80"/>
    </row>
    <row r="7048" spans="1:1" x14ac:dyDescent="0.3">
      <c r="A7048" s="80"/>
    </row>
    <row r="7049" spans="1:1" x14ac:dyDescent="0.3">
      <c r="A7049" s="80"/>
    </row>
    <row r="7050" spans="1:1" x14ac:dyDescent="0.3">
      <c r="A7050" s="80"/>
    </row>
    <row r="7051" spans="1:1" x14ac:dyDescent="0.3">
      <c r="A7051" s="80"/>
    </row>
    <row r="7052" spans="1:1" x14ac:dyDescent="0.3">
      <c r="A7052" s="80"/>
    </row>
    <row r="7053" spans="1:1" x14ac:dyDescent="0.3">
      <c r="A7053" s="80"/>
    </row>
    <row r="7054" spans="1:1" x14ac:dyDescent="0.3">
      <c r="A7054" s="80"/>
    </row>
    <row r="7055" spans="1:1" x14ac:dyDescent="0.3">
      <c r="A7055" s="80"/>
    </row>
    <row r="7056" spans="1:1" x14ac:dyDescent="0.3">
      <c r="A7056" s="80"/>
    </row>
    <row r="7057" spans="1:1" x14ac:dyDescent="0.3">
      <c r="A7057" s="80"/>
    </row>
    <row r="7058" spans="1:1" x14ac:dyDescent="0.3">
      <c r="A7058" s="80"/>
    </row>
    <row r="7059" spans="1:1" x14ac:dyDescent="0.3">
      <c r="A7059" s="80"/>
    </row>
    <row r="7060" spans="1:1" x14ac:dyDescent="0.3">
      <c r="A7060" s="80"/>
    </row>
    <row r="7061" spans="1:1" x14ac:dyDescent="0.3">
      <c r="A7061" s="80"/>
    </row>
    <row r="7062" spans="1:1" x14ac:dyDescent="0.3">
      <c r="A7062" s="80"/>
    </row>
    <row r="7063" spans="1:1" x14ac:dyDescent="0.3">
      <c r="A7063" s="80"/>
    </row>
    <row r="7064" spans="1:1" x14ac:dyDescent="0.3">
      <c r="A7064" s="80"/>
    </row>
    <row r="7065" spans="1:1" x14ac:dyDescent="0.3">
      <c r="A7065" s="80"/>
    </row>
    <row r="7066" spans="1:1" x14ac:dyDescent="0.3">
      <c r="A7066" s="80"/>
    </row>
    <row r="7067" spans="1:1" x14ac:dyDescent="0.3">
      <c r="A7067" s="80"/>
    </row>
    <row r="7068" spans="1:1" x14ac:dyDescent="0.3">
      <c r="A7068" s="80"/>
    </row>
    <row r="7069" spans="1:1" x14ac:dyDescent="0.3">
      <c r="A7069" s="80"/>
    </row>
    <row r="7070" spans="1:1" x14ac:dyDescent="0.3">
      <c r="A7070" s="80"/>
    </row>
    <row r="7071" spans="1:1" x14ac:dyDescent="0.3">
      <c r="A7071" s="80"/>
    </row>
    <row r="7072" spans="1:1" x14ac:dyDescent="0.3">
      <c r="A7072" s="80"/>
    </row>
    <row r="7073" spans="1:1" x14ac:dyDescent="0.3">
      <c r="A7073" s="80"/>
    </row>
    <row r="7074" spans="1:1" x14ac:dyDescent="0.3">
      <c r="A7074" s="80"/>
    </row>
    <row r="7075" spans="1:1" x14ac:dyDescent="0.3">
      <c r="A7075" s="80"/>
    </row>
    <row r="7076" spans="1:1" x14ac:dyDescent="0.3">
      <c r="A7076" s="80"/>
    </row>
    <row r="7077" spans="1:1" x14ac:dyDescent="0.3">
      <c r="A7077" s="80"/>
    </row>
    <row r="7078" spans="1:1" x14ac:dyDescent="0.3">
      <c r="A7078" s="80"/>
    </row>
    <row r="7079" spans="1:1" x14ac:dyDescent="0.3">
      <c r="A7079" s="80"/>
    </row>
    <row r="7080" spans="1:1" x14ac:dyDescent="0.3">
      <c r="A7080" s="80"/>
    </row>
    <row r="7081" spans="1:1" x14ac:dyDescent="0.3">
      <c r="A7081" s="80"/>
    </row>
    <row r="7082" spans="1:1" x14ac:dyDescent="0.3">
      <c r="A7082" s="80"/>
    </row>
    <row r="7083" spans="1:1" x14ac:dyDescent="0.3">
      <c r="A7083" s="80"/>
    </row>
    <row r="7084" spans="1:1" x14ac:dyDescent="0.3">
      <c r="A7084" s="80"/>
    </row>
    <row r="7085" spans="1:1" x14ac:dyDescent="0.3">
      <c r="A7085" s="80"/>
    </row>
    <row r="7086" spans="1:1" x14ac:dyDescent="0.3">
      <c r="A7086" s="80"/>
    </row>
    <row r="7087" spans="1:1" x14ac:dyDescent="0.3">
      <c r="A7087" s="80"/>
    </row>
    <row r="7088" spans="1:1" x14ac:dyDescent="0.3">
      <c r="A7088" s="80"/>
    </row>
    <row r="7089" spans="1:1" x14ac:dyDescent="0.3">
      <c r="A7089" s="80"/>
    </row>
    <row r="7090" spans="1:1" x14ac:dyDescent="0.3">
      <c r="A7090" s="80"/>
    </row>
    <row r="7091" spans="1:1" x14ac:dyDescent="0.3">
      <c r="A7091" s="80"/>
    </row>
    <row r="7092" spans="1:1" x14ac:dyDescent="0.3">
      <c r="A7092" s="80"/>
    </row>
    <row r="7093" spans="1:1" x14ac:dyDescent="0.3">
      <c r="A7093" s="80"/>
    </row>
    <row r="7094" spans="1:1" x14ac:dyDescent="0.3">
      <c r="A7094" s="80"/>
    </row>
    <row r="7095" spans="1:1" x14ac:dyDescent="0.3">
      <c r="A7095" s="80"/>
    </row>
    <row r="7096" spans="1:1" x14ac:dyDescent="0.3">
      <c r="A7096" s="80"/>
    </row>
    <row r="7097" spans="1:1" x14ac:dyDescent="0.3">
      <c r="A7097" s="80"/>
    </row>
    <row r="7098" spans="1:1" x14ac:dyDescent="0.3">
      <c r="A7098" s="80"/>
    </row>
    <row r="7099" spans="1:1" x14ac:dyDescent="0.3">
      <c r="A7099" s="80"/>
    </row>
    <row r="7100" spans="1:1" x14ac:dyDescent="0.3">
      <c r="A7100" s="80"/>
    </row>
    <row r="7101" spans="1:1" x14ac:dyDescent="0.3">
      <c r="A7101" s="80"/>
    </row>
    <row r="7102" spans="1:1" x14ac:dyDescent="0.3">
      <c r="A7102" s="80"/>
    </row>
    <row r="7103" spans="1:1" x14ac:dyDescent="0.3">
      <c r="A7103" s="80"/>
    </row>
    <row r="7104" spans="1:1" x14ac:dyDescent="0.3">
      <c r="A7104" s="80"/>
    </row>
    <row r="7105" spans="1:1" x14ac:dyDescent="0.3">
      <c r="A7105" s="80"/>
    </row>
    <row r="7106" spans="1:1" x14ac:dyDescent="0.3">
      <c r="A7106" s="80"/>
    </row>
    <row r="7107" spans="1:1" x14ac:dyDescent="0.3">
      <c r="A7107" s="80"/>
    </row>
    <row r="7108" spans="1:1" x14ac:dyDescent="0.3">
      <c r="A7108" s="80"/>
    </row>
    <row r="7109" spans="1:1" x14ac:dyDescent="0.3">
      <c r="A7109" s="80"/>
    </row>
    <row r="7110" spans="1:1" x14ac:dyDescent="0.3">
      <c r="A7110" s="80"/>
    </row>
    <row r="7111" spans="1:1" x14ac:dyDescent="0.3">
      <c r="A7111" s="80"/>
    </row>
    <row r="7112" spans="1:1" x14ac:dyDescent="0.3">
      <c r="A7112" s="80"/>
    </row>
    <row r="7113" spans="1:1" x14ac:dyDescent="0.3">
      <c r="A7113" s="80"/>
    </row>
    <row r="7114" spans="1:1" x14ac:dyDescent="0.3">
      <c r="A7114" s="80"/>
    </row>
    <row r="7115" spans="1:1" x14ac:dyDescent="0.3">
      <c r="A7115" s="80"/>
    </row>
    <row r="7116" spans="1:1" x14ac:dyDescent="0.3">
      <c r="A7116" s="80"/>
    </row>
    <row r="7117" spans="1:1" x14ac:dyDescent="0.3">
      <c r="A7117" s="80"/>
    </row>
    <row r="7118" spans="1:1" x14ac:dyDescent="0.3">
      <c r="A7118" s="80"/>
    </row>
    <row r="7119" spans="1:1" x14ac:dyDescent="0.3">
      <c r="A7119" s="80"/>
    </row>
    <row r="7120" spans="1:1" x14ac:dyDescent="0.3">
      <c r="A7120" s="80"/>
    </row>
    <row r="7121" spans="1:1" x14ac:dyDescent="0.3">
      <c r="A7121" s="80"/>
    </row>
    <row r="7122" spans="1:1" x14ac:dyDescent="0.3">
      <c r="A7122" s="80"/>
    </row>
    <row r="7123" spans="1:1" x14ac:dyDescent="0.3">
      <c r="A7123" s="80"/>
    </row>
    <row r="7124" spans="1:1" x14ac:dyDescent="0.3">
      <c r="A7124" s="80"/>
    </row>
    <row r="7125" spans="1:1" x14ac:dyDescent="0.3">
      <c r="A7125" s="80"/>
    </row>
    <row r="7126" spans="1:1" x14ac:dyDescent="0.3">
      <c r="A7126" s="80"/>
    </row>
    <row r="7127" spans="1:1" x14ac:dyDescent="0.3">
      <c r="A7127" s="80"/>
    </row>
    <row r="7128" spans="1:1" x14ac:dyDescent="0.3">
      <c r="A7128" s="80"/>
    </row>
    <row r="7129" spans="1:1" x14ac:dyDescent="0.3">
      <c r="A7129" s="80"/>
    </row>
    <row r="7130" spans="1:1" x14ac:dyDescent="0.3">
      <c r="A7130" s="80"/>
    </row>
    <row r="7131" spans="1:1" x14ac:dyDescent="0.3">
      <c r="A7131" s="80"/>
    </row>
    <row r="7132" spans="1:1" x14ac:dyDescent="0.3">
      <c r="A7132" s="80"/>
    </row>
    <row r="7133" spans="1:1" x14ac:dyDescent="0.3">
      <c r="A7133" s="80"/>
    </row>
    <row r="7134" spans="1:1" x14ac:dyDescent="0.3">
      <c r="A7134" s="80"/>
    </row>
    <row r="7135" spans="1:1" x14ac:dyDescent="0.3">
      <c r="A7135" s="80"/>
    </row>
    <row r="7136" spans="1:1" x14ac:dyDescent="0.3">
      <c r="A7136" s="80"/>
    </row>
    <row r="7137" spans="1:1" x14ac:dyDescent="0.3">
      <c r="A7137" s="80"/>
    </row>
    <row r="7138" spans="1:1" x14ac:dyDescent="0.3">
      <c r="A7138" s="80"/>
    </row>
    <row r="7139" spans="1:1" x14ac:dyDescent="0.3">
      <c r="A7139" s="80"/>
    </row>
    <row r="7140" spans="1:1" x14ac:dyDescent="0.3">
      <c r="A7140" s="80"/>
    </row>
    <row r="7141" spans="1:1" x14ac:dyDescent="0.3">
      <c r="A7141" s="80"/>
    </row>
    <row r="7142" spans="1:1" x14ac:dyDescent="0.3">
      <c r="A7142" s="80"/>
    </row>
    <row r="7143" spans="1:1" x14ac:dyDescent="0.3">
      <c r="A7143" s="80"/>
    </row>
    <row r="7144" spans="1:1" x14ac:dyDescent="0.3">
      <c r="A7144" s="80"/>
    </row>
    <row r="7145" spans="1:1" x14ac:dyDescent="0.3">
      <c r="A7145" s="80"/>
    </row>
    <row r="7146" spans="1:1" x14ac:dyDescent="0.3">
      <c r="A7146" s="80"/>
    </row>
    <row r="7147" spans="1:1" x14ac:dyDescent="0.3">
      <c r="A7147" s="80"/>
    </row>
    <row r="7148" spans="1:1" x14ac:dyDescent="0.3">
      <c r="A7148" s="80"/>
    </row>
    <row r="7149" spans="1:1" x14ac:dyDescent="0.3">
      <c r="A7149" s="80"/>
    </row>
    <row r="7150" spans="1:1" x14ac:dyDescent="0.3">
      <c r="A7150" s="80"/>
    </row>
    <row r="7151" spans="1:1" x14ac:dyDescent="0.3">
      <c r="A7151" s="80"/>
    </row>
    <row r="7152" spans="1:1" x14ac:dyDescent="0.3">
      <c r="A7152" s="80"/>
    </row>
    <row r="7153" spans="1:1" x14ac:dyDescent="0.3">
      <c r="A7153" s="80"/>
    </row>
    <row r="7154" spans="1:1" x14ac:dyDescent="0.3">
      <c r="A7154" s="80"/>
    </row>
    <row r="7155" spans="1:1" x14ac:dyDescent="0.3">
      <c r="A7155" s="80"/>
    </row>
    <row r="7156" spans="1:1" x14ac:dyDescent="0.3">
      <c r="A7156" s="80"/>
    </row>
    <row r="7157" spans="1:1" x14ac:dyDescent="0.3">
      <c r="A7157" s="80"/>
    </row>
    <row r="7158" spans="1:1" x14ac:dyDescent="0.3">
      <c r="A7158" s="80"/>
    </row>
    <row r="7159" spans="1:1" x14ac:dyDescent="0.3">
      <c r="A7159" s="80"/>
    </row>
    <row r="7160" spans="1:1" x14ac:dyDescent="0.3">
      <c r="A7160" s="80"/>
    </row>
    <row r="7161" spans="1:1" x14ac:dyDescent="0.3">
      <c r="A7161" s="80"/>
    </row>
    <row r="7162" spans="1:1" x14ac:dyDescent="0.3">
      <c r="A7162" s="80"/>
    </row>
    <row r="7163" spans="1:1" x14ac:dyDescent="0.3">
      <c r="A7163" s="80"/>
    </row>
    <row r="7164" spans="1:1" x14ac:dyDescent="0.3">
      <c r="A7164" s="80"/>
    </row>
    <row r="7165" spans="1:1" x14ac:dyDescent="0.3">
      <c r="A7165" s="80"/>
    </row>
    <row r="7166" spans="1:1" x14ac:dyDescent="0.3">
      <c r="A7166" s="80"/>
    </row>
    <row r="7167" spans="1:1" x14ac:dyDescent="0.3">
      <c r="A7167" s="80"/>
    </row>
    <row r="7168" spans="1:1" x14ac:dyDescent="0.3">
      <c r="A7168" s="80"/>
    </row>
    <row r="7169" spans="1:1" x14ac:dyDescent="0.3">
      <c r="A7169" s="80"/>
    </row>
    <row r="7170" spans="1:1" x14ac:dyDescent="0.3">
      <c r="A7170" s="80"/>
    </row>
    <row r="7171" spans="1:1" x14ac:dyDescent="0.3">
      <c r="A7171" s="80"/>
    </row>
    <row r="7172" spans="1:1" x14ac:dyDescent="0.3">
      <c r="A7172" s="80"/>
    </row>
    <row r="7173" spans="1:1" x14ac:dyDescent="0.3">
      <c r="A7173" s="80"/>
    </row>
    <row r="7174" spans="1:1" x14ac:dyDescent="0.3">
      <c r="A7174" s="80"/>
    </row>
    <row r="7175" spans="1:1" x14ac:dyDescent="0.3">
      <c r="A7175" s="80"/>
    </row>
    <row r="7176" spans="1:1" x14ac:dyDescent="0.3">
      <c r="A7176" s="80"/>
    </row>
    <row r="7177" spans="1:1" x14ac:dyDescent="0.3">
      <c r="A7177" s="80"/>
    </row>
    <row r="7178" spans="1:1" x14ac:dyDescent="0.3">
      <c r="A7178" s="80"/>
    </row>
    <row r="7179" spans="1:1" x14ac:dyDescent="0.3">
      <c r="A7179" s="80"/>
    </row>
    <row r="7180" spans="1:1" x14ac:dyDescent="0.3">
      <c r="A7180" s="80"/>
    </row>
    <row r="7181" spans="1:1" x14ac:dyDescent="0.3">
      <c r="A7181" s="80"/>
    </row>
    <row r="7182" spans="1:1" x14ac:dyDescent="0.3">
      <c r="A7182" s="80"/>
    </row>
    <row r="7183" spans="1:1" x14ac:dyDescent="0.3">
      <c r="A7183" s="80"/>
    </row>
    <row r="7184" spans="1:1" x14ac:dyDescent="0.3">
      <c r="A7184" s="80"/>
    </row>
    <row r="7185" spans="1:1" x14ac:dyDescent="0.3">
      <c r="A7185" s="80"/>
    </row>
    <row r="7186" spans="1:1" x14ac:dyDescent="0.3">
      <c r="A7186" s="80"/>
    </row>
    <row r="7187" spans="1:1" x14ac:dyDescent="0.3">
      <c r="A7187" s="80"/>
    </row>
    <row r="7188" spans="1:1" x14ac:dyDescent="0.3">
      <c r="A7188" s="80"/>
    </row>
    <row r="7189" spans="1:1" x14ac:dyDescent="0.3">
      <c r="A7189" s="80"/>
    </row>
    <row r="7190" spans="1:1" x14ac:dyDescent="0.3">
      <c r="A7190" s="80"/>
    </row>
    <row r="7191" spans="1:1" x14ac:dyDescent="0.3">
      <c r="A7191" s="80"/>
    </row>
    <row r="7192" spans="1:1" x14ac:dyDescent="0.3">
      <c r="A7192" s="80"/>
    </row>
    <row r="7193" spans="1:1" x14ac:dyDescent="0.3">
      <c r="A7193" s="80"/>
    </row>
    <row r="7194" spans="1:1" x14ac:dyDescent="0.3">
      <c r="A7194" s="80"/>
    </row>
    <row r="7195" spans="1:1" x14ac:dyDescent="0.3">
      <c r="A7195" s="80"/>
    </row>
    <row r="7196" spans="1:1" x14ac:dyDescent="0.3">
      <c r="A7196" s="80"/>
    </row>
    <row r="7197" spans="1:1" x14ac:dyDescent="0.3">
      <c r="A7197" s="80"/>
    </row>
    <row r="7198" spans="1:1" x14ac:dyDescent="0.3">
      <c r="A7198" s="80"/>
    </row>
    <row r="7199" spans="1:1" x14ac:dyDescent="0.3">
      <c r="A7199" s="80"/>
    </row>
    <row r="7200" spans="1:1" x14ac:dyDescent="0.3">
      <c r="A7200" s="80"/>
    </row>
    <row r="7201" spans="1:1" x14ac:dyDescent="0.3">
      <c r="A7201" s="80"/>
    </row>
    <row r="7202" spans="1:1" x14ac:dyDescent="0.3">
      <c r="A7202" s="80"/>
    </row>
    <row r="7203" spans="1:1" x14ac:dyDescent="0.3">
      <c r="A7203" s="80"/>
    </row>
    <row r="7204" spans="1:1" x14ac:dyDescent="0.3">
      <c r="A7204" s="80"/>
    </row>
    <row r="7205" spans="1:1" x14ac:dyDescent="0.3">
      <c r="A7205" s="80"/>
    </row>
    <row r="7206" spans="1:1" x14ac:dyDescent="0.3">
      <c r="A7206" s="80"/>
    </row>
    <row r="7207" spans="1:1" x14ac:dyDescent="0.3">
      <c r="A7207" s="80"/>
    </row>
    <row r="7208" spans="1:1" x14ac:dyDescent="0.3">
      <c r="A7208" s="80"/>
    </row>
    <row r="7209" spans="1:1" x14ac:dyDescent="0.3">
      <c r="A7209" s="80"/>
    </row>
    <row r="7210" spans="1:1" x14ac:dyDescent="0.3">
      <c r="A7210" s="80"/>
    </row>
    <row r="7211" spans="1:1" x14ac:dyDescent="0.3">
      <c r="A7211" s="80"/>
    </row>
    <row r="7212" spans="1:1" x14ac:dyDescent="0.3">
      <c r="A7212" s="80"/>
    </row>
    <row r="7213" spans="1:1" x14ac:dyDescent="0.3">
      <c r="A7213" s="80"/>
    </row>
    <row r="7214" spans="1:1" x14ac:dyDescent="0.3">
      <c r="A7214" s="80"/>
    </row>
    <row r="7215" spans="1:1" x14ac:dyDescent="0.3">
      <c r="A7215" s="80"/>
    </row>
    <row r="7216" spans="1:1" x14ac:dyDescent="0.3">
      <c r="A7216" s="80"/>
    </row>
    <row r="7217" spans="1:1" x14ac:dyDescent="0.3">
      <c r="A7217" s="80"/>
    </row>
    <row r="7218" spans="1:1" x14ac:dyDescent="0.3">
      <c r="A7218" s="80"/>
    </row>
    <row r="7219" spans="1:1" x14ac:dyDescent="0.3">
      <c r="A7219" s="80"/>
    </row>
    <row r="7220" spans="1:1" x14ac:dyDescent="0.3">
      <c r="A7220" s="80"/>
    </row>
    <row r="7221" spans="1:1" x14ac:dyDescent="0.3">
      <c r="A7221" s="80"/>
    </row>
    <row r="7222" spans="1:1" x14ac:dyDescent="0.3">
      <c r="A7222" s="80"/>
    </row>
    <row r="7223" spans="1:1" x14ac:dyDescent="0.3">
      <c r="A7223" s="80"/>
    </row>
    <row r="7224" spans="1:1" x14ac:dyDescent="0.3">
      <c r="A7224" s="80"/>
    </row>
    <row r="7225" spans="1:1" x14ac:dyDescent="0.3">
      <c r="A7225" s="80"/>
    </row>
    <row r="7226" spans="1:1" x14ac:dyDescent="0.3">
      <c r="A7226" s="80"/>
    </row>
    <row r="7227" spans="1:1" x14ac:dyDescent="0.3">
      <c r="A7227" s="80"/>
    </row>
    <row r="7228" spans="1:1" x14ac:dyDescent="0.3">
      <c r="A7228" s="80"/>
    </row>
    <row r="7229" spans="1:1" x14ac:dyDescent="0.3">
      <c r="A7229" s="80"/>
    </row>
    <row r="7230" spans="1:1" x14ac:dyDescent="0.3">
      <c r="A7230" s="80"/>
    </row>
    <row r="7231" spans="1:1" x14ac:dyDescent="0.3">
      <c r="A7231" s="80"/>
    </row>
    <row r="7232" spans="1:1" x14ac:dyDescent="0.3">
      <c r="A7232" s="80"/>
    </row>
    <row r="7233" spans="1:1" x14ac:dyDescent="0.3">
      <c r="A7233" s="80"/>
    </row>
    <row r="7234" spans="1:1" x14ac:dyDescent="0.3">
      <c r="A7234" s="80"/>
    </row>
    <row r="7235" spans="1:1" x14ac:dyDescent="0.3">
      <c r="A7235" s="80"/>
    </row>
    <row r="7236" spans="1:1" x14ac:dyDescent="0.3">
      <c r="A7236" s="80"/>
    </row>
    <row r="7237" spans="1:1" x14ac:dyDescent="0.3">
      <c r="A7237" s="80"/>
    </row>
    <row r="7238" spans="1:1" x14ac:dyDescent="0.3">
      <c r="A7238" s="80"/>
    </row>
    <row r="7239" spans="1:1" x14ac:dyDescent="0.3">
      <c r="A7239" s="80"/>
    </row>
    <row r="7240" spans="1:1" x14ac:dyDescent="0.3">
      <c r="A7240" s="80"/>
    </row>
    <row r="7241" spans="1:1" x14ac:dyDescent="0.3">
      <c r="A7241" s="80"/>
    </row>
    <row r="7242" spans="1:1" x14ac:dyDescent="0.3">
      <c r="A7242" s="80"/>
    </row>
    <row r="7243" spans="1:1" x14ac:dyDescent="0.3">
      <c r="A7243" s="80"/>
    </row>
    <row r="7244" spans="1:1" x14ac:dyDescent="0.3">
      <c r="A7244" s="80"/>
    </row>
    <row r="7245" spans="1:1" x14ac:dyDescent="0.3">
      <c r="A7245" s="80"/>
    </row>
    <row r="7246" spans="1:1" x14ac:dyDescent="0.3">
      <c r="A7246" s="80"/>
    </row>
    <row r="7247" spans="1:1" x14ac:dyDescent="0.3">
      <c r="A7247" s="80"/>
    </row>
    <row r="7248" spans="1:1" x14ac:dyDescent="0.3">
      <c r="A7248" s="80"/>
    </row>
    <row r="7249" spans="1:1" x14ac:dyDescent="0.3">
      <c r="A7249" s="80"/>
    </row>
    <row r="7250" spans="1:1" x14ac:dyDescent="0.3">
      <c r="A7250" s="80"/>
    </row>
    <row r="7251" spans="1:1" x14ac:dyDescent="0.3">
      <c r="A7251" s="80"/>
    </row>
    <row r="7252" spans="1:1" x14ac:dyDescent="0.3">
      <c r="A7252" s="80"/>
    </row>
    <row r="7253" spans="1:1" x14ac:dyDescent="0.3">
      <c r="A7253" s="80"/>
    </row>
    <row r="7254" spans="1:1" x14ac:dyDescent="0.3">
      <c r="A7254" s="80"/>
    </row>
    <row r="7255" spans="1:1" x14ac:dyDescent="0.3">
      <c r="A7255" s="80"/>
    </row>
    <row r="7256" spans="1:1" x14ac:dyDescent="0.3">
      <c r="A7256" s="80"/>
    </row>
    <row r="7257" spans="1:1" x14ac:dyDescent="0.3">
      <c r="A7257" s="80"/>
    </row>
    <row r="7258" spans="1:1" x14ac:dyDescent="0.3">
      <c r="A7258" s="80"/>
    </row>
    <row r="7259" spans="1:1" x14ac:dyDescent="0.3">
      <c r="A7259" s="80"/>
    </row>
    <row r="7260" spans="1:1" x14ac:dyDescent="0.3">
      <c r="A7260" s="80"/>
    </row>
    <row r="7261" spans="1:1" x14ac:dyDescent="0.3">
      <c r="A7261" s="80"/>
    </row>
    <row r="7262" spans="1:1" x14ac:dyDescent="0.3">
      <c r="A7262" s="80"/>
    </row>
    <row r="7263" spans="1:1" x14ac:dyDescent="0.3">
      <c r="A7263" s="80"/>
    </row>
    <row r="7264" spans="1:1" x14ac:dyDescent="0.3">
      <c r="A7264" s="80"/>
    </row>
    <row r="7265" spans="1:1" x14ac:dyDescent="0.3">
      <c r="A7265" s="80"/>
    </row>
    <row r="7266" spans="1:1" x14ac:dyDescent="0.3">
      <c r="A7266" s="80"/>
    </row>
    <row r="7267" spans="1:1" x14ac:dyDescent="0.3">
      <c r="A7267" s="80"/>
    </row>
    <row r="7268" spans="1:1" x14ac:dyDescent="0.3">
      <c r="A7268" s="80"/>
    </row>
    <row r="7269" spans="1:1" x14ac:dyDescent="0.3">
      <c r="A7269" s="80"/>
    </row>
    <row r="7270" spans="1:1" x14ac:dyDescent="0.3">
      <c r="A7270" s="80"/>
    </row>
    <row r="7271" spans="1:1" x14ac:dyDescent="0.3">
      <c r="A7271" s="80"/>
    </row>
    <row r="7272" spans="1:1" x14ac:dyDescent="0.3">
      <c r="A7272" s="80"/>
    </row>
    <row r="7273" spans="1:1" x14ac:dyDescent="0.3">
      <c r="A7273" s="80"/>
    </row>
    <row r="7274" spans="1:1" x14ac:dyDescent="0.3">
      <c r="A7274" s="80"/>
    </row>
    <row r="7275" spans="1:1" x14ac:dyDescent="0.3">
      <c r="A7275" s="80"/>
    </row>
    <row r="7276" spans="1:1" x14ac:dyDescent="0.3">
      <c r="A7276" s="80"/>
    </row>
    <row r="7277" spans="1:1" x14ac:dyDescent="0.3">
      <c r="A7277" s="80"/>
    </row>
    <row r="7278" spans="1:1" x14ac:dyDescent="0.3">
      <c r="A7278" s="80"/>
    </row>
    <row r="7279" spans="1:1" x14ac:dyDescent="0.3">
      <c r="A7279" s="80"/>
    </row>
    <row r="7280" spans="1:1" x14ac:dyDescent="0.3">
      <c r="A7280" s="80"/>
    </row>
    <row r="7281" spans="1:1" x14ac:dyDescent="0.3">
      <c r="A7281" s="80"/>
    </row>
    <row r="7282" spans="1:1" x14ac:dyDescent="0.3">
      <c r="A7282" s="80"/>
    </row>
    <row r="7283" spans="1:1" x14ac:dyDescent="0.3">
      <c r="A7283" s="80"/>
    </row>
    <row r="7284" spans="1:1" x14ac:dyDescent="0.3">
      <c r="A7284" s="80"/>
    </row>
    <row r="7285" spans="1:1" x14ac:dyDescent="0.3">
      <c r="A7285" s="80"/>
    </row>
    <row r="7286" spans="1:1" x14ac:dyDescent="0.3">
      <c r="A7286" s="80"/>
    </row>
    <row r="7287" spans="1:1" x14ac:dyDescent="0.3">
      <c r="A7287" s="80"/>
    </row>
    <row r="7288" spans="1:1" x14ac:dyDescent="0.3">
      <c r="A7288" s="80"/>
    </row>
    <row r="7289" spans="1:1" x14ac:dyDescent="0.3">
      <c r="A7289" s="80"/>
    </row>
    <row r="7290" spans="1:1" x14ac:dyDescent="0.3">
      <c r="A7290" s="80"/>
    </row>
    <row r="7291" spans="1:1" x14ac:dyDescent="0.3">
      <c r="A7291" s="80"/>
    </row>
    <row r="7292" spans="1:1" x14ac:dyDescent="0.3">
      <c r="A7292" s="80"/>
    </row>
    <row r="7293" spans="1:1" x14ac:dyDescent="0.3">
      <c r="A7293" s="80"/>
    </row>
    <row r="7294" spans="1:1" x14ac:dyDescent="0.3">
      <c r="A7294" s="80"/>
    </row>
    <row r="7295" spans="1:1" x14ac:dyDescent="0.3">
      <c r="A7295" s="80"/>
    </row>
    <row r="7296" spans="1:1" x14ac:dyDescent="0.3">
      <c r="A7296" s="80"/>
    </row>
    <row r="7297" spans="1:1" x14ac:dyDescent="0.3">
      <c r="A7297" s="80"/>
    </row>
    <row r="7298" spans="1:1" x14ac:dyDescent="0.3">
      <c r="A7298" s="80"/>
    </row>
    <row r="7299" spans="1:1" x14ac:dyDescent="0.3">
      <c r="A7299" s="80"/>
    </row>
    <row r="7300" spans="1:1" x14ac:dyDescent="0.3">
      <c r="A7300" s="80"/>
    </row>
    <row r="7301" spans="1:1" x14ac:dyDescent="0.3">
      <c r="A7301" s="80"/>
    </row>
    <row r="7302" spans="1:1" x14ac:dyDescent="0.3">
      <c r="A7302" s="80"/>
    </row>
    <row r="7303" spans="1:1" x14ac:dyDescent="0.3">
      <c r="A7303" s="80"/>
    </row>
    <row r="7304" spans="1:1" x14ac:dyDescent="0.3">
      <c r="A7304" s="80"/>
    </row>
    <row r="7305" spans="1:1" x14ac:dyDescent="0.3">
      <c r="A7305" s="80"/>
    </row>
    <row r="7306" spans="1:1" x14ac:dyDescent="0.3">
      <c r="A7306" s="80"/>
    </row>
    <row r="7307" spans="1:1" x14ac:dyDescent="0.3">
      <c r="A7307" s="80"/>
    </row>
    <row r="7308" spans="1:1" x14ac:dyDescent="0.3">
      <c r="A7308" s="80"/>
    </row>
    <row r="7309" spans="1:1" x14ac:dyDescent="0.3">
      <c r="A7309" s="80"/>
    </row>
    <row r="7310" spans="1:1" x14ac:dyDescent="0.3">
      <c r="A7310" s="80"/>
    </row>
    <row r="7311" spans="1:1" x14ac:dyDescent="0.3">
      <c r="A7311" s="80"/>
    </row>
    <row r="7312" spans="1:1" x14ac:dyDescent="0.3">
      <c r="A7312" s="80"/>
    </row>
    <row r="7313" spans="1:1" x14ac:dyDescent="0.3">
      <c r="A7313" s="80"/>
    </row>
    <row r="7314" spans="1:1" x14ac:dyDescent="0.3">
      <c r="A7314" s="80"/>
    </row>
    <row r="7315" spans="1:1" x14ac:dyDescent="0.3">
      <c r="A7315" s="80"/>
    </row>
    <row r="7316" spans="1:1" x14ac:dyDescent="0.3">
      <c r="A7316" s="80"/>
    </row>
    <row r="7317" spans="1:1" x14ac:dyDescent="0.3">
      <c r="A7317" s="80"/>
    </row>
    <row r="7318" spans="1:1" x14ac:dyDescent="0.3">
      <c r="A7318" s="80"/>
    </row>
    <row r="7319" spans="1:1" x14ac:dyDescent="0.3">
      <c r="A7319" s="80"/>
    </row>
    <row r="7320" spans="1:1" x14ac:dyDescent="0.3">
      <c r="A7320" s="80"/>
    </row>
    <row r="7321" spans="1:1" x14ac:dyDescent="0.3">
      <c r="A7321" s="80"/>
    </row>
    <row r="7322" spans="1:1" x14ac:dyDescent="0.3">
      <c r="A7322" s="80"/>
    </row>
    <row r="7323" spans="1:1" x14ac:dyDescent="0.3">
      <c r="A7323" s="80"/>
    </row>
    <row r="7324" spans="1:1" x14ac:dyDescent="0.3">
      <c r="A7324" s="80"/>
    </row>
    <row r="7325" spans="1:1" x14ac:dyDescent="0.3">
      <c r="A7325" s="80"/>
    </row>
    <row r="7326" spans="1:1" x14ac:dyDescent="0.3">
      <c r="A7326" s="80"/>
    </row>
    <row r="7327" spans="1:1" x14ac:dyDescent="0.3">
      <c r="A7327" s="80"/>
    </row>
    <row r="7328" spans="1:1" x14ac:dyDescent="0.3">
      <c r="A7328" s="80"/>
    </row>
    <row r="7329" spans="1:1" x14ac:dyDescent="0.3">
      <c r="A7329" s="80"/>
    </row>
    <row r="7330" spans="1:1" x14ac:dyDescent="0.3">
      <c r="A7330" s="80"/>
    </row>
    <row r="7331" spans="1:1" x14ac:dyDescent="0.3">
      <c r="A7331" s="80"/>
    </row>
    <row r="7332" spans="1:1" x14ac:dyDescent="0.3">
      <c r="A7332" s="80"/>
    </row>
    <row r="7333" spans="1:1" x14ac:dyDescent="0.3">
      <c r="A7333" s="80"/>
    </row>
    <row r="7334" spans="1:1" x14ac:dyDescent="0.3">
      <c r="A7334" s="80"/>
    </row>
    <row r="7335" spans="1:1" x14ac:dyDescent="0.3">
      <c r="A7335" s="80"/>
    </row>
    <row r="7336" spans="1:1" x14ac:dyDescent="0.3">
      <c r="A7336" s="80"/>
    </row>
    <row r="7337" spans="1:1" x14ac:dyDescent="0.3">
      <c r="A7337" s="80"/>
    </row>
    <row r="7338" spans="1:1" x14ac:dyDescent="0.3">
      <c r="A7338" s="80"/>
    </row>
    <row r="7339" spans="1:1" x14ac:dyDescent="0.3">
      <c r="A7339" s="80"/>
    </row>
    <row r="7340" spans="1:1" x14ac:dyDescent="0.3">
      <c r="A7340" s="80"/>
    </row>
    <row r="7341" spans="1:1" x14ac:dyDescent="0.3">
      <c r="A7341" s="80"/>
    </row>
    <row r="7342" spans="1:1" x14ac:dyDescent="0.3">
      <c r="A7342" s="80"/>
    </row>
    <row r="7343" spans="1:1" x14ac:dyDescent="0.3">
      <c r="A7343" s="80"/>
    </row>
    <row r="7344" spans="1:1" x14ac:dyDescent="0.3">
      <c r="A7344" s="80"/>
    </row>
    <row r="7345" spans="1:1" x14ac:dyDescent="0.3">
      <c r="A7345" s="80"/>
    </row>
    <row r="7346" spans="1:1" x14ac:dyDescent="0.3">
      <c r="A7346" s="80"/>
    </row>
    <row r="7347" spans="1:1" x14ac:dyDescent="0.3">
      <c r="A7347" s="80"/>
    </row>
    <row r="7348" spans="1:1" x14ac:dyDescent="0.3">
      <c r="A7348" s="80"/>
    </row>
    <row r="7349" spans="1:1" x14ac:dyDescent="0.3">
      <c r="A7349" s="80"/>
    </row>
    <row r="7350" spans="1:1" x14ac:dyDescent="0.3">
      <c r="A7350" s="80"/>
    </row>
    <row r="7351" spans="1:1" x14ac:dyDescent="0.3">
      <c r="A7351" s="80"/>
    </row>
    <row r="7352" spans="1:1" x14ac:dyDescent="0.3">
      <c r="A7352" s="80"/>
    </row>
    <row r="7353" spans="1:1" x14ac:dyDescent="0.3">
      <c r="A7353" s="80"/>
    </row>
    <row r="7354" spans="1:1" x14ac:dyDescent="0.3">
      <c r="A7354" s="80"/>
    </row>
    <row r="7355" spans="1:1" x14ac:dyDescent="0.3">
      <c r="A7355" s="80"/>
    </row>
    <row r="7356" spans="1:1" x14ac:dyDescent="0.3">
      <c r="A7356" s="80"/>
    </row>
    <row r="7357" spans="1:1" x14ac:dyDescent="0.3">
      <c r="A7357" s="80"/>
    </row>
    <row r="7358" spans="1:1" x14ac:dyDescent="0.3">
      <c r="A7358" s="80"/>
    </row>
    <row r="7359" spans="1:1" x14ac:dyDescent="0.3">
      <c r="A7359" s="80"/>
    </row>
    <row r="7360" spans="1:1" x14ac:dyDescent="0.3">
      <c r="A7360" s="80"/>
    </row>
    <row r="7361" spans="1:1" x14ac:dyDescent="0.3">
      <c r="A7361" s="80"/>
    </row>
    <row r="7362" spans="1:1" x14ac:dyDescent="0.3">
      <c r="A7362" s="80"/>
    </row>
    <row r="7363" spans="1:1" x14ac:dyDescent="0.3">
      <c r="A7363" s="80"/>
    </row>
    <row r="7364" spans="1:1" x14ac:dyDescent="0.3">
      <c r="A7364" s="80"/>
    </row>
    <row r="7365" spans="1:1" x14ac:dyDescent="0.3">
      <c r="A7365" s="80"/>
    </row>
    <row r="7366" spans="1:1" x14ac:dyDescent="0.3">
      <c r="A7366" s="80"/>
    </row>
    <row r="7367" spans="1:1" x14ac:dyDescent="0.3">
      <c r="A7367" s="80"/>
    </row>
    <row r="7368" spans="1:1" x14ac:dyDescent="0.3">
      <c r="A7368" s="80"/>
    </row>
    <row r="7369" spans="1:1" x14ac:dyDescent="0.3">
      <c r="A7369" s="80"/>
    </row>
    <row r="7370" spans="1:1" x14ac:dyDescent="0.3">
      <c r="A7370" s="80"/>
    </row>
    <row r="7371" spans="1:1" x14ac:dyDescent="0.3">
      <c r="A7371" s="80"/>
    </row>
    <row r="7372" spans="1:1" x14ac:dyDescent="0.3">
      <c r="A7372" s="80"/>
    </row>
    <row r="7373" spans="1:1" x14ac:dyDescent="0.3">
      <c r="A7373" s="80"/>
    </row>
    <row r="7374" spans="1:1" x14ac:dyDescent="0.3">
      <c r="A7374" s="80"/>
    </row>
    <row r="7375" spans="1:1" x14ac:dyDescent="0.3">
      <c r="A7375" s="80"/>
    </row>
    <row r="7376" spans="1:1" x14ac:dyDescent="0.3">
      <c r="A7376" s="80"/>
    </row>
    <row r="7377" spans="1:1" x14ac:dyDescent="0.3">
      <c r="A7377" s="80"/>
    </row>
    <row r="7378" spans="1:1" x14ac:dyDescent="0.3">
      <c r="A7378" s="80"/>
    </row>
    <row r="7379" spans="1:1" x14ac:dyDescent="0.3">
      <c r="A7379" s="80"/>
    </row>
    <row r="7380" spans="1:1" x14ac:dyDescent="0.3">
      <c r="A7380" s="80"/>
    </row>
    <row r="7381" spans="1:1" x14ac:dyDescent="0.3">
      <c r="A7381" s="80"/>
    </row>
    <row r="7382" spans="1:1" x14ac:dyDescent="0.3">
      <c r="A7382" s="80"/>
    </row>
    <row r="7383" spans="1:1" x14ac:dyDescent="0.3">
      <c r="A7383" s="80"/>
    </row>
    <row r="7384" spans="1:1" x14ac:dyDescent="0.3">
      <c r="A7384" s="80"/>
    </row>
    <row r="7385" spans="1:1" x14ac:dyDescent="0.3">
      <c r="A7385" s="80"/>
    </row>
    <row r="7386" spans="1:1" x14ac:dyDescent="0.3">
      <c r="A7386" s="80"/>
    </row>
    <row r="7387" spans="1:1" x14ac:dyDescent="0.3">
      <c r="A7387" s="80"/>
    </row>
    <row r="7388" spans="1:1" x14ac:dyDescent="0.3">
      <c r="A7388" s="80"/>
    </row>
    <row r="7389" spans="1:1" x14ac:dyDescent="0.3">
      <c r="A7389" s="80"/>
    </row>
    <row r="7390" spans="1:1" x14ac:dyDescent="0.3">
      <c r="A7390" s="80"/>
    </row>
    <row r="7391" spans="1:1" x14ac:dyDescent="0.3">
      <c r="A7391" s="80"/>
    </row>
    <row r="7392" spans="1:1" x14ac:dyDescent="0.3">
      <c r="A7392" s="80"/>
    </row>
    <row r="7393" spans="1:1" x14ac:dyDescent="0.3">
      <c r="A7393" s="80"/>
    </row>
    <row r="7394" spans="1:1" x14ac:dyDescent="0.3">
      <c r="A7394" s="80"/>
    </row>
    <row r="7395" spans="1:1" x14ac:dyDescent="0.3">
      <c r="A7395" s="80"/>
    </row>
    <row r="7396" spans="1:1" x14ac:dyDescent="0.3">
      <c r="A7396" s="80"/>
    </row>
    <row r="7397" spans="1:1" x14ac:dyDescent="0.3">
      <c r="A7397" s="80"/>
    </row>
    <row r="7398" spans="1:1" x14ac:dyDescent="0.3">
      <c r="A7398" s="80"/>
    </row>
    <row r="7399" spans="1:1" x14ac:dyDescent="0.3">
      <c r="A7399" s="80"/>
    </row>
  </sheetData>
  <mergeCells count="1">
    <mergeCell ref="S1:T1"/>
  </mergeCells>
  <printOptions horizontalCentered="1" verticalCentered="1"/>
  <pageMargins left="0.70866141732283472" right="0.70866141732283472" top="0.55118110236220474" bottom="0.19685039370078741" header="0.31496062992125978" footer="0.31496062992125978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P29"/>
  <sheetViews>
    <sheetView showGridLines="0" topLeftCell="F1" zoomScaleNormal="100" workbookViewId="0">
      <selection activeCell="F11" sqref="F11"/>
    </sheetView>
  </sheetViews>
  <sheetFormatPr baseColWidth="10" defaultRowHeight="14.4" x14ac:dyDescent="0.3"/>
  <cols>
    <col min="1" max="1" width="7.6640625" customWidth="1"/>
    <col min="2" max="2" width="15.109375" bestFit="1" customWidth="1"/>
    <col min="3" max="3" width="28.5546875" bestFit="1" customWidth="1"/>
    <col min="4" max="4" width="9.21875" style="77" customWidth="1"/>
    <col min="5" max="5" width="13.44140625" style="77" customWidth="1"/>
    <col min="6" max="6" width="19.109375" style="77" bestFit="1" customWidth="1"/>
    <col min="7" max="7" width="12.44140625" style="77" bestFit="1" customWidth="1"/>
    <col min="8" max="8" width="16.33203125" style="77" bestFit="1" customWidth="1"/>
    <col min="9" max="9" width="11.21875" bestFit="1" customWidth="1"/>
    <col min="10" max="10" width="15" customWidth="1"/>
    <col min="11" max="11" width="13.88671875" customWidth="1"/>
    <col min="12" max="12" width="16.5546875" customWidth="1"/>
    <col min="13" max="13" width="13.6640625" customWidth="1"/>
    <col min="14" max="14" width="17.77734375" customWidth="1"/>
    <col min="15" max="15" width="15.77734375" bestFit="1" customWidth="1"/>
  </cols>
  <sheetData>
    <row r="1" spans="1:16" s="701" customFormat="1" ht="14.7" customHeight="1" thickBot="1" x14ac:dyDescent="0.35">
      <c r="A1" s="727" t="s">
        <v>686</v>
      </c>
      <c r="D1" s="712" t="s">
        <v>681</v>
      </c>
      <c r="E1" s="713">
        <f>SUM(E3:E13)</f>
        <v>1740</v>
      </c>
      <c r="F1" s="713">
        <f>SUM(F3:F13)</f>
        <v>249</v>
      </c>
      <c r="G1" s="713">
        <f>SUM(G3:G13)</f>
        <v>4202</v>
      </c>
      <c r="H1" s="713">
        <f>SUM(H3:H13)</f>
        <v>5348</v>
      </c>
      <c r="I1" s="713">
        <f>SUM(I3:I13)</f>
        <v>1120</v>
      </c>
      <c r="J1" s="713">
        <f>SUM(J3:J21)</f>
        <v>4322</v>
      </c>
      <c r="K1" s="713">
        <f>SUM(K3:K17)</f>
        <v>594</v>
      </c>
      <c r="L1" s="713">
        <f>SUM(L3:L17)</f>
        <v>1869</v>
      </c>
      <c r="M1" s="713">
        <f>SUM(M3:M17)</f>
        <v>3728</v>
      </c>
      <c r="N1" s="713">
        <f>SUM(N3:N17)</f>
        <v>15854172</v>
      </c>
      <c r="O1" s="713">
        <f>SUM(O3:O17)</f>
        <v>5841578</v>
      </c>
    </row>
    <row r="2" spans="1:16" x14ac:dyDescent="0.3">
      <c r="A2" s="714" t="s">
        <v>674</v>
      </c>
      <c r="B2" s="715" t="s">
        <v>687</v>
      </c>
      <c r="C2" s="716" t="s">
        <v>688</v>
      </c>
      <c r="D2" s="716" t="s">
        <v>689</v>
      </c>
      <c r="E2" s="716" t="s">
        <v>690</v>
      </c>
      <c r="F2" s="716" t="s">
        <v>691</v>
      </c>
      <c r="G2" s="716" t="s">
        <v>692</v>
      </c>
      <c r="H2" s="717" t="s">
        <v>693</v>
      </c>
      <c r="I2" s="730" t="s">
        <v>694</v>
      </c>
      <c r="J2" s="732" t="s">
        <v>695</v>
      </c>
      <c r="K2" s="717" t="s">
        <v>696</v>
      </c>
      <c r="L2" s="717" t="s">
        <v>697</v>
      </c>
      <c r="M2" s="717" t="s">
        <v>698</v>
      </c>
      <c r="N2" s="718" t="s">
        <v>699</v>
      </c>
      <c r="O2" s="718" t="s">
        <v>700</v>
      </c>
    </row>
    <row r="3" spans="1:16" x14ac:dyDescent="0.3">
      <c r="A3" t="s">
        <v>682</v>
      </c>
      <c r="B3" t="s">
        <v>701</v>
      </c>
      <c r="C3" t="s">
        <v>702</v>
      </c>
      <c r="D3">
        <v>4500</v>
      </c>
      <c r="E3">
        <v>307</v>
      </c>
      <c r="F3">
        <v>205</v>
      </c>
      <c r="G3">
        <v>2100</v>
      </c>
      <c r="H3">
        <v>2116</v>
      </c>
      <c r="I3">
        <v>71</v>
      </c>
      <c r="J3" s="733">
        <f t="shared" ref="J3:J12" si="0">K3+M3</f>
        <v>1846</v>
      </c>
      <c r="K3" s="711">
        <f>E3+G3-H3</f>
        <v>291</v>
      </c>
      <c r="L3" s="728">
        <f>I3+$I$5+I12</f>
        <v>766</v>
      </c>
      <c r="M3" s="711">
        <f t="shared" ref="M3:M10" si="1">H3-L3+F3</f>
        <v>1555</v>
      </c>
      <c r="N3" s="726">
        <f t="shared" ref="N3:N11" si="2">D3*J3</f>
        <v>8307000</v>
      </c>
      <c r="O3" s="737">
        <f t="shared" ref="O3:O12" si="3">D3*I3</f>
        <v>319500</v>
      </c>
    </row>
    <row r="4" spans="1:16" x14ac:dyDescent="0.3">
      <c r="A4" t="s">
        <v>703</v>
      </c>
      <c r="B4" t="s">
        <v>704</v>
      </c>
      <c r="C4" t="s">
        <v>705</v>
      </c>
      <c r="D4">
        <v>500</v>
      </c>
      <c r="E4">
        <v>551</v>
      </c>
      <c r="F4">
        <v>26</v>
      </c>
      <c r="G4">
        <v>1602</v>
      </c>
      <c r="H4">
        <v>2013</v>
      </c>
      <c r="I4">
        <v>28</v>
      </c>
      <c r="J4" s="733">
        <f t="shared" si="0"/>
        <v>1456</v>
      </c>
      <c r="K4" s="711">
        <f>E4+G4-H4</f>
        <v>140</v>
      </c>
      <c r="L4" s="728">
        <f>I4+$I$5+I12</f>
        <v>723</v>
      </c>
      <c r="M4" s="711">
        <f t="shared" si="1"/>
        <v>1316</v>
      </c>
      <c r="N4" s="726">
        <f t="shared" si="2"/>
        <v>728000</v>
      </c>
      <c r="O4" s="737">
        <f t="shared" si="3"/>
        <v>14000</v>
      </c>
    </row>
    <row r="5" spans="1:16" x14ac:dyDescent="0.3">
      <c r="A5" t="s">
        <v>677</v>
      </c>
      <c r="B5" t="s">
        <v>706</v>
      </c>
      <c r="C5" t="s">
        <v>707</v>
      </c>
      <c r="D5">
        <v>5000</v>
      </c>
      <c r="I5">
        <v>668</v>
      </c>
      <c r="J5" s="734">
        <f t="shared" si="0"/>
        <v>0</v>
      </c>
      <c r="K5" s="724">
        <f>E5+G5-H5</f>
        <v>0</v>
      </c>
      <c r="L5" s="724">
        <f>I5-I5</f>
        <v>0</v>
      </c>
      <c r="M5" s="724">
        <f t="shared" si="1"/>
        <v>0</v>
      </c>
      <c r="N5" s="726">
        <f t="shared" si="2"/>
        <v>0</v>
      </c>
      <c r="O5" s="738">
        <f t="shared" si="3"/>
        <v>3340000</v>
      </c>
    </row>
    <row r="6" spans="1:16" x14ac:dyDescent="0.3">
      <c r="A6" t="s">
        <v>708</v>
      </c>
      <c r="B6" t="s">
        <v>709</v>
      </c>
      <c r="C6" t="s">
        <v>710</v>
      </c>
      <c r="D6">
        <v>6400</v>
      </c>
      <c r="E6">
        <v>4</v>
      </c>
      <c r="F6">
        <v>0</v>
      </c>
      <c r="H6">
        <v>4</v>
      </c>
      <c r="I6">
        <v>3</v>
      </c>
      <c r="J6" s="733">
        <f t="shared" si="0"/>
        <v>1</v>
      </c>
      <c r="K6" s="711"/>
      <c r="L6" s="711">
        <f>I6</f>
        <v>3</v>
      </c>
      <c r="M6" s="711">
        <f t="shared" si="1"/>
        <v>1</v>
      </c>
      <c r="N6" s="726">
        <f t="shared" si="2"/>
        <v>6400</v>
      </c>
      <c r="O6" s="737">
        <f t="shared" si="3"/>
        <v>19200</v>
      </c>
    </row>
    <row r="7" spans="1:16" x14ac:dyDescent="0.3">
      <c r="A7" t="s">
        <v>711</v>
      </c>
      <c r="B7" t="s">
        <v>712</v>
      </c>
      <c r="C7" t="s">
        <v>713</v>
      </c>
      <c r="D7">
        <v>3000</v>
      </c>
      <c r="E7">
        <v>0</v>
      </c>
      <c r="F7">
        <v>13</v>
      </c>
      <c r="I7">
        <v>5</v>
      </c>
      <c r="J7" s="733">
        <f t="shared" si="0"/>
        <v>8</v>
      </c>
      <c r="K7" s="711">
        <f t="shared" ref="K7:K12" si="4">E7+G7-H7</f>
        <v>0</v>
      </c>
      <c r="L7" s="711">
        <f>I7</f>
        <v>5</v>
      </c>
      <c r="M7" s="711">
        <f t="shared" si="1"/>
        <v>8</v>
      </c>
      <c r="N7" s="726">
        <f t="shared" si="2"/>
        <v>24000</v>
      </c>
      <c r="O7" s="737">
        <f t="shared" si="3"/>
        <v>15000</v>
      </c>
    </row>
    <row r="8" spans="1:16" x14ac:dyDescent="0.3">
      <c r="A8" t="s">
        <v>714</v>
      </c>
      <c r="B8" t="s">
        <v>715</v>
      </c>
      <c r="C8" t="s">
        <v>716</v>
      </c>
      <c r="D8">
        <v>8400</v>
      </c>
      <c r="J8" s="734">
        <f t="shared" si="0"/>
        <v>0</v>
      </c>
      <c r="K8" s="724">
        <f t="shared" si="4"/>
        <v>0</v>
      </c>
      <c r="L8" s="724">
        <f>I8</f>
        <v>0</v>
      </c>
      <c r="M8" s="724">
        <f t="shared" si="1"/>
        <v>0</v>
      </c>
      <c r="N8" s="726">
        <f t="shared" si="2"/>
        <v>0</v>
      </c>
      <c r="O8" s="738">
        <f t="shared" si="3"/>
        <v>0</v>
      </c>
    </row>
    <row r="9" spans="1:16" ht="14.7" customHeight="1" thickBot="1" x14ac:dyDescent="0.35">
      <c r="A9" t="s">
        <v>717</v>
      </c>
      <c r="B9" t="s">
        <v>704</v>
      </c>
      <c r="C9" t="s">
        <v>718</v>
      </c>
      <c r="D9">
        <v>2630</v>
      </c>
      <c r="E9">
        <v>0</v>
      </c>
      <c r="F9">
        <v>5</v>
      </c>
      <c r="H9">
        <v>15</v>
      </c>
      <c r="I9">
        <v>13</v>
      </c>
      <c r="J9" s="733">
        <f t="shared" si="0"/>
        <v>-35</v>
      </c>
      <c r="K9" s="711">
        <f t="shared" si="4"/>
        <v>-15</v>
      </c>
      <c r="L9" s="711">
        <f>I9+I12</f>
        <v>40</v>
      </c>
      <c r="M9" s="711">
        <f t="shared" si="1"/>
        <v>-20</v>
      </c>
      <c r="N9" s="726">
        <f t="shared" si="2"/>
        <v>-92050</v>
      </c>
      <c r="O9" s="737">
        <f t="shared" si="3"/>
        <v>34190</v>
      </c>
    </row>
    <row r="10" spans="1:16" ht="14.7" customHeight="1" thickBot="1" x14ac:dyDescent="0.35">
      <c r="A10" t="s">
        <v>719</v>
      </c>
      <c r="B10" t="s">
        <v>720</v>
      </c>
      <c r="C10" t="s">
        <v>721</v>
      </c>
      <c r="D10">
        <v>5000</v>
      </c>
      <c r="E10">
        <v>878</v>
      </c>
      <c r="F10">
        <v>0</v>
      </c>
      <c r="H10">
        <v>900</v>
      </c>
      <c r="I10">
        <v>243</v>
      </c>
      <c r="J10" s="734">
        <f t="shared" si="0"/>
        <v>608</v>
      </c>
      <c r="K10" s="724">
        <f t="shared" si="4"/>
        <v>-22</v>
      </c>
      <c r="L10" s="724">
        <f>I10+I12</f>
        <v>270</v>
      </c>
      <c r="M10" s="724">
        <f t="shared" si="1"/>
        <v>630</v>
      </c>
      <c r="N10" s="726">
        <f t="shared" si="2"/>
        <v>3040000</v>
      </c>
      <c r="O10" s="738">
        <f t="shared" si="3"/>
        <v>1215000</v>
      </c>
      <c r="P10" s="731"/>
    </row>
    <row r="11" spans="1:16" x14ac:dyDescent="0.3">
      <c r="A11" t="s">
        <v>722</v>
      </c>
      <c r="B11" t="s">
        <v>723</v>
      </c>
      <c r="C11" t="s">
        <v>724</v>
      </c>
      <c r="D11">
        <v>8769</v>
      </c>
      <c r="G11">
        <v>500</v>
      </c>
      <c r="H11">
        <v>300</v>
      </c>
      <c r="I11">
        <v>62</v>
      </c>
      <c r="J11" s="733">
        <f t="shared" si="0"/>
        <v>438</v>
      </c>
      <c r="K11" s="711">
        <f t="shared" si="4"/>
        <v>200</v>
      </c>
      <c r="L11" s="711">
        <f>I11</f>
        <v>62</v>
      </c>
      <c r="M11" s="711">
        <f>H11+F11-L11</f>
        <v>238</v>
      </c>
      <c r="N11" s="726">
        <f t="shared" si="2"/>
        <v>3840822</v>
      </c>
      <c r="O11" s="737">
        <f t="shared" si="3"/>
        <v>543678</v>
      </c>
    </row>
    <row r="12" spans="1:16" ht="14.7" customHeight="1" thickBot="1" x14ac:dyDescent="0.35">
      <c r="A12" t="s">
        <v>725</v>
      </c>
      <c r="B12" t="s">
        <v>715</v>
      </c>
      <c r="C12" t="s">
        <v>726</v>
      </c>
      <c r="D12">
        <v>12630</v>
      </c>
      <c r="I12">
        <v>27</v>
      </c>
      <c r="J12" s="735">
        <f t="shared" si="0"/>
        <v>0</v>
      </c>
      <c r="K12" s="736">
        <f t="shared" si="4"/>
        <v>0</v>
      </c>
      <c r="L12" s="736"/>
      <c r="M12" s="736">
        <f>H12-L12+F12</f>
        <v>0</v>
      </c>
      <c r="N12" s="725">
        <f>D12*M12</f>
        <v>0</v>
      </c>
      <c r="O12" s="738">
        <f t="shared" si="3"/>
        <v>341010</v>
      </c>
    </row>
    <row r="13" spans="1:16" x14ac:dyDescent="0.3">
      <c r="J13" s="98"/>
      <c r="K13" s="98"/>
      <c r="L13" s="98"/>
    </row>
    <row r="14" spans="1:16" x14ac:dyDescent="0.3">
      <c r="K14" s="98"/>
      <c r="L14" s="98"/>
    </row>
    <row r="15" spans="1:16" x14ac:dyDescent="0.3">
      <c r="K15" s="98"/>
      <c r="L15" s="98"/>
    </row>
    <row r="16" spans="1:16" x14ac:dyDescent="0.3">
      <c r="K16" s="98"/>
      <c r="L16" s="98"/>
    </row>
    <row r="17" spans="10:12" x14ac:dyDescent="0.3">
      <c r="J17" s="77"/>
      <c r="K17" s="98"/>
      <c r="L17" s="98"/>
    </row>
    <row r="18" spans="10:12" x14ac:dyDescent="0.3">
      <c r="J18" s="98"/>
      <c r="K18" s="98"/>
      <c r="L18" s="98"/>
    </row>
    <row r="19" spans="10:12" x14ac:dyDescent="0.3">
      <c r="J19" s="98"/>
    </row>
    <row r="20" spans="10:12" x14ac:dyDescent="0.3">
      <c r="J20" s="98"/>
    </row>
    <row r="21" spans="10:12" x14ac:dyDescent="0.3">
      <c r="J21" s="98"/>
    </row>
    <row r="22" spans="10:12" x14ac:dyDescent="0.3">
      <c r="J22" s="98"/>
    </row>
    <row r="23" spans="10:12" x14ac:dyDescent="0.3">
      <c r="J23" s="98"/>
    </row>
    <row r="24" spans="10:12" x14ac:dyDescent="0.3">
      <c r="J24" s="98"/>
    </row>
    <row r="25" spans="10:12" x14ac:dyDescent="0.3">
      <c r="J25" s="98"/>
    </row>
    <row r="26" spans="10:12" x14ac:dyDescent="0.3">
      <c r="J26" s="98"/>
    </row>
    <row r="27" spans="10:12" x14ac:dyDescent="0.3">
      <c r="J27" s="98"/>
    </row>
    <row r="29" spans="10:12" x14ac:dyDescent="0.3">
      <c r="J29" s="152"/>
    </row>
  </sheetData>
  <autoFilter ref="A2:N12" xr:uid="{00000000-0009-0000-0000-000005000000}">
    <sortState xmlns:xlrd2="http://schemas.microsoft.com/office/spreadsheetml/2017/richdata2" ref="A3:N12">
      <sortCondition ref="A2:A12"/>
    </sortState>
  </autoFilter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B1:K70"/>
  <sheetViews>
    <sheetView showGridLines="0" topLeftCell="A9" workbookViewId="0">
      <selection activeCell="M18" sqref="M18"/>
    </sheetView>
  </sheetViews>
  <sheetFormatPr baseColWidth="10" defaultRowHeight="14.4" x14ac:dyDescent="0.3"/>
  <cols>
    <col min="1" max="1" width="4.33203125" customWidth="1"/>
    <col min="2" max="2" width="37.88671875" customWidth="1"/>
    <col min="3" max="3" width="12.6640625" customWidth="1"/>
    <col min="4" max="4" width="12.5546875" customWidth="1"/>
    <col min="5" max="5" width="13.44140625" bestFit="1" customWidth="1"/>
    <col min="6" max="6" width="38" style="78" bestFit="1" customWidth="1"/>
    <col min="7" max="7" width="16.109375" style="78" bestFit="1" customWidth="1"/>
    <col min="8" max="8" width="15.44140625" bestFit="1" customWidth="1"/>
    <col min="9" max="9" width="17" bestFit="1" customWidth="1"/>
    <col min="10" max="10" width="12.33203125" style="161" bestFit="1" customWidth="1"/>
    <col min="11" max="11" width="15.88671875" style="161" bestFit="1" customWidth="1"/>
    <col min="13" max="13" width="15.5546875" bestFit="1" customWidth="1"/>
    <col min="14" max="14" width="12.6640625" bestFit="1" customWidth="1"/>
    <col min="15" max="15" width="15.5546875" bestFit="1" customWidth="1"/>
  </cols>
  <sheetData>
    <row r="1" spans="2:8" x14ac:dyDescent="0.3">
      <c r="B1" s="148" t="s">
        <v>727</v>
      </c>
      <c r="C1" s="148"/>
      <c r="F1" s="150"/>
      <c r="G1" s="163" t="s">
        <v>728</v>
      </c>
      <c r="H1" s="171">
        <f ca="1">NOW()</f>
        <v>45847.617645949074</v>
      </c>
    </row>
    <row r="2" spans="2:8" x14ac:dyDescent="0.3">
      <c r="B2" s="148" t="s">
        <v>729</v>
      </c>
      <c r="C2" s="148"/>
      <c r="F2" s="150"/>
      <c r="G2" s="163" t="s">
        <v>730</v>
      </c>
      <c r="H2" s="172" t="s">
        <v>731</v>
      </c>
    </row>
    <row r="3" spans="2:8" x14ac:dyDescent="0.3">
      <c r="B3" s="148" t="s">
        <v>732</v>
      </c>
      <c r="C3" s="148"/>
    </row>
    <row r="4" spans="2:8" x14ac:dyDescent="0.3">
      <c r="B4" s="148" t="s">
        <v>733</v>
      </c>
      <c r="C4" s="148"/>
    </row>
    <row r="5" spans="2:8" x14ac:dyDescent="0.3">
      <c r="B5" s="167"/>
      <c r="C5" s="167"/>
      <c r="D5" s="168"/>
    </row>
    <row r="6" spans="2:8" ht="21" customHeight="1" x14ac:dyDescent="0.4">
      <c r="B6" s="791" t="s">
        <v>734</v>
      </c>
      <c r="C6" s="792"/>
      <c r="D6" s="792"/>
      <c r="E6" s="792"/>
      <c r="F6" s="793"/>
      <c r="G6" s="793"/>
      <c r="H6" s="792"/>
    </row>
    <row r="7" spans="2:8" ht="21" customHeight="1" x14ac:dyDescent="0.4">
      <c r="B7" s="121"/>
      <c r="C7" s="794" t="s">
        <v>735</v>
      </c>
      <c r="D7" s="795"/>
      <c r="E7" s="795"/>
      <c r="F7" s="795"/>
      <c r="G7" s="187"/>
      <c r="H7" s="695">
        <f ca="1">Datos!I1</f>
        <v>45847.617645949074</v>
      </c>
    </row>
    <row r="8" spans="2:8" ht="14.7" customHeight="1" thickBot="1" x14ac:dyDescent="0.35">
      <c r="H8" s="161"/>
    </row>
    <row r="9" spans="2:8" ht="18.45" customHeight="1" thickBot="1" x14ac:dyDescent="0.4">
      <c r="B9" s="173" t="s">
        <v>588</v>
      </c>
      <c r="C9" s="175"/>
      <c r="D9" s="176"/>
      <c r="E9" s="177"/>
      <c r="F9" s="796" t="s">
        <v>736</v>
      </c>
      <c r="G9" s="788"/>
      <c r="H9" s="789"/>
    </row>
    <row r="10" spans="2:8" ht="15.75" customHeight="1" x14ac:dyDescent="0.3">
      <c r="B10" s="169"/>
      <c r="C10" s="77"/>
      <c r="D10" s="77"/>
      <c r="F10" s="169"/>
      <c r="G10" s="169"/>
      <c r="H10" s="169"/>
    </row>
    <row r="11" spans="2:8" ht="18.45" customHeight="1" thickBot="1" x14ac:dyDescent="0.4">
      <c r="B11" s="178" t="s">
        <v>737</v>
      </c>
      <c r="C11" s="179"/>
      <c r="D11" s="179"/>
      <c r="E11" s="177"/>
      <c r="F11" s="178" t="s">
        <v>738</v>
      </c>
      <c r="G11" s="169"/>
      <c r="H11" s="169"/>
    </row>
    <row r="12" spans="2:8" ht="16.2" customHeight="1" thickTop="1" x14ac:dyDescent="0.3">
      <c r="B12" s="170"/>
      <c r="C12" s="169">
        <v>2024</v>
      </c>
      <c r="D12" s="723">
        <f ca="1">H7</f>
        <v>45847.617645949074</v>
      </c>
      <c r="F12" s="170"/>
      <c r="G12" s="169">
        <v>2024</v>
      </c>
      <c r="H12" s="723">
        <f ca="1">H7</f>
        <v>45847.617645949074</v>
      </c>
    </row>
    <row r="13" spans="2:8" ht="15.75" customHeight="1" x14ac:dyDescent="0.3">
      <c r="B13" s="103" t="s">
        <v>739</v>
      </c>
      <c r="C13" s="251">
        <v>2280165.8386425078</v>
      </c>
      <c r="D13" s="251">
        <f>Vaciado!C2</f>
        <v>5541063.4200000018</v>
      </c>
      <c r="E13" s="103"/>
      <c r="F13" s="181" t="s">
        <v>740</v>
      </c>
      <c r="G13" s="182">
        <v>0</v>
      </c>
      <c r="H13" s="182">
        <f>Vaciado!H5</f>
        <v>0</v>
      </c>
    </row>
    <row r="14" spans="2:8" ht="15.75" customHeight="1" x14ac:dyDescent="0.3">
      <c r="B14" s="103" t="s">
        <v>741</v>
      </c>
      <c r="C14" s="180">
        <v>0</v>
      </c>
      <c r="D14" s="180">
        <f>Vaciado!C10</f>
        <v>1403110</v>
      </c>
      <c r="E14" s="103"/>
      <c r="F14" s="181" t="s">
        <v>742</v>
      </c>
      <c r="G14" s="182">
        <v>1087316.0071934699</v>
      </c>
      <c r="H14" s="182">
        <f>Vaciado!H11</f>
        <v>1594858.4499999997</v>
      </c>
    </row>
    <row r="15" spans="2:8" ht="15.75" customHeight="1" x14ac:dyDescent="0.3">
      <c r="B15" s="103" t="s">
        <v>743</v>
      </c>
      <c r="C15" s="180">
        <v>6718491</v>
      </c>
      <c r="D15" s="180">
        <f>Vaciado!C11</f>
        <v>0</v>
      </c>
      <c r="E15" s="103"/>
      <c r="F15" s="181" t="s">
        <v>744</v>
      </c>
      <c r="G15" s="182">
        <v>85083</v>
      </c>
      <c r="H15" s="182">
        <f>Vaciado!H14</f>
        <v>2066302</v>
      </c>
    </row>
    <row r="16" spans="2:8" ht="15.75" customHeight="1" x14ac:dyDescent="0.3">
      <c r="B16" s="103" t="s">
        <v>745</v>
      </c>
      <c r="C16" s="180">
        <v>0</v>
      </c>
      <c r="D16" s="180">
        <f>Vaciado!C20</f>
        <v>0</v>
      </c>
      <c r="E16" s="103"/>
      <c r="F16" s="181" t="s">
        <v>746</v>
      </c>
      <c r="G16" s="182">
        <v>0</v>
      </c>
      <c r="H16" s="182">
        <f>Vaciado!H12</f>
        <v>0</v>
      </c>
    </row>
    <row r="17" spans="2:8" ht="15.75" customHeight="1" x14ac:dyDescent="0.3">
      <c r="B17" s="103" t="s">
        <v>747</v>
      </c>
      <c r="C17" s="180">
        <v>8650020</v>
      </c>
      <c r="D17" s="180">
        <f>Vaciado!C22</f>
        <v>16963182</v>
      </c>
      <c r="E17" s="103"/>
      <c r="F17" s="181"/>
      <c r="G17" s="182"/>
      <c r="H17" s="182"/>
    </row>
    <row r="18" spans="2:8" ht="15.75" customHeight="1" x14ac:dyDescent="0.3">
      <c r="B18" s="103" t="s">
        <v>748</v>
      </c>
      <c r="C18" s="180">
        <v>0</v>
      </c>
      <c r="D18" s="180">
        <f>Vaciado!C24</f>
        <v>0</v>
      </c>
      <c r="E18" s="103"/>
      <c r="F18" s="181"/>
      <c r="G18" s="103"/>
      <c r="H18" s="103"/>
    </row>
    <row r="19" spans="2:8" ht="15.75" customHeight="1" x14ac:dyDescent="0.3">
      <c r="B19" s="103" t="s">
        <v>749</v>
      </c>
      <c r="C19" s="180">
        <v>1269297.017</v>
      </c>
      <c r="D19" s="180">
        <f>Vaciado!C25</f>
        <v>2402475</v>
      </c>
      <c r="E19" s="103"/>
      <c r="F19" s="181"/>
      <c r="G19" s="103"/>
      <c r="H19" s="103"/>
    </row>
    <row r="20" spans="2:8" ht="15.75" customHeight="1" x14ac:dyDescent="0.3">
      <c r="B20" s="103" t="s">
        <v>750</v>
      </c>
      <c r="C20" s="180">
        <v>11339602</v>
      </c>
      <c r="D20" s="180">
        <f>Vaciado!C26</f>
        <v>-477784</v>
      </c>
      <c r="E20" s="103"/>
      <c r="F20" s="181"/>
      <c r="G20" s="103"/>
      <c r="H20" s="103"/>
    </row>
    <row r="21" spans="2:8" ht="15.75" customHeight="1" x14ac:dyDescent="0.3">
      <c r="B21" s="103" t="s">
        <v>751</v>
      </c>
      <c r="C21" s="180">
        <v>0</v>
      </c>
      <c r="D21" s="180">
        <f>Vaciado!C27</f>
        <v>0</v>
      </c>
      <c r="E21" s="103"/>
      <c r="F21" s="181"/>
      <c r="G21" s="103"/>
      <c r="H21" s="103"/>
    </row>
    <row r="22" spans="2:8" ht="15.75" customHeight="1" x14ac:dyDescent="0.3">
      <c r="B22" s="103"/>
      <c r="C22" s="180"/>
      <c r="D22" s="180"/>
      <c r="E22" s="103"/>
      <c r="F22" s="181"/>
      <c r="G22" s="103"/>
      <c r="H22" s="103"/>
    </row>
    <row r="23" spans="2:8" ht="16.2" customHeight="1" thickBot="1" x14ac:dyDescent="0.35">
      <c r="B23" s="169" t="s">
        <v>752</v>
      </c>
      <c r="C23" s="252">
        <v>30257575.855642509</v>
      </c>
      <c r="D23" s="252">
        <f>SUM(D13:D21)</f>
        <v>25832046.420000002</v>
      </c>
      <c r="E23" s="103"/>
      <c r="F23" s="169" t="s">
        <v>753</v>
      </c>
      <c r="G23" s="218">
        <v>1172399.0071934699</v>
      </c>
      <c r="H23" s="218">
        <f>SUM(H13:H22)</f>
        <v>3661160.4499999997</v>
      </c>
    </row>
    <row r="24" spans="2:8" ht="14.7" customHeight="1" thickTop="1" x14ac:dyDescent="0.3">
      <c r="B24" s="148"/>
      <c r="C24" s="98"/>
      <c r="D24" s="98"/>
    </row>
    <row r="25" spans="2:8" x14ac:dyDescent="0.3">
      <c r="B25" s="148"/>
      <c r="C25" s="98"/>
      <c r="D25" s="98"/>
    </row>
    <row r="26" spans="2:8" x14ac:dyDescent="0.3">
      <c r="C26" s="166"/>
      <c r="D26" s="166"/>
    </row>
    <row r="27" spans="2:8" ht="18.45" customHeight="1" thickBot="1" x14ac:dyDescent="0.4">
      <c r="B27" s="178" t="s">
        <v>754</v>
      </c>
      <c r="C27" s="179"/>
      <c r="D27" s="179"/>
      <c r="E27" s="177"/>
      <c r="F27" s="178" t="s">
        <v>755</v>
      </c>
      <c r="G27" s="169"/>
      <c r="H27" s="169"/>
    </row>
    <row r="28" spans="2:8" ht="16.2" customHeight="1" thickTop="1" x14ac:dyDescent="0.3">
      <c r="B28" s="170"/>
      <c r="C28" s="77"/>
      <c r="D28" s="77"/>
      <c r="F28" s="170"/>
      <c r="G28" s="169"/>
      <c r="H28" s="169"/>
    </row>
    <row r="29" spans="2:8" ht="15.75" customHeight="1" x14ac:dyDescent="0.3">
      <c r="B29" t="s">
        <v>756</v>
      </c>
      <c r="C29" s="166"/>
      <c r="D29" s="185">
        <f>Vaciado!C34</f>
        <v>0</v>
      </c>
      <c r="F29" s="78" t="s">
        <v>746</v>
      </c>
      <c r="G29">
        <v>14127158</v>
      </c>
      <c r="H29" s="182">
        <f>Vaciado!H19</f>
        <v>9530402</v>
      </c>
    </row>
    <row r="30" spans="2:8" ht="16.2" customHeight="1" thickBot="1" x14ac:dyDescent="0.35">
      <c r="B30" s="169" t="s">
        <v>757</v>
      </c>
      <c r="C30" s="183"/>
      <c r="D30" s="357">
        <f>D29</f>
        <v>0</v>
      </c>
      <c r="E30" s="103"/>
      <c r="F30" s="169" t="s">
        <v>758</v>
      </c>
      <c r="G30" s="184">
        <v>14127158</v>
      </c>
      <c r="H30" s="414">
        <f>H29</f>
        <v>9530402</v>
      </c>
    </row>
    <row r="31" spans="2:8" x14ac:dyDescent="0.3">
      <c r="C31" s="166"/>
      <c r="D31" s="166"/>
    </row>
    <row r="32" spans="2:8" x14ac:dyDescent="0.3">
      <c r="C32" s="166"/>
      <c r="D32" s="166"/>
    </row>
    <row r="34" spans="2:8" ht="18.45" customHeight="1" thickBot="1" x14ac:dyDescent="0.4">
      <c r="B34" s="178" t="s">
        <v>759</v>
      </c>
      <c r="C34" s="179"/>
      <c r="D34" s="179"/>
      <c r="E34" s="177"/>
      <c r="F34" s="178" t="s">
        <v>760</v>
      </c>
    </row>
    <row r="35" spans="2:8" ht="14.7" customHeight="1" thickTop="1" x14ac:dyDescent="0.3">
      <c r="C35" s="166"/>
      <c r="D35" s="166"/>
    </row>
    <row r="36" spans="2:8" ht="15.75" customHeight="1" x14ac:dyDescent="0.3">
      <c r="B36" s="103"/>
      <c r="C36" s="185"/>
      <c r="D36" s="185"/>
      <c r="E36" s="103"/>
      <c r="F36" s="181" t="s">
        <v>761</v>
      </c>
      <c r="G36" s="182">
        <v>3000000</v>
      </c>
      <c r="H36" s="182">
        <f>Vaciado!H27</f>
        <v>3000000</v>
      </c>
    </row>
    <row r="37" spans="2:8" ht="15.75" customHeight="1" x14ac:dyDescent="0.3">
      <c r="B37" s="103"/>
      <c r="C37" s="185"/>
      <c r="D37" s="185"/>
      <c r="E37" s="103"/>
      <c r="F37" s="181" t="s">
        <v>762</v>
      </c>
      <c r="G37" s="182">
        <v>0</v>
      </c>
      <c r="H37" s="182">
        <f>Vaciado!H30</f>
        <v>0</v>
      </c>
    </row>
    <row r="38" spans="2:8" ht="15.75" customHeight="1" x14ac:dyDescent="0.3">
      <c r="B38" s="103"/>
      <c r="C38" s="185"/>
      <c r="D38" s="185"/>
      <c r="E38" s="103"/>
      <c r="F38" s="181" t="s">
        <v>763</v>
      </c>
      <c r="G38" s="182">
        <v>0</v>
      </c>
      <c r="H38" s="182">
        <f>Vaciado!H33+Vaciado!H35-Vaciado!H36</f>
        <v>7115566</v>
      </c>
    </row>
    <row r="39" spans="2:8" ht="15.75" customHeight="1" x14ac:dyDescent="0.3">
      <c r="B39" s="103"/>
      <c r="C39" s="185"/>
      <c r="D39" s="185"/>
      <c r="E39" s="103"/>
      <c r="F39" s="181" t="s">
        <v>764</v>
      </c>
      <c r="G39" s="182">
        <v>16115567.94189835</v>
      </c>
      <c r="H39" s="182">
        <f>Vaciado!H34</f>
        <v>6681791.2800000012</v>
      </c>
    </row>
    <row r="40" spans="2:8" ht="15.75" customHeight="1" x14ac:dyDescent="0.3">
      <c r="B40" s="103"/>
      <c r="C40" s="185"/>
      <c r="D40" s="185"/>
      <c r="E40" s="103"/>
      <c r="F40" s="181" t="s">
        <v>765</v>
      </c>
      <c r="G40" s="182">
        <v>0</v>
      </c>
      <c r="H40" s="182">
        <f>Vaciado!H37</f>
        <v>0</v>
      </c>
    </row>
    <row r="41" spans="2:8" ht="15.75" customHeight="1" x14ac:dyDescent="0.3">
      <c r="B41" s="103"/>
      <c r="C41" s="185"/>
      <c r="D41" s="185"/>
      <c r="E41" s="103"/>
      <c r="F41" s="181" t="s">
        <v>766</v>
      </c>
      <c r="G41" s="182"/>
      <c r="H41" s="182"/>
    </row>
    <row r="42" spans="2:8" ht="16.2" customHeight="1" thickBot="1" x14ac:dyDescent="0.35">
      <c r="B42" s="169" t="s">
        <v>767</v>
      </c>
      <c r="C42" s="357">
        <v>4157547</v>
      </c>
      <c r="D42" s="183"/>
      <c r="E42" s="103"/>
      <c r="F42" s="169" t="s">
        <v>768</v>
      </c>
      <c r="G42" s="218">
        <v>19115567.94189835</v>
      </c>
      <c r="H42" s="218">
        <f>SUM(H36:H41)</f>
        <v>16797357.280000001</v>
      </c>
    </row>
    <row r="43" spans="2:8" x14ac:dyDescent="0.3">
      <c r="C43" s="166"/>
      <c r="D43" s="166"/>
      <c r="G43" s="152"/>
      <c r="H43" s="152"/>
    </row>
    <row r="44" spans="2:8" x14ac:dyDescent="0.3">
      <c r="C44" s="166"/>
      <c r="D44" s="166"/>
    </row>
    <row r="45" spans="2:8" ht="15.75" customHeight="1" x14ac:dyDescent="0.3">
      <c r="B45" s="261" t="s">
        <v>769</v>
      </c>
      <c r="C45" s="262">
        <f>C23+C30+C42</f>
        <v>34415122.855642512</v>
      </c>
      <c r="D45" s="262">
        <f>D23+D30+D42</f>
        <v>25832046.420000002</v>
      </c>
      <c r="F45" s="261" t="s">
        <v>770</v>
      </c>
      <c r="G45" s="263">
        <v>34415124.949091822</v>
      </c>
      <c r="H45" s="264">
        <f>H23+H30+H42</f>
        <v>29988919.73</v>
      </c>
    </row>
    <row r="46" spans="2:8" x14ac:dyDescent="0.3">
      <c r="D46" s="166"/>
    </row>
    <row r="47" spans="2:8" x14ac:dyDescent="0.3">
      <c r="D47" s="166"/>
    </row>
    <row r="48" spans="2:8" x14ac:dyDescent="0.3">
      <c r="D48" s="166"/>
    </row>
    <row r="49" spans="2:8" ht="14.7" customHeight="1" thickBot="1" x14ac:dyDescent="0.35"/>
    <row r="50" spans="2:8" ht="18.45" customHeight="1" thickBot="1" x14ac:dyDescent="0.4">
      <c r="B50" s="796" t="s">
        <v>771</v>
      </c>
      <c r="C50" s="788"/>
      <c r="D50" s="788"/>
      <c r="E50" s="788"/>
      <c r="F50" s="788"/>
      <c r="G50" s="788"/>
      <c r="H50" s="789"/>
    </row>
    <row r="51" spans="2:8" x14ac:dyDescent="0.3">
      <c r="G51" s="171"/>
    </row>
    <row r="52" spans="2:8" ht="15.75" customHeight="1" x14ac:dyDescent="0.3">
      <c r="D52" s="169">
        <v>2024</v>
      </c>
      <c r="G52" s="723">
        <f ca="1">H7</f>
        <v>45847.617645949074</v>
      </c>
    </row>
    <row r="53" spans="2:8" ht="15.75" customHeight="1" x14ac:dyDescent="0.3">
      <c r="B53" s="103" t="s">
        <v>694</v>
      </c>
      <c r="C53" s="103"/>
      <c r="D53" s="722">
        <v>62026007.237998337</v>
      </c>
      <c r="E53" s="720">
        <f>D53/$D$53</f>
        <v>1</v>
      </c>
      <c r="G53" s="722">
        <f>Vaciado!L2</f>
        <v>34196531</v>
      </c>
      <c r="H53" s="720">
        <f>G53/$G$53</f>
        <v>1</v>
      </c>
    </row>
    <row r="54" spans="2:8" ht="15.75" customHeight="1" x14ac:dyDescent="0.3">
      <c r="B54" s="103" t="s">
        <v>772</v>
      </c>
      <c r="C54" s="103"/>
      <c r="D54" s="180">
        <v>15190389</v>
      </c>
      <c r="E54" s="720">
        <f>D54/$D$53</f>
        <v>0.24490354411679868</v>
      </c>
      <c r="G54" s="180">
        <f>Vaciado!L3</f>
        <v>6046338</v>
      </c>
      <c r="H54" s="720">
        <f>G54/$G$53</f>
        <v>0.1768114432425909</v>
      </c>
    </row>
    <row r="55" spans="2:8" ht="15.75" customHeight="1" x14ac:dyDescent="0.3">
      <c r="B55" s="103" t="s">
        <v>773</v>
      </c>
      <c r="C55" s="103"/>
      <c r="D55" s="180">
        <v>16975230.296099991</v>
      </c>
      <c r="E55" s="720">
        <f>D55/$D$53</f>
        <v>0.27367923637200742</v>
      </c>
      <c r="G55" s="180">
        <f>Vaciado!L5+Vaciado!L7+Vaciado!L8</f>
        <v>11255205.719999999</v>
      </c>
      <c r="H55" s="720">
        <f>G55/$G$53</f>
        <v>0.32913296731764979</v>
      </c>
    </row>
    <row r="56" spans="2:8" ht="15.75" customHeight="1" x14ac:dyDescent="0.3">
      <c r="B56" s="103" t="s">
        <v>774</v>
      </c>
      <c r="C56" s="103"/>
      <c r="D56" s="180">
        <v>8892528</v>
      </c>
      <c r="E56" s="720">
        <f>D56/$D$53</f>
        <v>0.14336773227847341</v>
      </c>
      <c r="G56" s="180">
        <f>Vaciado!L6</f>
        <v>4420760</v>
      </c>
      <c r="H56" s="720">
        <f>G56/$G$53</f>
        <v>0.12927510103290887</v>
      </c>
    </row>
    <row r="57" spans="2:8" ht="15.75" customHeight="1" x14ac:dyDescent="0.3">
      <c r="B57" s="103" t="s">
        <v>775</v>
      </c>
      <c r="C57" s="103"/>
      <c r="D57" s="180">
        <v>2831790</v>
      </c>
      <c r="E57" s="720">
        <f>D57/$D$53</f>
        <v>4.5654881332828891E-2</v>
      </c>
      <c r="G57" s="180">
        <f>Vaciado!L9</f>
        <v>5792436</v>
      </c>
      <c r="H57" s="720">
        <f>G57/$G$53</f>
        <v>0.16938665503819672</v>
      </c>
    </row>
    <row r="58" spans="2:8" ht="15.75" customHeight="1" x14ac:dyDescent="0.3">
      <c r="B58" s="103" t="s">
        <v>776</v>
      </c>
      <c r="C58" s="103"/>
      <c r="D58" s="180">
        <v>0</v>
      </c>
      <c r="G58" s="180">
        <f>Vaciado!L12</f>
        <v>0</v>
      </c>
    </row>
    <row r="59" spans="2:8" ht="15.75" customHeight="1" x14ac:dyDescent="0.3">
      <c r="B59" s="103" t="s">
        <v>777</v>
      </c>
      <c r="C59" s="103"/>
      <c r="D59" s="180">
        <v>0</v>
      </c>
      <c r="G59" s="180">
        <f>balance!R154</f>
        <v>0</v>
      </c>
    </row>
    <row r="60" spans="2:8" ht="15.75" customHeight="1" x14ac:dyDescent="0.3">
      <c r="B60" s="103" t="s">
        <v>778</v>
      </c>
      <c r="C60" s="103"/>
      <c r="D60" s="180">
        <v>0</v>
      </c>
      <c r="G60" s="180">
        <f>Vaciado!L19</f>
        <v>0</v>
      </c>
    </row>
    <row r="61" spans="2:8" ht="16.2" customHeight="1" thickBot="1" x14ac:dyDescent="0.35">
      <c r="B61" s="103" t="s">
        <v>779</v>
      </c>
      <c r="C61" s="103"/>
      <c r="D61" s="250">
        <v>18136069.94189835</v>
      </c>
      <c r="E61" s="721">
        <f>D61/$D$53</f>
        <v>0.29239460589989164</v>
      </c>
      <c r="F61" s="443"/>
      <c r="G61" s="250">
        <f>G53-G54-G55-G57-G58-G60-G56+G59</f>
        <v>6681791.2800000012</v>
      </c>
      <c r="H61" s="721">
        <f>G61/$G$53</f>
        <v>0.19539383336865371</v>
      </c>
    </row>
    <row r="62" spans="2:8" ht="14.7" customHeight="1" thickTop="1" x14ac:dyDescent="0.3"/>
    <row r="63" spans="2:8" x14ac:dyDescent="0.3">
      <c r="B63" s="102"/>
      <c r="C63" s="102"/>
      <c r="D63" s="102"/>
      <c r="E63" s="102"/>
      <c r="F63" s="174"/>
      <c r="G63" s="174"/>
      <c r="H63" s="102"/>
    </row>
    <row r="69" spans="2:6" ht="14.7" customHeight="1" thickBot="1" x14ac:dyDescent="0.35">
      <c r="B69" s="104"/>
      <c r="F69" s="165"/>
    </row>
    <row r="70" spans="2:6" x14ac:dyDescent="0.3">
      <c r="B70" s="77" t="s">
        <v>780</v>
      </c>
      <c r="F70" s="77" t="s">
        <v>781</v>
      </c>
    </row>
  </sheetData>
  <mergeCells count="4">
    <mergeCell ref="B6:H6"/>
    <mergeCell ref="C7:F7"/>
    <mergeCell ref="B50:H50"/>
    <mergeCell ref="F9:H9"/>
  </mergeCells>
  <conditionalFormatting sqref="G61">
    <cfRule type="cellIs" dxfId="38" priority="5" operator="lessThan">
      <formula>0</formula>
    </cfRule>
  </conditionalFormatting>
  <conditionalFormatting sqref="C13 C14:D41 C43:D44 D42 D45">
    <cfRule type="cellIs" dxfId="37" priority="4" operator="lessThan">
      <formula>0</formula>
    </cfRule>
  </conditionalFormatting>
  <conditionalFormatting sqref="G14:H35 G42:H45">
    <cfRule type="cellIs" dxfId="36" priority="3" operator="lessThan">
      <formula>0</formula>
    </cfRule>
  </conditionalFormatting>
  <conditionalFormatting sqref="C45">
    <cfRule type="cellIs" dxfId="35" priority="2" operator="lessThan">
      <formula>0</formula>
    </cfRule>
  </conditionalFormatting>
  <conditionalFormatting sqref="C42">
    <cfRule type="cellIs" dxfId="34" priority="1" operator="lessThan">
      <formula>0</formula>
    </cfRule>
  </conditionalFormatting>
  <printOptions horizontalCentered="1" verticalCentered="1"/>
  <pageMargins left="0.23622047244094491" right="0.23622047244094491" top="0.74803149606299213" bottom="0.74803149606299213" header="0.31496062992125978" footer="0.31496062992125978"/>
  <pageSetup scale="62" orientation="portrait" horizontalDpi="4294967293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B2:K174"/>
  <sheetViews>
    <sheetView showGridLines="0" workbookViewId="0">
      <selection activeCell="B11" sqref="B11:K174"/>
    </sheetView>
  </sheetViews>
  <sheetFormatPr baseColWidth="10" defaultRowHeight="14.4" x14ac:dyDescent="0.3"/>
  <cols>
    <col min="1" max="1" width="5.6640625" customWidth="1"/>
    <col min="3" max="3" width="54.6640625" bestFit="1" customWidth="1"/>
    <col min="4" max="4" width="12.33203125" style="98" customWidth="1"/>
    <col min="5" max="5" width="12.6640625" style="98" bestFit="1" customWidth="1"/>
    <col min="6" max="6" width="12.88671875" style="98" bestFit="1" customWidth="1"/>
    <col min="7" max="7" width="14.33203125" style="98" bestFit="1" customWidth="1"/>
    <col min="8" max="11" width="12.44140625" style="98" bestFit="1" customWidth="1"/>
  </cols>
  <sheetData>
    <row r="2" spans="2:11" ht="15.75" customHeight="1" x14ac:dyDescent="0.3">
      <c r="B2" s="118" t="s">
        <v>782</v>
      </c>
      <c r="C2" s="118" t="s">
        <v>783</v>
      </c>
      <c r="D2" s="101"/>
      <c r="E2" s="101"/>
      <c r="F2" s="101"/>
      <c r="G2" s="101"/>
      <c r="H2" s="101"/>
      <c r="I2" s="101"/>
      <c r="J2" s="101"/>
      <c r="K2" s="101"/>
    </row>
    <row r="3" spans="2:11" ht="15.75" customHeight="1" x14ac:dyDescent="0.3">
      <c r="B3" s="118" t="s">
        <v>784</v>
      </c>
      <c r="C3" s="118" t="s">
        <v>785</v>
      </c>
      <c r="D3" s="101"/>
      <c r="E3" s="101"/>
      <c r="F3" s="101"/>
      <c r="G3" s="101"/>
      <c r="H3" s="101"/>
      <c r="I3" s="101"/>
      <c r="J3" s="101"/>
      <c r="K3" s="101"/>
    </row>
    <row r="4" spans="2:11" ht="15.75" customHeight="1" x14ac:dyDescent="0.3">
      <c r="B4" s="118" t="s">
        <v>786</v>
      </c>
      <c r="C4" s="118" t="s">
        <v>787</v>
      </c>
      <c r="D4" s="101"/>
      <c r="E4" s="101"/>
      <c r="F4" s="101"/>
      <c r="G4" s="101"/>
      <c r="H4" s="101"/>
      <c r="I4" s="101"/>
      <c r="J4" s="101"/>
      <c r="K4" s="101"/>
    </row>
    <row r="5" spans="2:11" ht="15.75" customHeight="1" x14ac:dyDescent="0.3">
      <c r="B5" s="118" t="s">
        <v>788</v>
      </c>
      <c r="C5" s="118"/>
      <c r="D5" s="101"/>
      <c r="E5" s="101"/>
      <c r="F5" s="101"/>
      <c r="G5" s="101"/>
      <c r="H5" s="101"/>
      <c r="I5" s="101"/>
      <c r="J5" s="101"/>
      <c r="K5" s="101"/>
    </row>
    <row r="6" spans="2:11" ht="15.75" customHeight="1" x14ac:dyDescent="0.3">
      <c r="B6" s="800" t="s">
        <v>789</v>
      </c>
      <c r="C6" s="792"/>
      <c r="D6" s="798"/>
      <c r="E6" s="798"/>
      <c r="F6" s="798"/>
      <c r="G6" s="798"/>
      <c r="H6" s="798"/>
      <c r="I6" s="798"/>
      <c r="J6" s="798"/>
      <c r="K6" s="798"/>
    </row>
    <row r="7" spans="2:11" x14ac:dyDescent="0.3">
      <c r="B7" s="799" t="s">
        <v>790</v>
      </c>
      <c r="C7" s="792"/>
      <c r="D7" s="798"/>
      <c r="E7" s="798"/>
      <c r="F7" s="798"/>
      <c r="G7" s="798"/>
      <c r="H7" s="798"/>
      <c r="I7" s="798"/>
      <c r="J7" s="798"/>
      <c r="K7" s="798"/>
    </row>
    <row r="8" spans="2:11" ht="14.7" customHeight="1" thickBot="1" x14ac:dyDescent="0.35">
      <c r="C8" s="202"/>
    </row>
    <row r="9" spans="2:11" x14ac:dyDescent="0.3">
      <c r="B9" s="801" t="s">
        <v>791</v>
      </c>
      <c r="C9" s="802"/>
      <c r="D9" s="803" t="s">
        <v>681</v>
      </c>
      <c r="E9" s="802"/>
      <c r="F9" s="803" t="s">
        <v>792</v>
      </c>
      <c r="G9" s="802"/>
      <c r="H9" s="803" t="s">
        <v>793</v>
      </c>
      <c r="I9" s="802"/>
      <c r="J9" s="804" t="s">
        <v>794</v>
      </c>
      <c r="K9" s="805"/>
    </row>
    <row r="10" spans="2:11" ht="14.7" customHeight="1" thickBot="1" x14ac:dyDescent="0.35">
      <c r="B10" s="203" t="s">
        <v>2</v>
      </c>
      <c r="C10" s="204" t="s">
        <v>795</v>
      </c>
      <c r="D10" s="205" t="s">
        <v>4</v>
      </c>
      <c r="E10" s="205" t="s">
        <v>5</v>
      </c>
      <c r="F10" s="205" t="s">
        <v>6</v>
      </c>
      <c r="G10" s="206" t="s">
        <v>7</v>
      </c>
      <c r="H10" s="205" t="s">
        <v>8</v>
      </c>
      <c r="I10" s="205" t="s">
        <v>9</v>
      </c>
      <c r="J10" s="205" t="s">
        <v>10</v>
      </c>
      <c r="K10" s="207" t="s">
        <v>11</v>
      </c>
    </row>
    <row r="11" spans="2:11" x14ac:dyDescent="0.3">
      <c r="B11" t="s">
        <v>14</v>
      </c>
      <c r="C11" s="148" t="s">
        <v>15</v>
      </c>
    </row>
    <row r="12" spans="2:11" x14ac:dyDescent="0.3">
      <c r="B12" t="s">
        <v>17</v>
      </c>
      <c r="C12" t="s">
        <v>18</v>
      </c>
      <c r="J12" s="98">
        <f>SUM(J13:J60)</f>
        <v>0</v>
      </c>
      <c r="K12" s="98">
        <f>SUM(K13:K60)</f>
        <v>0</v>
      </c>
    </row>
    <row r="13" spans="2:11" x14ac:dyDescent="0.3">
      <c r="B13" t="s">
        <v>20</v>
      </c>
      <c r="C13" t="s">
        <v>21</v>
      </c>
      <c r="D13" s="98">
        <v>56057619</v>
      </c>
      <c r="E13" s="98">
        <v>55540104.22575853</v>
      </c>
      <c r="F13" s="98">
        <f t="shared" ref="F13:F44" si="0">IF(D13&gt;E13,D13-E13,0)</f>
        <v>517514.7742414698</v>
      </c>
      <c r="G13" s="98">
        <f t="shared" ref="G13:G27" si="1">IF(E13&gt;D13,E13-D13,0)</f>
        <v>0</v>
      </c>
      <c r="H13" s="98">
        <f t="shared" ref="H13:H27" si="2">F13</f>
        <v>517514.7742414698</v>
      </c>
      <c r="I13" s="98">
        <f t="shared" ref="I13:I27" si="3">G13</f>
        <v>0</v>
      </c>
    </row>
    <row r="14" spans="2:11" x14ac:dyDescent="0.3">
      <c r="B14" t="s">
        <v>24</v>
      </c>
      <c r="C14" t="s">
        <v>25</v>
      </c>
      <c r="F14" s="98">
        <f t="shared" si="0"/>
        <v>0</v>
      </c>
      <c r="G14" s="98">
        <f t="shared" si="1"/>
        <v>0</v>
      </c>
      <c r="H14" s="98">
        <f t="shared" si="2"/>
        <v>0</v>
      </c>
      <c r="I14" s="98">
        <f t="shared" si="3"/>
        <v>0</v>
      </c>
    </row>
    <row r="15" spans="2:11" x14ac:dyDescent="0.3">
      <c r="B15" t="s">
        <v>28</v>
      </c>
      <c r="C15" t="s">
        <v>29</v>
      </c>
      <c r="F15" s="98">
        <f t="shared" si="0"/>
        <v>0</v>
      </c>
      <c r="G15" s="98">
        <f t="shared" si="1"/>
        <v>0</v>
      </c>
      <c r="H15" s="98">
        <f t="shared" si="2"/>
        <v>0</v>
      </c>
      <c r="I15" s="98">
        <f t="shared" si="3"/>
        <v>0</v>
      </c>
    </row>
    <row r="16" spans="2:11" x14ac:dyDescent="0.3">
      <c r="B16" t="s">
        <v>32</v>
      </c>
      <c r="C16" t="s">
        <v>33</v>
      </c>
      <c r="F16" s="98">
        <f t="shared" si="0"/>
        <v>0</v>
      </c>
      <c r="G16" s="98">
        <f t="shared" si="1"/>
        <v>0</v>
      </c>
      <c r="H16" s="98">
        <f t="shared" si="2"/>
        <v>0</v>
      </c>
      <c r="I16" s="98">
        <f t="shared" si="3"/>
        <v>0</v>
      </c>
    </row>
    <row r="17" spans="2:9" x14ac:dyDescent="0.3">
      <c r="B17" t="s">
        <v>36</v>
      </c>
      <c r="C17" t="s">
        <v>37</v>
      </c>
      <c r="F17" s="98">
        <f t="shared" si="0"/>
        <v>0</v>
      </c>
      <c r="G17" s="98">
        <f t="shared" si="1"/>
        <v>0</v>
      </c>
      <c r="H17" s="98">
        <f t="shared" si="2"/>
        <v>0</v>
      </c>
      <c r="I17" s="98">
        <f t="shared" si="3"/>
        <v>0</v>
      </c>
    </row>
    <row r="18" spans="2:9" x14ac:dyDescent="0.3">
      <c r="B18" t="s">
        <v>39</v>
      </c>
      <c r="C18" t="s">
        <v>40</v>
      </c>
      <c r="D18" s="98">
        <v>6718491</v>
      </c>
      <c r="E18" s="98">
        <v>6718491</v>
      </c>
      <c r="F18" s="98">
        <f t="shared" si="0"/>
        <v>0</v>
      </c>
      <c r="G18" s="98">
        <f t="shared" si="1"/>
        <v>0</v>
      </c>
      <c r="H18" s="98">
        <f t="shared" si="2"/>
        <v>0</v>
      </c>
      <c r="I18" s="98">
        <f t="shared" si="3"/>
        <v>0</v>
      </c>
    </row>
    <row r="19" spans="2:9" x14ac:dyDescent="0.3">
      <c r="B19" t="s">
        <v>43</v>
      </c>
      <c r="C19" t="s">
        <v>44</v>
      </c>
      <c r="F19" s="98">
        <f t="shared" si="0"/>
        <v>0</v>
      </c>
      <c r="G19" s="98">
        <f t="shared" si="1"/>
        <v>0</v>
      </c>
      <c r="H19" s="98">
        <f t="shared" si="2"/>
        <v>0</v>
      </c>
      <c r="I19" s="98">
        <f t="shared" si="3"/>
        <v>0</v>
      </c>
    </row>
    <row r="20" spans="2:9" x14ac:dyDescent="0.3">
      <c r="B20" t="s">
        <v>46</v>
      </c>
      <c r="C20" t="s">
        <v>40</v>
      </c>
      <c r="D20" s="98">
        <v>7703260</v>
      </c>
      <c r="E20" s="98">
        <v>7703260</v>
      </c>
      <c r="F20" s="98">
        <f t="shared" si="0"/>
        <v>0</v>
      </c>
      <c r="G20" s="98">
        <f t="shared" si="1"/>
        <v>0</v>
      </c>
      <c r="H20" s="98">
        <f t="shared" si="2"/>
        <v>0</v>
      </c>
      <c r="I20" s="98">
        <f t="shared" si="3"/>
        <v>0</v>
      </c>
    </row>
    <row r="21" spans="2:9" x14ac:dyDescent="0.3">
      <c r="B21" t="s">
        <v>48</v>
      </c>
      <c r="C21" t="s">
        <v>796</v>
      </c>
      <c r="D21" s="98">
        <v>1689510</v>
      </c>
      <c r="F21" s="98">
        <f t="shared" si="0"/>
        <v>1689510</v>
      </c>
      <c r="G21" s="98">
        <f t="shared" si="1"/>
        <v>0</v>
      </c>
      <c r="H21" s="98">
        <f t="shared" si="2"/>
        <v>1689510</v>
      </c>
      <c r="I21" s="98">
        <f t="shared" si="3"/>
        <v>0</v>
      </c>
    </row>
    <row r="22" spans="2:9" x14ac:dyDescent="0.3">
      <c r="B22" t="s">
        <v>52</v>
      </c>
      <c r="C22" t="s">
        <v>53</v>
      </c>
      <c r="F22" s="98">
        <f t="shared" si="0"/>
        <v>0</v>
      </c>
      <c r="G22" s="98">
        <f t="shared" si="1"/>
        <v>0</v>
      </c>
      <c r="H22" s="98">
        <f t="shared" si="2"/>
        <v>0</v>
      </c>
      <c r="I22" s="98">
        <f t="shared" si="3"/>
        <v>0</v>
      </c>
    </row>
    <row r="23" spans="2:9" x14ac:dyDescent="0.3">
      <c r="B23" t="s">
        <v>56</v>
      </c>
      <c r="C23" t="s">
        <v>57</v>
      </c>
      <c r="F23" s="98">
        <f t="shared" si="0"/>
        <v>0</v>
      </c>
      <c r="G23" s="98">
        <f t="shared" si="1"/>
        <v>0</v>
      </c>
      <c r="H23" s="98">
        <f t="shared" si="2"/>
        <v>0</v>
      </c>
      <c r="I23" s="98">
        <f t="shared" si="3"/>
        <v>0</v>
      </c>
    </row>
    <row r="24" spans="2:9" x14ac:dyDescent="0.3">
      <c r="B24" t="s">
        <v>62</v>
      </c>
      <c r="C24" t="s">
        <v>63</v>
      </c>
      <c r="D24" s="98">
        <v>23009520</v>
      </c>
      <c r="E24" s="98">
        <v>3843575</v>
      </c>
      <c r="F24" s="98">
        <f t="shared" si="0"/>
        <v>19165945</v>
      </c>
      <c r="G24" s="98">
        <f t="shared" si="1"/>
        <v>0</v>
      </c>
      <c r="H24" s="98">
        <f t="shared" si="2"/>
        <v>19165945</v>
      </c>
      <c r="I24" s="98">
        <f t="shared" si="3"/>
        <v>0</v>
      </c>
    </row>
    <row r="25" spans="2:9" x14ac:dyDescent="0.3">
      <c r="B25" t="s">
        <v>66</v>
      </c>
      <c r="C25" t="s">
        <v>67</v>
      </c>
      <c r="F25" s="98">
        <f t="shared" si="0"/>
        <v>0</v>
      </c>
      <c r="G25" s="98">
        <f t="shared" si="1"/>
        <v>0</v>
      </c>
      <c r="H25" s="98">
        <f t="shared" si="2"/>
        <v>0</v>
      </c>
      <c r="I25" s="98">
        <f t="shared" si="3"/>
        <v>0</v>
      </c>
    </row>
    <row r="26" spans="2:9" x14ac:dyDescent="0.3">
      <c r="B26" t="s">
        <v>71</v>
      </c>
      <c r="C26" t="s">
        <v>72</v>
      </c>
      <c r="F26" s="98">
        <f t="shared" si="0"/>
        <v>0</v>
      </c>
      <c r="G26" s="98">
        <f t="shared" si="1"/>
        <v>0</v>
      </c>
      <c r="H26" s="98">
        <f t="shared" si="2"/>
        <v>0</v>
      </c>
      <c r="I26" s="98">
        <f t="shared" si="3"/>
        <v>0</v>
      </c>
    </row>
    <row r="27" spans="2:9" x14ac:dyDescent="0.3">
      <c r="B27" t="s">
        <v>75</v>
      </c>
      <c r="C27" t="s">
        <v>76</v>
      </c>
      <c r="D27" s="98">
        <v>4338271</v>
      </c>
      <c r="E27" s="98">
        <v>2012779</v>
      </c>
      <c r="F27" s="98">
        <f t="shared" si="0"/>
        <v>2325492</v>
      </c>
      <c r="G27" s="98">
        <f t="shared" si="1"/>
        <v>0</v>
      </c>
      <c r="H27" s="98">
        <f t="shared" si="2"/>
        <v>2325492</v>
      </c>
      <c r="I27" s="98">
        <f t="shared" si="3"/>
        <v>0</v>
      </c>
    </row>
    <row r="28" spans="2:9" x14ac:dyDescent="0.3">
      <c r="B28" t="s">
        <v>78</v>
      </c>
      <c r="C28" t="s">
        <v>79</v>
      </c>
      <c r="D28" s="98">
        <v>11339602</v>
      </c>
      <c r="E28" s="98">
        <v>11339602</v>
      </c>
      <c r="F28" s="98">
        <f t="shared" si="0"/>
        <v>0</v>
      </c>
      <c r="H28" s="98">
        <f t="shared" ref="H28:H60" si="4">F28</f>
        <v>0</v>
      </c>
    </row>
    <row r="29" spans="2:9" x14ac:dyDescent="0.3">
      <c r="B29" t="s">
        <v>82</v>
      </c>
      <c r="C29" t="s">
        <v>83</v>
      </c>
      <c r="F29" s="98">
        <f t="shared" si="0"/>
        <v>0</v>
      </c>
      <c r="G29" s="98">
        <f t="shared" ref="G29:G60" si="5">IF(E29&gt;D29,E29-D29,0)</f>
        <v>0</v>
      </c>
      <c r="H29" s="98">
        <f t="shared" si="4"/>
        <v>0</v>
      </c>
      <c r="I29" s="98">
        <f t="shared" ref="I29:I38" si="6">G29</f>
        <v>0</v>
      </c>
    </row>
    <row r="30" spans="2:9" x14ac:dyDescent="0.3">
      <c r="B30" t="s">
        <v>86</v>
      </c>
      <c r="C30" t="s">
        <v>87</v>
      </c>
      <c r="F30" s="98">
        <f t="shared" si="0"/>
        <v>0</v>
      </c>
      <c r="G30" s="98">
        <f t="shared" si="5"/>
        <v>0</v>
      </c>
      <c r="H30" s="98">
        <f t="shared" si="4"/>
        <v>0</v>
      </c>
      <c r="I30" s="98">
        <f t="shared" si="6"/>
        <v>0</v>
      </c>
    </row>
    <row r="31" spans="2:9" x14ac:dyDescent="0.3">
      <c r="B31" t="s">
        <v>90</v>
      </c>
      <c r="C31" t="s">
        <v>91</v>
      </c>
      <c r="F31" s="98">
        <f t="shared" si="0"/>
        <v>0</v>
      </c>
      <c r="G31" s="98">
        <f t="shared" si="5"/>
        <v>0</v>
      </c>
      <c r="H31" s="98">
        <f t="shared" si="4"/>
        <v>0</v>
      </c>
      <c r="I31" s="98">
        <f t="shared" si="6"/>
        <v>0</v>
      </c>
    </row>
    <row r="32" spans="2:9" x14ac:dyDescent="0.3">
      <c r="B32" t="s">
        <v>94</v>
      </c>
      <c r="C32" t="s">
        <v>87</v>
      </c>
      <c r="F32" s="98">
        <f t="shared" si="0"/>
        <v>0</v>
      </c>
      <c r="G32" s="98">
        <f t="shared" si="5"/>
        <v>0</v>
      </c>
      <c r="H32" s="98">
        <f t="shared" si="4"/>
        <v>0</v>
      </c>
      <c r="I32" s="98">
        <f t="shared" si="6"/>
        <v>0</v>
      </c>
    </row>
    <row r="33" spans="2:9" x14ac:dyDescent="0.3">
      <c r="B33" t="s">
        <v>96</v>
      </c>
      <c r="C33" t="s">
        <v>87</v>
      </c>
      <c r="F33" s="98">
        <f t="shared" si="0"/>
        <v>0</v>
      </c>
      <c r="G33" s="98">
        <f t="shared" si="5"/>
        <v>0</v>
      </c>
      <c r="H33" s="98">
        <f t="shared" si="4"/>
        <v>0</v>
      </c>
      <c r="I33" s="98">
        <f t="shared" si="6"/>
        <v>0</v>
      </c>
    </row>
    <row r="34" spans="2:9" x14ac:dyDescent="0.3">
      <c r="B34" t="s">
        <v>98</v>
      </c>
      <c r="C34" t="s">
        <v>87</v>
      </c>
      <c r="F34" s="98">
        <f t="shared" si="0"/>
        <v>0</v>
      </c>
      <c r="G34" s="98">
        <f t="shared" si="5"/>
        <v>0</v>
      </c>
      <c r="H34" s="98">
        <f t="shared" si="4"/>
        <v>0</v>
      </c>
      <c r="I34" s="98">
        <f t="shared" si="6"/>
        <v>0</v>
      </c>
    </row>
    <row r="35" spans="2:9" x14ac:dyDescent="0.3">
      <c r="B35" t="s">
        <v>100</v>
      </c>
      <c r="C35" t="s">
        <v>87</v>
      </c>
      <c r="F35" s="98">
        <f t="shared" si="0"/>
        <v>0</v>
      </c>
      <c r="G35" s="98">
        <f t="shared" si="5"/>
        <v>0</v>
      </c>
      <c r="H35" s="98">
        <f t="shared" si="4"/>
        <v>0</v>
      </c>
      <c r="I35" s="98">
        <f t="shared" si="6"/>
        <v>0</v>
      </c>
    </row>
    <row r="36" spans="2:9" x14ac:dyDescent="0.3">
      <c r="C36" t="s">
        <v>91</v>
      </c>
      <c r="F36" s="98">
        <f t="shared" si="0"/>
        <v>0</v>
      </c>
      <c r="G36" s="98">
        <f t="shared" si="5"/>
        <v>0</v>
      </c>
      <c r="H36" s="98">
        <f t="shared" si="4"/>
        <v>0</v>
      </c>
      <c r="I36" s="98">
        <f t="shared" si="6"/>
        <v>0</v>
      </c>
    </row>
    <row r="37" spans="2:9" x14ac:dyDescent="0.3">
      <c r="B37" t="s">
        <v>103</v>
      </c>
      <c r="C37" t="s">
        <v>104</v>
      </c>
      <c r="F37" s="98">
        <f t="shared" si="0"/>
        <v>0</v>
      </c>
      <c r="G37" s="98">
        <f t="shared" si="5"/>
        <v>0</v>
      </c>
      <c r="H37" s="98">
        <f t="shared" si="4"/>
        <v>0</v>
      </c>
      <c r="I37" s="98">
        <f t="shared" si="6"/>
        <v>0</v>
      </c>
    </row>
    <row r="38" spans="2:9" x14ac:dyDescent="0.3">
      <c r="B38" t="s">
        <v>106</v>
      </c>
      <c r="C38" t="s">
        <v>107</v>
      </c>
      <c r="F38" s="98">
        <f t="shared" si="0"/>
        <v>0</v>
      </c>
      <c r="G38" s="98">
        <f t="shared" si="5"/>
        <v>0</v>
      </c>
      <c r="H38" s="98">
        <f t="shared" si="4"/>
        <v>0</v>
      </c>
      <c r="I38" s="98">
        <f t="shared" si="6"/>
        <v>0</v>
      </c>
    </row>
    <row r="39" spans="2:9" x14ac:dyDescent="0.3">
      <c r="B39" t="s">
        <v>109</v>
      </c>
      <c r="C39" t="s">
        <v>110</v>
      </c>
      <c r="F39" s="98">
        <f t="shared" si="0"/>
        <v>0</v>
      </c>
      <c r="G39" s="98">
        <f t="shared" si="5"/>
        <v>0</v>
      </c>
      <c r="H39" s="98">
        <f t="shared" si="4"/>
        <v>0</v>
      </c>
    </row>
    <row r="40" spans="2:9" x14ac:dyDescent="0.3">
      <c r="B40" t="s">
        <v>112</v>
      </c>
      <c r="C40" t="s">
        <v>113</v>
      </c>
      <c r="F40" s="98">
        <f t="shared" si="0"/>
        <v>0</v>
      </c>
      <c r="G40" s="98">
        <f t="shared" si="5"/>
        <v>0</v>
      </c>
      <c r="H40" s="98">
        <f t="shared" si="4"/>
        <v>0</v>
      </c>
    </row>
    <row r="41" spans="2:9" x14ac:dyDescent="0.3">
      <c r="B41" t="s">
        <v>115</v>
      </c>
      <c r="C41" t="s">
        <v>116</v>
      </c>
      <c r="F41" s="98">
        <f t="shared" si="0"/>
        <v>0</v>
      </c>
      <c r="G41" s="98">
        <f t="shared" si="5"/>
        <v>0</v>
      </c>
      <c r="H41" s="98">
        <f t="shared" si="4"/>
        <v>0</v>
      </c>
    </row>
    <row r="42" spans="2:9" x14ac:dyDescent="0.3">
      <c r="B42" t="s">
        <v>118</v>
      </c>
      <c r="C42" t="s">
        <v>119</v>
      </c>
      <c r="F42" s="98">
        <f t="shared" si="0"/>
        <v>0</v>
      </c>
      <c r="G42" s="98">
        <f t="shared" si="5"/>
        <v>0</v>
      </c>
      <c r="H42" s="98">
        <f t="shared" si="4"/>
        <v>0</v>
      </c>
    </row>
    <row r="43" spans="2:9" x14ac:dyDescent="0.3">
      <c r="B43" t="s">
        <v>121</v>
      </c>
      <c r="C43" t="s">
        <v>122</v>
      </c>
      <c r="F43" s="98">
        <f t="shared" si="0"/>
        <v>0</v>
      </c>
      <c r="G43" s="98">
        <f t="shared" si="5"/>
        <v>0</v>
      </c>
      <c r="H43" s="98">
        <f t="shared" si="4"/>
        <v>0</v>
      </c>
    </row>
    <row r="44" spans="2:9" x14ac:dyDescent="0.3">
      <c r="B44" t="s">
        <v>124</v>
      </c>
      <c r="C44" t="s">
        <v>125</v>
      </c>
      <c r="F44" s="98">
        <f t="shared" si="0"/>
        <v>0</v>
      </c>
      <c r="G44" s="98">
        <f t="shared" si="5"/>
        <v>0</v>
      </c>
      <c r="H44" s="98">
        <f t="shared" si="4"/>
        <v>0</v>
      </c>
    </row>
    <row r="45" spans="2:9" x14ac:dyDescent="0.3">
      <c r="B45" t="s">
        <v>127</v>
      </c>
      <c r="C45" t="s">
        <v>128</v>
      </c>
      <c r="F45" s="98">
        <f t="shared" ref="F45:F76" si="7">IF(D45&gt;E45,D45-E45,0)</f>
        <v>0</v>
      </c>
      <c r="G45" s="98">
        <f t="shared" si="5"/>
        <v>0</v>
      </c>
      <c r="H45" s="98">
        <f t="shared" si="4"/>
        <v>0</v>
      </c>
    </row>
    <row r="46" spans="2:9" x14ac:dyDescent="0.3">
      <c r="B46" t="s">
        <v>130</v>
      </c>
      <c r="C46" t="s">
        <v>131</v>
      </c>
      <c r="F46" s="98">
        <f t="shared" si="7"/>
        <v>0</v>
      </c>
      <c r="G46" s="98">
        <f t="shared" si="5"/>
        <v>0</v>
      </c>
      <c r="H46" s="98">
        <f t="shared" si="4"/>
        <v>0</v>
      </c>
    </row>
    <row r="47" spans="2:9" x14ac:dyDescent="0.3">
      <c r="B47" t="s">
        <v>133</v>
      </c>
      <c r="C47" t="s">
        <v>134</v>
      </c>
      <c r="F47" s="98">
        <f t="shared" si="7"/>
        <v>0</v>
      </c>
      <c r="G47" s="98">
        <f t="shared" si="5"/>
        <v>0</v>
      </c>
      <c r="H47" s="98">
        <f t="shared" si="4"/>
        <v>0</v>
      </c>
      <c r="I47" s="98">
        <f t="shared" ref="I47:I81" si="8">G47</f>
        <v>0</v>
      </c>
    </row>
    <row r="48" spans="2:9" x14ac:dyDescent="0.3">
      <c r="B48" t="s">
        <v>136</v>
      </c>
      <c r="C48" t="s">
        <v>137</v>
      </c>
      <c r="F48" s="98">
        <f t="shared" si="7"/>
        <v>0</v>
      </c>
      <c r="G48" s="98">
        <f t="shared" si="5"/>
        <v>0</v>
      </c>
      <c r="H48" s="98">
        <f t="shared" si="4"/>
        <v>0</v>
      </c>
      <c r="I48" s="98">
        <f t="shared" si="8"/>
        <v>0</v>
      </c>
    </row>
    <row r="49" spans="2:9" x14ac:dyDescent="0.3">
      <c r="B49" t="s">
        <v>138</v>
      </c>
      <c r="C49" t="s">
        <v>139</v>
      </c>
      <c r="D49" s="98">
        <v>3417</v>
      </c>
      <c r="E49" s="98">
        <v>0</v>
      </c>
      <c r="F49" s="98">
        <f t="shared" si="7"/>
        <v>3417</v>
      </c>
      <c r="G49" s="98">
        <f t="shared" si="5"/>
        <v>0</v>
      </c>
      <c r="H49" s="98">
        <f t="shared" si="4"/>
        <v>3417</v>
      </c>
      <c r="I49" s="98">
        <f t="shared" si="8"/>
        <v>0</v>
      </c>
    </row>
    <row r="50" spans="2:9" x14ac:dyDescent="0.3">
      <c r="B50" t="s">
        <v>141</v>
      </c>
      <c r="C50" t="s">
        <v>142</v>
      </c>
      <c r="F50" s="98">
        <f t="shared" si="7"/>
        <v>0</v>
      </c>
      <c r="G50" s="98">
        <f t="shared" si="5"/>
        <v>0</v>
      </c>
      <c r="H50" s="98">
        <f t="shared" si="4"/>
        <v>0</v>
      </c>
      <c r="I50" s="98">
        <f t="shared" si="8"/>
        <v>0</v>
      </c>
    </row>
    <row r="51" spans="2:9" x14ac:dyDescent="0.3">
      <c r="B51" t="s">
        <v>144</v>
      </c>
      <c r="F51" s="98">
        <f t="shared" si="7"/>
        <v>0</v>
      </c>
      <c r="G51" s="98">
        <f t="shared" si="5"/>
        <v>0</v>
      </c>
      <c r="H51" s="98">
        <f t="shared" si="4"/>
        <v>0</v>
      </c>
      <c r="I51" s="98">
        <f t="shared" si="8"/>
        <v>0</v>
      </c>
    </row>
    <row r="52" spans="2:9" x14ac:dyDescent="0.3">
      <c r="B52" t="s">
        <v>146</v>
      </c>
      <c r="F52" s="98">
        <f t="shared" si="7"/>
        <v>0</v>
      </c>
      <c r="G52" s="98">
        <f t="shared" si="5"/>
        <v>0</v>
      </c>
      <c r="H52" s="98">
        <f t="shared" si="4"/>
        <v>0</v>
      </c>
      <c r="I52" s="98">
        <f t="shared" si="8"/>
        <v>0</v>
      </c>
    </row>
    <row r="53" spans="2:9" x14ac:dyDescent="0.3">
      <c r="B53" t="s">
        <v>148</v>
      </c>
      <c r="F53" s="98">
        <f t="shared" si="7"/>
        <v>0</v>
      </c>
      <c r="G53" s="98">
        <f t="shared" si="5"/>
        <v>0</v>
      </c>
      <c r="H53" s="98">
        <f t="shared" si="4"/>
        <v>0</v>
      </c>
      <c r="I53" s="98">
        <f t="shared" si="8"/>
        <v>0</v>
      </c>
    </row>
    <row r="54" spans="2:9" x14ac:dyDescent="0.3">
      <c r="B54" t="s">
        <v>150</v>
      </c>
      <c r="F54" s="98">
        <f t="shared" si="7"/>
        <v>0</v>
      </c>
      <c r="G54" s="98">
        <f t="shared" si="5"/>
        <v>0</v>
      </c>
      <c r="H54" s="98">
        <f t="shared" si="4"/>
        <v>0</v>
      </c>
      <c r="I54" s="98">
        <f t="shared" si="8"/>
        <v>0</v>
      </c>
    </row>
    <row r="55" spans="2:9" x14ac:dyDescent="0.3">
      <c r="B55" t="s">
        <v>152</v>
      </c>
      <c r="F55" s="98">
        <f t="shared" si="7"/>
        <v>0</v>
      </c>
      <c r="G55" s="98">
        <f t="shared" si="5"/>
        <v>0</v>
      </c>
      <c r="H55" s="98">
        <f t="shared" si="4"/>
        <v>0</v>
      </c>
      <c r="I55" s="98">
        <f t="shared" si="8"/>
        <v>0</v>
      </c>
    </row>
    <row r="56" spans="2:9" x14ac:dyDescent="0.3">
      <c r="B56" t="s">
        <v>154</v>
      </c>
      <c r="F56" s="98">
        <f t="shared" si="7"/>
        <v>0</v>
      </c>
      <c r="G56" s="98">
        <f t="shared" si="5"/>
        <v>0</v>
      </c>
      <c r="H56" s="98">
        <f t="shared" si="4"/>
        <v>0</v>
      </c>
      <c r="I56" s="98">
        <f t="shared" si="8"/>
        <v>0</v>
      </c>
    </row>
    <row r="57" spans="2:9" x14ac:dyDescent="0.3">
      <c r="B57" t="s">
        <v>156</v>
      </c>
      <c r="F57" s="98">
        <f t="shared" si="7"/>
        <v>0</v>
      </c>
      <c r="G57" s="98">
        <f t="shared" si="5"/>
        <v>0</v>
      </c>
      <c r="H57" s="98">
        <f t="shared" si="4"/>
        <v>0</v>
      </c>
      <c r="I57" s="98">
        <f t="shared" si="8"/>
        <v>0</v>
      </c>
    </row>
    <row r="58" spans="2:9" x14ac:dyDescent="0.3">
      <c r="B58" t="s">
        <v>158</v>
      </c>
      <c r="F58" s="98">
        <f t="shared" si="7"/>
        <v>0</v>
      </c>
      <c r="G58" s="98">
        <f t="shared" si="5"/>
        <v>0</v>
      </c>
      <c r="H58" s="98">
        <f t="shared" si="4"/>
        <v>0</v>
      </c>
      <c r="I58" s="98">
        <f t="shared" si="8"/>
        <v>0</v>
      </c>
    </row>
    <row r="59" spans="2:9" x14ac:dyDescent="0.3">
      <c r="B59" t="s">
        <v>160</v>
      </c>
      <c r="F59" s="98">
        <f t="shared" si="7"/>
        <v>0</v>
      </c>
      <c r="G59" s="98">
        <f t="shared" si="5"/>
        <v>0</v>
      </c>
      <c r="H59" s="98">
        <f t="shared" si="4"/>
        <v>0</v>
      </c>
      <c r="I59" s="98">
        <f t="shared" si="8"/>
        <v>0</v>
      </c>
    </row>
    <row r="60" spans="2:9" x14ac:dyDescent="0.3">
      <c r="B60" t="s">
        <v>162</v>
      </c>
      <c r="C60" t="s">
        <v>163</v>
      </c>
      <c r="F60" s="98">
        <f t="shared" si="7"/>
        <v>0</v>
      </c>
      <c r="G60" s="98">
        <f t="shared" si="5"/>
        <v>0</v>
      </c>
      <c r="H60" s="98">
        <f t="shared" si="4"/>
        <v>0</v>
      </c>
      <c r="I60" s="98">
        <f t="shared" si="8"/>
        <v>0</v>
      </c>
    </row>
    <row r="61" spans="2:9" x14ac:dyDescent="0.3">
      <c r="B61" t="s">
        <v>164</v>
      </c>
      <c r="C61" t="s">
        <v>165</v>
      </c>
      <c r="F61" s="98">
        <f t="shared" si="7"/>
        <v>0</v>
      </c>
      <c r="G61" s="98">
        <f t="shared" ref="G61:G92" si="9">IF(E61&gt;D61,E61-D61,0)</f>
        <v>0</v>
      </c>
      <c r="I61" s="98">
        <f t="shared" si="8"/>
        <v>0</v>
      </c>
    </row>
    <row r="62" spans="2:9" x14ac:dyDescent="0.3">
      <c r="B62" t="s">
        <v>167</v>
      </c>
      <c r="C62" t="s">
        <v>168</v>
      </c>
      <c r="F62" s="98">
        <f t="shared" si="7"/>
        <v>0</v>
      </c>
      <c r="G62" s="98">
        <f t="shared" si="9"/>
        <v>0</v>
      </c>
      <c r="H62" s="98">
        <f t="shared" ref="H62:H93" si="10">F62</f>
        <v>0</v>
      </c>
      <c r="I62" s="98">
        <f t="shared" si="8"/>
        <v>0</v>
      </c>
    </row>
    <row r="63" spans="2:9" x14ac:dyDescent="0.3">
      <c r="B63" t="s">
        <v>170</v>
      </c>
      <c r="C63" t="s">
        <v>171</v>
      </c>
      <c r="F63" s="98">
        <f t="shared" si="7"/>
        <v>0</v>
      </c>
      <c r="G63" s="98">
        <f t="shared" si="9"/>
        <v>0</v>
      </c>
      <c r="H63" s="98">
        <f t="shared" si="10"/>
        <v>0</v>
      </c>
      <c r="I63" s="98">
        <f t="shared" si="8"/>
        <v>0</v>
      </c>
    </row>
    <row r="64" spans="2:9" x14ac:dyDescent="0.3">
      <c r="B64" t="s">
        <v>173</v>
      </c>
      <c r="C64" t="s">
        <v>174</v>
      </c>
      <c r="F64" s="98">
        <f t="shared" si="7"/>
        <v>0</v>
      </c>
      <c r="G64" s="98">
        <f t="shared" si="9"/>
        <v>0</v>
      </c>
      <c r="H64" s="98">
        <f t="shared" si="10"/>
        <v>0</v>
      </c>
      <c r="I64" s="98">
        <f t="shared" si="8"/>
        <v>0</v>
      </c>
    </row>
    <row r="65" spans="2:9" x14ac:dyDescent="0.3">
      <c r="B65" t="s">
        <v>176</v>
      </c>
      <c r="F65" s="98">
        <f t="shared" si="7"/>
        <v>0</v>
      </c>
      <c r="G65" s="98">
        <f t="shared" si="9"/>
        <v>0</v>
      </c>
      <c r="H65" s="98">
        <f t="shared" si="10"/>
        <v>0</v>
      </c>
      <c r="I65" s="98">
        <f t="shared" si="8"/>
        <v>0</v>
      </c>
    </row>
    <row r="66" spans="2:9" x14ac:dyDescent="0.3">
      <c r="B66" t="s">
        <v>178</v>
      </c>
      <c r="C66" t="s">
        <v>179</v>
      </c>
      <c r="F66" s="98">
        <f t="shared" si="7"/>
        <v>0</v>
      </c>
      <c r="G66" s="98">
        <f t="shared" si="9"/>
        <v>0</v>
      </c>
      <c r="H66" s="98">
        <f t="shared" si="10"/>
        <v>0</v>
      </c>
      <c r="I66" s="98">
        <f t="shared" si="8"/>
        <v>0</v>
      </c>
    </row>
    <row r="67" spans="2:9" x14ac:dyDescent="0.3">
      <c r="B67" t="s">
        <v>181</v>
      </c>
      <c r="C67" t="s">
        <v>182</v>
      </c>
      <c r="F67" s="98">
        <f t="shared" si="7"/>
        <v>0</v>
      </c>
      <c r="G67" s="98">
        <f t="shared" si="9"/>
        <v>0</v>
      </c>
      <c r="H67" s="98">
        <f t="shared" si="10"/>
        <v>0</v>
      </c>
      <c r="I67" s="98">
        <f t="shared" si="8"/>
        <v>0</v>
      </c>
    </row>
    <row r="68" spans="2:9" x14ac:dyDescent="0.3">
      <c r="B68" t="s">
        <v>183</v>
      </c>
      <c r="C68" t="s">
        <v>184</v>
      </c>
      <c r="F68" s="98">
        <f t="shared" si="7"/>
        <v>0</v>
      </c>
      <c r="G68" s="98">
        <f t="shared" si="9"/>
        <v>0</v>
      </c>
      <c r="H68" s="98">
        <f t="shared" si="10"/>
        <v>0</v>
      </c>
      <c r="I68" s="98">
        <f t="shared" si="8"/>
        <v>0</v>
      </c>
    </row>
    <row r="69" spans="2:9" x14ac:dyDescent="0.3">
      <c r="B69" t="s">
        <v>186</v>
      </c>
      <c r="C69" t="s">
        <v>187</v>
      </c>
      <c r="F69" s="98">
        <f t="shared" si="7"/>
        <v>0</v>
      </c>
      <c r="G69" s="98">
        <f t="shared" si="9"/>
        <v>0</v>
      </c>
      <c r="H69" s="98">
        <f t="shared" si="10"/>
        <v>0</v>
      </c>
      <c r="I69" s="98">
        <f t="shared" si="8"/>
        <v>0</v>
      </c>
    </row>
    <row r="70" spans="2:9" x14ac:dyDescent="0.3">
      <c r="B70" t="s">
        <v>189</v>
      </c>
      <c r="C70" t="s">
        <v>190</v>
      </c>
      <c r="F70" s="98">
        <f t="shared" si="7"/>
        <v>0</v>
      </c>
      <c r="G70" s="98">
        <f t="shared" si="9"/>
        <v>0</v>
      </c>
      <c r="H70" s="98">
        <f t="shared" si="10"/>
        <v>0</v>
      </c>
      <c r="I70" s="98">
        <f t="shared" si="8"/>
        <v>0</v>
      </c>
    </row>
    <row r="71" spans="2:9" x14ac:dyDescent="0.3">
      <c r="B71" t="s">
        <v>192</v>
      </c>
      <c r="C71" t="s">
        <v>193</v>
      </c>
      <c r="F71" s="98">
        <f t="shared" si="7"/>
        <v>0</v>
      </c>
      <c r="G71" s="98">
        <f t="shared" si="9"/>
        <v>0</v>
      </c>
      <c r="H71" s="98">
        <f t="shared" si="10"/>
        <v>0</v>
      </c>
      <c r="I71" s="98">
        <f t="shared" si="8"/>
        <v>0</v>
      </c>
    </row>
    <row r="72" spans="2:9" x14ac:dyDescent="0.3">
      <c r="B72" t="s">
        <v>195</v>
      </c>
      <c r="C72" t="s">
        <v>196</v>
      </c>
      <c r="F72" s="98">
        <f t="shared" si="7"/>
        <v>0</v>
      </c>
      <c r="G72" s="98">
        <f t="shared" si="9"/>
        <v>0</v>
      </c>
      <c r="H72" s="98">
        <f t="shared" si="10"/>
        <v>0</v>
      </c>
      <c r="I72" s="98">
        <f t="shared" si="8"/>
        <v>0</v>
      </c>
    </row>
    <row r="73" spans="2:9" x14ac:dyDescent="0.3">
      <c r="B73" t="s">
        <v>198</v>
      </c>
      <c r="C73" t="s">
        <v>199</v>
      </c>
      <c r="F73" s="98">
        <f t="shared" si="7"/>
        <v>0</v>
      </c>
      <c r="G73" s="98">
        <f t="shared" si="9"/>
        <v>0</v>
      </c>
      <c r="H73" s="98">
        <f t="shared" si="10"/>
        <v>0</v>
      </c>
      <c r="I73" s="98">
        <f t="shared" si="8"/>
        <v>0</v>
      </c>
    </row>
    <row r="74" spans="2:9" x14ac:dyDescent="0.3">
      <c r="B74" t="s">
        <v>201</v>
      </c>
      <c r="C74" t="s">
        <v>202</v>
      </c>
      <c r="F74" s="98">
        <f t="shared" si="7"/>
        <v>0</v>
      </c>
      <c r="G74" s="98">
        <f t="shared" si="9"/>
        <v>0</v>
      </c>
      <c r="H74" s="98">
        <f t="shared" si="10"/>
        <v>0</v>
      </c>
      <c r="I74" s="98">
        <f t="shared" si="8"/>
        <v>0</v>
      </c>
    </row>
    <row r="75" spans="2:9" x14ac:dyDescent="0.3">
      <c r="B75" t="s">
        <v>204</v>
      </c>
      <c r="C75" t="s">
        <v>205</v>
      </c>
      <c r="F75" s="98">
        <f t="shared" si="7"/>
        <v>0</v>
      </c>
      <c r="G75" s="98">
        <f t="shared" si="9"/>
        <v>0</v>
      </c>
      <c r="H75" s="98">
        <f t="shared" si="10"/>
        <v>0</v>
      </c>
      <c r="I75" s="98">
        <f t="shared" si="8"/>
        <v>0</v>
      </c>
    </row>
    <row r="76" spans="2:9" x14ac:dyDescent="0.3">
      <c r="B76" t="s">
        <v>207</v>
      </c>
      <c r="C76" t="s">
        <v>208</v>
      </c>
      <c r="F76" s="98">
        <f t="shared" si="7"/>
        <v>0</v>
      </c>
      <c r="G76" s="98">
        <f t="shared" si="9"/>
        <v>0</v>
      </c>
      <c r="H76" s="98">
        <f t="shared" si="10"/>
        <v>0</v>
      </c>
      <c r="I76" s="98">
        <f t="shared" si="8"/>
        <v>0</v>
      </c>
    </row>
    <row r="77" spans="2:9" x14ac:dyDescent="0.3">
      <c r="B77" t="s">
        <v>210</v>
      </c>
      <c r="C77" t="s">
        <v>211</v>
      </c>
      <c r="F77" s="98">
        <f t="shared" ref="F77:F108" si="11">IF(D77&gt;E77,D77-E77,0)</f>
        <v>0</v>
      </c>
      <c r="G77" s="98">
        <f t="shared" si="9"/>
        <v>0</v>
      </c>
      <c r="H77" s="98">
        <f t="shared" si="10"/>
        <v>0</v>
      </c>
      <c r="I77" s="98">
        <f t="shared" si="8"/>
        <v>0</v>
      </c>
    </row>
    <row r="78" spans="2:9" x14ac:dyDescent="0.3">
      <c r="B78" t="s">
        <v>212</v>
      </c>
      <c r="C78" t="s">
        <v>213</v>
      </c>
      <c r="D78" s="98">
        <v>4157547</v>
      </c>
      <c r="E78" s="98">
        <v>0</v>
      </c>
      <c r="F78" s="98">
        <f t="shared" si="11"/>
        <v>4157547</v>
      </c>
      <c r="G78" s="98">
        <f t="shared" si="9"/>
        <v>0</v>
      </c>
      <c r="H78" s="98">
        <f t="shared" si="10"/>
        <v>4157547</v>
      </c>
      <c r="I78" s="98">
        <f t="shared" si="8"/>
        <v>0</v>
      </c>
    </row>
    <row r="79" spans="2:9" x14ac:dyDescent="0.3">
      <c r="B79" t="s">
        <v>215</v>
      </c>
      <c r="C79" t="s">
        <v>216</v>
      </c>
      <c r="F79" s="98">
        <f t="shared" si="11"/>
        <v>0</v>
      </c>
      <c r="G79" s="98">
        <f t="shared" si="9"/>
        <v>0</v>
      </c>
      <c r="H79" s="98">
        <f t="shared" si="10"/>
        <v>0</v>
      </c>
      <c r="I79" s="98">
        <f t="shared" si="8"/>
        <v>0</v>
      </c>
    </row>
    <row r="80" spans="2:9" x14ac:dyDescent="0.3">
      <c r="B80" t="s">
        <v>218</v>
      </c>
      <c r="C80" t="s">
        <v>219</v>
      </c>
      <c r="F80" s="98">
        <f t="shared" si="11"/>
        <v>0</v>
      </c>
      <c r="G80" s="98">
        <f t="shared" si="9"/>
        <v>0</v>
      </c>
      <c r="H80" s="98">
        <f t="shared" si="10"/>
        <v>0</v>
      </c>
      <c r="I80" s="98">
        <f t="shared" si="8"/>
        <v>0</v>
      </c>
    </row>
    <row r="81" spans="2:9" x14ac:dyDescent="0.3">
      <c r="B81" t="s">
        <v>220</v>
      </c>
      <c r="C81" t="s">
        <v>221</v>
      </c>
      <c r="F81" s="98">
        <f t="shared" si="11"/>
        <v>0</v>
      </c>
      <c r="G81" s="98">
        <f t="shared" si="9"/>
        <v>0</v>
      </c>
      <c r="H81" s="98">
        <f t="shared" si="10"/>
        <v>0</v>
      </c>
      <c r="I81" s="98">
        <f t="shared" si="8"/>
        <v>0</v>
      </c>
    </row>
    <row r="82" spans="2:9" x14ac:dyDescent="0.3">
      <c r="B82" t="s">
        <v>222</v>
      </c>
      <c r="C82" t="s">
        <v>223</v>
      </c>
      <c r="F82" s="98">
        <f t="shared" si="11"/>
        <v>0</v>
      </c>
      <c r="G82" s="98">
        <f t="shared" si="9"/>
        <v>0</v>
      </c>
      <c r="H82" s="98">
        <f t="shared" si="10"/>
        <v>0</v>
      </c>
    </row>
    <row r="83" spans="2:9" x14ac:dyDescent="0.3">
      <c r="B83" t="s">
        <v>225</v>
      </c>
      <c r="C83" t="s">
        <v>226</v>
      </c>
      <c r="F83" s="98">
        <f t="shared" si="11"/>
        <v>0</v>
      </c>
      <c r="G83" s="98">
        <f t="shared" si="9"/>
        <v>0</v>
      </c>
      <c r="H83" s="98">
        <f t="shared" si="10"/>
        <v>0</v>
      </c>
      <c r="I83" s="98">
        <f t="shared" ref="I83:I107" si="12">G83</f>
        <v>0</v>
      </c>
    </row>
    <row r="84" spans="2:9" x14ac:dyDescent="0.3">
      <c r="B84" t="s">
        <v>228</v>
      </c>
      <c r="C84" t="s">
        <v>229</v>
      </c>
      <c r="F84" s="98">
        <f t="shared" si="11"/>
        <v>0</v>
      </c>
      <c r="G84" s="98">
        <f t="shared" si="9"/>
        <v>0</v>
      </c>
      <c r="H84" s="98">
        <f t="shared" si="10"/>
        <v>0</v>
      </c>
      <c r="I84" s="98">
        <f t="shared" si="12"/>
        <v>0</v>
      </c>
    </row>
    <row r="85" spans="2:9" x14ac:dyDescent="0.3">
      <c r="B85" t="s">
        <v>231</v>
      </c>
      <c r="C85" t="s">
        <v>232</v>
      </c>
      <c r="F85" s="98">
        <f t="shared" si="11"/>
        <v>0</v>
      </c>
      <c r="G85" s="98">
        <f t="shared" si="9"/>
        <v>0</v>
      </c>
      <c r="H85" s="98">
        <f t="shared" si="10"/>
        <v>0</v>
      </c>
      <c r="I85" s="98">
        <f t="shared" si="12"/>
        <v>0</v>
      </c>
    </row>
    <row r="86" spans="2:9" x14ac:dyDescent="0.3">
      <c r="B86" t="s">
        <v>234</v>
      </c>
      <c r="C86" t="s">
        <v>235</v>
      </c>
      <c r="F86" s="98">
        <f t="shared" si="11"/>
        <v>0</v>
      </c>
      <c r="G86" s="98">
        <f t="shared" si="9"/>
        <v>0</v>
      </c>
      <c r="H86" s="98">
        <f t="shared" si="10"/>
        <v>0</v>
      </c>
      <c r="I86" s="98">
        <f t="shared" si="12"/>
        <v>0</v>
      </c>
    </row>
    <row r="87" spans="2:9" x14ac:dyDescent="0.3">
      <c r="B87" t="s">
        <v>237</v>
      </c>
      <c r="C87" t="s">
        <v>238</v>
      </c>
      <c r="F87" s="98">
        <f t="shared" si="11"/>
        <v>0</v>
      </c>
      <c r="G87" s="98">
        <f t="shared" si="9"/>
        <v>0</v>
      </c>
      <c r="H87" s="98">
        <f t="shared" si="10"/>
        <v>0</v>
      </c>
      <c r="I87" s="98">
        <f t="shared" si="12"/>
        <v>0</v>
      </c>
    </row>
    <row r="88" spans="2:9" x14ac:dyDescent="0.3">
      <c r="B88" t="s">
        <v>240</v>
      </c>
      <c r="C88" t="s">
        <v>241</v>
      </c>
      <c r="F88" s="98">
        <f t="shared" si="11"/>
        <v>0</v>
      </c>
      <c r="G88" s="98">
        <f t="shared" si="9"/>
        <v>0</v>
      </c>
      <c r="H88" s="98">
        <f t="shared" si="10"/>
        <v>0</v>
      </c>
      <c r="I88" s="98">
        <f t="shared" si="12"/>
        <v>0</v>
      </c>
    </row>
    <row r="89" spans="2:9" x14ac:dyDescent="0.3">
      <c r="B89" t="s">
        <v>243</v>
      </c>
      <c r="C89" t="s">
        <v>244</v>
      </c>
      <c r="F89" s="98">
        <f t="shared" si="11"/>
        <v>0</v>
      </c>
      <c r="G89" s="98">
        <f t="shared" si="9"/>
        <v>0</v>
      </c>
      <c r="H89" s="98">
        <f t="shared" si="10"/>
        <v>0</v>
      </c>
      <c r="I89" s="98">
        <f t="shared" si="12"/>
        <v>0</v>
      </c>
    </row>
    <row r="90" spans="2:9" x14ac:dyDescent="0.3">
      <c r="B90" t="s">
        <v>246</v>
      </c>
      <c r="C90" t="s">
        <v>244</v>
      </c>
      <c r="F90" s="98">
        <f t="shared" si="11"/>
        <v>0</v>
      </c>
      <c r="G90" s="98">
        <f t="shared" si="9"/>
        <v>0</v>
      </c>
      <c r="H90" s="98">
        <f t="shared" si="10"/>
        <v>0</v>
      </c>
      <c r="I90" s="98">
        <f t="shared" si="12"/>
        <v>0</v>
      </c>
    </row>
    <row r="91" spans="2:9" x14ac:dyDescent="0.3">
      <c r="B91" t="s">
        <v>248</v>
      </c>
      <c r="C91" t="s">
        <v>244</v>
      </c>
      <c r="F91" s="98">
        <f t="shared" si="11"/>
        <v>0</v>
      </c>
      <c r="G91" s="98">
        <f t="shared" si="9"/>
        <v>0</v>
      </c>
      <c r="H91" s="98">
        <f t="shared" si="10"/>
        <v>0</v>
      </c>
      <c r="I91" s="98">
        <f t="shared" si="12"/>
        <v>0</v>
      </c>
    </row>
    <row r="92" spans="2:9" x14ac:dyDescent="0.3">
      <c r="B92" t="s">
        <v>250</v>
      </c>
      <c r="C92" t="s">
        <v>251</v>
      </c>
      <c r="F92" s="98">
        <f t="shared" si="11"/>
        <v>0</v>
      </c>
      <c r="G92" s="98">
        <f t="shared" si="9"/>
        <v>0</v>
      </c>
      <c r="H92" s="98">
        <f t="shared" si="10"/>
        <v>0</v>
      </c>
      <c r="I92" s="98">
        <f t="shared" si="12"/>
        <v>0</v>
      </c>
    </row>
    <row r="93" spans="2:9" x14ac:dyDescent="0.3">
      <c r="B93" t="s">
        <v>253</v>
      </c>
      <c r="C93" t="s">
        <v>251</v>
      </c>
      <c r="F93" s="98">
        <f t="shared" si="11"/>
        <v>0</v>
      </c>
      <c r="G93" s="98">
        <f t="shared" ref="G93:G124" si="13">IF(E93&gt;D93,E93-D93,0)</f>
        <v>0</v>
      </c>
      <c r="H93" s="98">
        <f t="shared" si="10"/>
        <v>0</v>
      </c>
      <c r="I93" s="98">
        <f t="shared" si="12"/>
        <v>0</v>
      </c>
    </row>
    <row r="94" spans="2:9" x14ac:dyDescent="0.3">
      <c r="B94" t="s">
        <v>255</v>
      </c>
      <c r="C94" t="s">
        <v>256</v>
      </c>
      <c r="F94" s="98">
        <f t="shared" si="11"/>
        <v>0</v>
      </c>
      <c r="G94" s="98">
        <f t="shared" si="13"/>
        <v>0</v>
      </c>
      <c r="H94" s="98">
        <f t="shared" ref="H94:H125" si="14">F94</f>
        <v>0</v>
      </c>
      <c r="I94" s="98">
        <f t="shared" si="12"/>
        <v>0</v>
      </c>
    </row>
    <row r="95" spans="2:9" x14ac:dyDescent="0.3">
      <c r="B95" t="s">
        <v>258</v>
      </c>
      <c r="C95" t="s">
        <v>259</v>
      </c>
      <c r="F95" s="98">
        <f t="shared" si="11"/>
        <v>0</v>
      </c>
      <c r="G95" s="98">
        <f t="shared" si="13"/>
        <v>0</v>
      </c>
      <c r="H95" s="98">
        <f t="shared" si="14"/>
        <v>0</v>
      </c>
      <c r="I95" s="98">
        <f t="shared" si="12"/>
        <v>0</v>
      </c>
    </row>
    <row r="96" spans="2:9" x14ac:dyDescent="0.3">
      <c r="B96" t="s">
        <v>261</v>
      </c>
      <c r="C96" t="s">
        <v>262</v>
      </c>
      <c r="F96" s="98">
        <f t="shared" si="11"/>
        <v>0</v>
      </c>
      <c r="G96" s="98">
        <f t="shared" si="13"/>
        <v>0</v>
      </c>
      <c r="H96" s="98">
        <f t="shared" si="14"/>
        <v>0</v>
      </c>
      <c r="I96" s="98">
        <f t="shared" si="12"/>
        <v>0</v>
      </c>
    </row>
    <row r="97" spans="2:9" x14ac:dyDescent="0.3">
      <c r="B97" t="s">
        <v>263</v>
      </c>
      <c r="C97" t="s">
        <v>264</v>
      </c>
      <c r="D97" s="98">
        <v>0</v>
      </c>
      <c r="E97" s="98">
        <v>85083</v>
      </c>
      <c r="F97" s="98">
        <f t="shared" si="11"/>
        <v>0</v>
      </c>
      <c r="G97" s="98">
        <f t="shared" si="13"/>
        <v>85083</v>
      </c>
      <c r="H97" s="98">
        <f t="shared" si="14"/>
        <v>0</v>
      </c>
      <c r="I97" s="98">
        <f t="shared" si="12"/>
        <v>85083</v>
      </c>
    </row>
    <row r="98" spans="2:9" x14ac:dyDescent="0.3">
      <c r="B98" t="s">
        <v>266</v>
      </c>
      <c r="C98" t="s">
        <v>267</v>
      </c>
      <c r="F98" s="98">
        <f t="shared" si="11"/>
        <v>0</v>
      </c>
      <c r="G98" s="98">
        <f t="shared" si="13"/>
        <v>0</v>
      </c>
      <c r="H98" s="98">
        <f t="shared" si="14"/>
        <v>0</v>
      </c>
      <c r="I98" s="98">
        <f t="shared" si="12"/>
        <v>0</v>
      </c>
    </row>
    <row r="99" spans="2:9" x14ac:dyDescent="0.3">
      <c r="B99" t="s">
        <v>269</v>
      </c>
      <c r="C99" t="s">
        <v>270</v>
      </c>
      <c r="F99" s="98">
        <f t="shared" si="11"/>
        <v>0</v>
      </c>
      <c r="G99" s="98">
        <f t="shared" si="13"/>
        <v>0</v>
      </c>
      <c r="H99" s="98">
        <f t="shared" si="14"/>
        <v>0</v>
      </c>
      <c r="I99" s="98">
        <f t="shared" si="12"/>
        <v>0</v>
      </c>
    </row>
    <row r="100" spans="2:9" x14ac:dyDescent="0.3">
      <c r="B100" t="s">
        <v>272</v>
      </c>
      <c r="C100" t="s">
        <v>273</v>
      </c>
      <c r="F100" s="98">
        <f t="shared" si="11"/>
        <v>0</v>
      </c>
      <c r="G100" s="98">
        <f t="shared" si="13"/>
        <v>0</v>
      </c>
      <c r="H100" s="98">
        <f t="shared" si="14"/>
        <v>0</v>
      </c>
      <c r="I100" s="98">
        <f t="shared" si="12"/>
        <v>0</v>
      </c>
    </row>
    <row r="101" spans="2:9" x14ac:dyDescent="0.3">
      <c r="B101" t="s">
        <v>274</v>
      </c>
      <c r="C101" t="s">
        <v>275</v>
      </c>
      <c r="D101" s="98">
        <v>0</v>
      </c>
      <c r="E101" s="98">
        <v>207718.14</v>
      </c>
      <c r="F101" s="98">
        <f t="shared" si="11"/>
        <v>0</v>
      </c>
      <c r="G101" s="98">
        <f t="shared" si="13"/>
        <v>207718.14</v>
      </c>
      <c r="H101" s="98">
        <f t="shared" si="14"/>
        <v>0</v>
      </c>
      <c r="I101" s="98">
        <f t="shared" si="12"/>
        <v>207718.14</v>
      </c>
    </row>
    <row r="102" spans="2:9" x14ac:dyDescent="0.3">
      <c r="B102" t="s">
        <v>277</v>
      </c>
      <c r="C102" t="s">
        <v>278</v>
      </c>
      <c r="F102" s="98">
        <f t="shared" si="11"/>
        <v>0</v>
      </c>
      <c r="G102" s="98">
        <f t="shared" si="13"/>
        <v>0</v>
      </c>
      <c r="H102" s="98">
        <f t="shared" si="14"/>
        <v>0</v>
      </c>
      <c r="I102" s="98">
        <f t="shared" si="12"/>
        <v>0</v>
      </c>
    </row>
    <row r="103" spans="2:9" x14ac:dyDescent="0.3">
      <c r="B103" t="s">
        <v>279</v>
      </c>
      <c r="C103" t="s">
        <v>280</v>
      </c>
      <c r="D103" s="98">
        <v>3533929</v>
      </c>
      <c r="E103" s="98">
        <v>4604073.5944061279</v>
      </c>
      <c r="F103" s="98">
        <f t="shared" si="11"/>
        <v>0</v>
      </c>
      <c r="G103" s="98">
        <f t="shared" si="13"/>
        <v>1070144.5944061279</v>
      </c>
      <c r="H103" s="98">
        <f t="shared" si="14"/>
        <v>0</v>
      </c>
      <c r="I103" s="98">
        <f t="shared" si="12"/>
        <v>1070144.5944061279</v>
      </c>
    </row>
    <row r="104" spans="2:9" x14ac:dyDescent="0.3">
      <c r="B104" t="s">
        <v>282</v>
      </c>
      <c r="C104" t="s">
        <v>283</v>
      </c>
      <c r="F104" s="98">
        <f t="shared" si="11"/>
        <v>0</v>
      </c>
      <c r="G104" s="98">
        <f t="shared" si="13"/>
        <v>0</v>
      </c>
      <c r="H104" s="98">
        <f t="shared" si="14"/>
        <v>0</v>
      </c>
      <c r="I104" s="98">
        <f t="shared" si="12"/>
        <v>0</v>
      </c>
    </row>
    <row r="105" spans="2:9" x14ac:dyDescent="0.3">
      <c r="B105" t="s">
        <v>285</v>
      </c>
      <c r="C105" t="s">
        <v>286</v>
      </c>
      <c r="F105" s="98">
        <f t="shared" si="11"/>
        <v>0</v>
      </c>
      <c r="G105" s="98">
        <f t="shared" si="13"/>
        <v>0</v>
      </c>
      <c r="H105" s="98">
        <f t="shared" si="14"/>
        <v>0</v>
      </c>
      <c r="I105" s="98">
        <f t="shared" si="12"/>
        <v>0</v>
      </c>
    </row>
    <row r="106" spans="2:9" x14ac:dyDescent="0.3">
      <c r="B106" t="s">
        <v>288</v>
      </c>
      <c r="C106" t="s">
        <v>104</v>
      </c>
      <c r="F106" s="98">
        <f t="shared" si="11"/>
        <v>0</v>
      </c>
      <c r="G106" s="98">
        <f t="shared" si="13"/>
        <v>0</v>
      </c>
      <c r="H106" s="98">
        <f t="shared" si="14"/>
        <v>0</v>
      </c>
      <c r="I106" s="98">
        <f t="shared" si="12"/>
        <v>0</v>
      </c>
    </row>
    <row r="107" spans="2:9" x14ac:dyDescent="0.3">
      <c r="B107" t="s">
        <v>290</v>
      </c>
      <c r="C107" t="s">
        <v>291</v>
      </c>
      <c r="F107" s="98">
        <f t="shared" si="11"/>
        <v>0</v>
      </c>
      <c r="G107" s="98">
        <f t="shared" si="13"/>
        <v>0</v>
      </c>
      <c r="H107" s="98">
        <f t="shared" si="14"/>
        <v>0</v>
      </c>
      <c r="I107" s="98">
        <f t="shared" si="12"/>
        <v>0</v>
      </c>
    </row>
    <row r="108" spans="2:9" x14ac:dyDescent="0.3">
      <c r="B108" t="s">
        <v>292</v>
      </c>
      <c r="C108" t="s">
        <v>293</v>
      </c>
      <c r="F108" s="98">
        <f t="shared" si="11"/>
        <v>0</v>
      </c>
      <c r="G108" s="98">
        <f t="shared" si="13"/>
        <v>0</v>
      </c>
      <c r="H108" s="98">
        <f t="shared" si="14"/>
        <v>0</v>
      </c>
    </row>
    <row r="109" spans="2:9" x14ac:dyDescent="0.3">
      <c r="B109" t="s">
        <v>295</v>
      </c>
      <c r="C109" t="s">
        <v>296</v>
      </c>
      <c r="F109" s="98">
        <f t="shared" ref="F109:F140" si="15">IF(D109&gt;E109,D109-E109,0)</f>
        <v>0</v>
      </c>
      <c r="G109" s="98">
        <f t="shared" si="13"/>
        <v>0</v>
      </c>
      <c r="H109" s="98">
        <f t="shared" si="14"/>
        <v>0</v>
      </c>
      <c r="I109" s="98">
        <f t="shared" ref="I109:I119" si="16">G109</f>
        <v>0</v>
      </c>
    </row>
    <row r="110" spans="2:9" x14ac:dyDescent="0.3">
      <c r="B110" t="s">
        <v>298</v>
      </c>
      <c r="C110" t="s">
        <v>299</v>
      </c>
      <c r="F110" s="98">
        <f t="shared" si="15"/>
        <v>0</v>
      </c>
      <c r="G110" s="98">
        <f t="shared" si="13"/>
        <v>0</v>
      </c>
      <c r="H110" s="98">
        <f t="shared" si="14"/>
        <v>0</v>
      </c>
      <c r="I110" s="98">
        <f t="shared" si="16"/>
        <v>0</v>
      </c>
    </row>
    <row r="111" spans="2:9" x14ac:dyDescent="0.3">
      <c r="B111" t="s">
        <v>301</v>
      </c>
      <c r="C111" t="s">
        <v>302</v>
      </c>
      <c r="F111" s="98">
        <f t="shared" si="15"/>
        <v>0</v>
      </c>
      <c r="G111" s="98">
        <f t="shared" si="13"/>
        <v>0</v>
      </c>
      <c r="H111" s="98">
        <f t="shared" si="14"/>
        <v>0</v>
      </c>
      <c r="I111" s="98">
        <f t="shared" si="16"/>
        <v>0</v>
      </c>
    </row>
    <row r="112" spans="2:9" x14ac:dyDescent="0.3">
      <c r="B112" t="s">
        <v>304</v>
      </c>
      <c r="C112" t="s">
        <v>305</v>
      </c>
      <c r="F112" s="98">
        <f t="shared" si="15"/>
        <v>0</v>
      </c>
      <c r="G112" s="98">
        <f t="shared" si="13"/>
        <v>0</v>
      </c>
      <c r="H112" s="98">
        <f t="shared" si="14"/>
        <v>0</v>
      </c>
      <c r="I112" s="98">
        <f t="shared" si="16"/>
        <v>0</v>
      </c>
    </row>
    <row r="113" spans="2:9" x14ac:dyDescent="0.3">
      <c r="B113" t="s">
        <v>307</v>
      </c>
      <c r="C113" t="s">
        <v>308</v>
      </c>
      <c r="F113" s="98">
        <f t="shared" si="15"/>
        <v>0</v>
      </c>
      <c r="G113" s="98">
        <f t="shared" si="13"/>
        <v>0</v>
      </c>
      <c r="H113" s="98">
        <f t="shared" si="14"/>
        <v>0</v>
      </c>
      <c r="I113" s="98">
        <f t="shared" si="16"/>
        <v>0</v>
      </c>
    </row>
    <row r="114" spans="2:9" x14ac:dyDescent="0.3">
      <c r="B114" t="s">
        <v>310</v>
      </c>
      <c r="C114" t="s">
        <v>311</v>
      </c>
      <c r="F114" s="98">
        <f t="shared" si="15"/>
        <v>0</v>
      </c>
      <c r="G114" s="98">
        <f t="shared" si="13"/>
        <v>0</v>
      </c>
      <c r="H114" s="98">
        <f t="shared" si="14"/>
        <v>0</v>
      </c>
      <c r="I114" s="98">
        <f t="shared" si="16"/>
        <v>0</v>
      </c>
    </row>
    <row r="115" spans="2:9" x14ac:dyDescent="0.3">
      <c r="B115" t="s">
        <v>312</v>
      </c>
      <c r="C115" t="s">
        <v>313</v>
      </c>
      <c r="D115" s="98">
        <v>7952001</v>
      </c>
      <c r="E115" s="98">
        <v>8647039</v>
      </c>
      <c r="F115" s="98">
        <f t="shared" si="15"/>
        <v>0</v>
      </c>
      <c r="G115" s="98">
        <f t="shared" si="13"/>
        <v>695038</v>
      </c>
      <c r="H115" s="98">
        <f t="shared" si="14"/>
        <v>0</v>
      </c>
      <c r="I115" s="98">
        <f t="shared" si="16"/>
        <v>695038</v>
      </c>
    </row>
    <row r="116" spans="2:9" x14ac:dyDescent="0.3">
      <c r="B116" t="s">
        <v>312</v>
      </c>
      <c r="C116" t="s">
        <v>314</v>
      </c>
      <c r="D116" s="98">
        <v>1057546</v>
      </c>
      <c r="E116" s="98">
        <v>10694576</v>
      </c>
      <c r="F116" s="98">
        <f t="shared" si="15"/>
        <v>0</v>
      </c>
      <c r="G116" s="98">
        <f t="shared" si="13"/>
        <v>9637030</v>
      </c>
      <c r="H116" s="98">
        <f t="shared" si="14"/>
        <v>0</v>
      </c>
      <c r="I116" s="98">
        <f t="shared" si="16"/>
        <v>9637030</v>
      </c>
    </row>
    <row r="117" spans="2:9" x14ac:dyDescent="0.3">
      <c r="B117" t="s">
        <v>316</v>
      </c>
      <c r="C117" t="s">
        <v>317</v>
      </c>
      <c r="F117" s="98">
        <f t="shared" si="15"/>
        <v>0</v>
      </c>
      <c r="G117" s="98">
        <f t="shared" si="13"/>
        <v>0</v>
      </c>
      <c r="H117" s="98">
        <f t="shared" si="14"/>
        <v>0</v>
      </c>
      <c r="I117" s="98">
        <f t="shared" si="16"/>
        <v>0</v>
      </c>
    </row>
    <row r="118" spans="2:9" x14ac:dyDescent="0.3">
      <c r="B118" t="s">
        <v>319</v>
      </c>
      <c r="C118" t="s">
        <v>205</v>
      </c>
      <c r="F118" s="98">
        <f t="shared" si="15"/>
        <v>0</v>
      </c>
      <c r="G118" s="98">
        <f t="shared" si="13"/>
        <v>0</v>
      </c>
      <c r="H118" s="98">
        <f t="shared" si="14"/>
        <v>0</v>
      </c>
      <c r="I118" s="98">
        <f t="shared" si="16"/>
        <v>0</v>
      </c>
    </row>
    <row r="119" spans="2:9" x14ac:dyDescent="0.3">
      <c r="B119" t="s">
        <v>321</v>
      </c>
      <c r="C119" t="s">
        <v>322</v>
      </c>
      <c r="F119" s="98">
        <f t="shared" si="15"/>
        <v>0</v>
      </c>
      <c r="G119" s="98">
        <f t="shared" si="13"/>
        <v>0</v>
      </c>
      <c r="H119" s="98">
        <f t="shared" si="14"/>
        <v>0</v>
      </c>
      <c r="I119" s="98">
        <f t="shared" si="16"/>
        <v>0</v>
      </c>
    </row>
    <row r="120" spans="2:9" x14ac:dyDescent="0.3">
      <c r="B120" t="s">
        <v>323</v>
      </c>
      <c r="C120" t="s">
        <v>324</v>
      </c>
      <c r="F120" s="98">
        <f t="shared" si="15"/>
        <v>0</v>
      </c>
      <c r="G120" s="98">
        <f t="shared" si="13"/>
        <v>0</v>
      </c>
      <c r="H120" s="98">
        <f t="shared" si="14"/>
        <v>0</v>
      </c>
    </row>
    <row r="121" spans="2:9" x14ac:dyDescent="0.3">
      <c r="B121" t="s">
        <v>325</v>
      </c>
      <c r="C121" t="s">
        <v>326</v>
      </c>
      <c r="D121" s="98">
        <v>0</v>
      </c>
      <c r="E121" s="98">
        <v>3000000</v>
      </c>
      <c r="F121" s="98">
        <f t="shared" si="15"/>
        <v>0</v>
      </c>
      <c r="G121" s="98">
        <f t="shared" si="13"/>
        <v>3000000</v>
      </c>
      <c r="H121" s="98">
        <f t="shared" si="14"/>
        <v>0</v>
      </c>
      <c r="I121" s="98">
        <f t="shared" ref="I121:I134" si="17">G121</f>
        <v>3000000</v>
      </c>
    </row>
    <row r="122" spans="2:9" x14ac:dyDescent="0.3">
      <c r="B122" t="s">
        <v>328</v>
      </c>
      <c r="C122" t="s">
        <v>329</v>
      </c>
      <c r="F122" s="98">
        <f t="shared" si="15"/>
        <v>0</v>
      </c>
      <c r="G122" s="98">
        <f t="shared" si="13"/>
        <v>0</v>
      </c>
      <c r="H122" s="98">
        <f t="shared" si="14"/>
        <v>0</v>
      </c>
      <c r="I122" s="98">
        <f t="shared" si="17"/>
        <v>0</v>
      </c>
    </row>
    <row r="123" spans="2:9" x14ac:dyDescent="0.3">
      <c r="B123" t="s">
        <v>331</v>
      </c>
      <c r="C123" t="s">
        <v>332</v>
      </c>
      <c r="F123" s="98">
        <f t="shared" si="15"/>
        <v>0</v>
      </c>
      <c r="G123" s="98">
        <f t="shared" si="13"/>
        <v>0</v>
      </c>
      <c r="H123" s="98">
        <f t="shared" si="14"/>
        <v>0</v>
      </c>
      <c r="I123" s="98">
        <f t="shared" si="17"/>
        <v>0</v>
      </c>
    </row>
    <row r="124" spans="2:9" x14ac:dyDescent="0.3">
      <c r="B124" t="s">
        <v>334</v>
      </c>
      <c r="C124" t="s">
        <v>335</v>
      </c>
      <c r="F124" s="98">
        <f t="shared" si="15"/>
        <v>0</v>
      </c>
      <c r="G124" s="98">
        <f t="shared" si="13"/>
        <v>0</v>
      </c>
      <c r="H124" s="98">
        <f t="shared" si="14"/>
        <v>0</v>
      </c>
      <c r="I124" s="98">
        <f t="shared" si="17"/>
        <v>0</v>
      </c>
    </row>
    <row r="125" spans="2:9" x14ac:dyDescent="0.3">
      <c r="B125" t="s">
        <v>337</v>
      </c>
      <c r="C125" t="s">
        <v>338</v>
      </c>
      <c r="F125" s="98">
        <f t="shared" si="15"/>
        <v>0</v>
      </c>
      <c r="G125" s="98">
        <f t="shared" ref="G125:G141" si="18">IF(E125&gt;D125,E125-D125,0)</f>
        <v>0</v>
      </c>
      <c r="H125" s="98">
        <f t="shared" si="14"/>
        <v>0</v>
      </c>
      <c r="I125" s="98">
        <f t="shared" si="17"/>
        <v>0</v>
      </c>
    </row>
    <row r="126" spans="2:9" x14ac:dyDescent="0.3">
      <c r="B126" t="s">
        <v>340</v>
      </c>
      <c r="C126" t="s">
        <v>341</v>
      </c>
      <c r="F126" s="98">
        <f t="shared" si="15"/>
        <v>0</v>
      </c>
      <c r="G126" s="98">
        <f t="shared" si="18"/>
        <v>0</v>
      </c>
      <c r="H126" s="98">
        <f t="shared" ref="H126:H134" si="19">F126</f>
        <v>0</v>
      </c>
      <c r="I126" s="98">
        <f t="shared" si="17"/>
        <v>0</v>
      </c>
    </row>
    <row r="127" spans="2:9" x14ac:dyDescent="0.3">
      <c r="B127" t="s">
        <v>343</v>
      </c>
      <c r="C127" t="s">
        <v>344</v>
      </c>
      <c r="F127" s="98">
        <f t="shared" si="15"/>
        <v>0</v>
      </c>
      <c r="G127" s="98">
        <f t="shared" si="18"/>
        <v>0</v>
      </c>
      <c r="H127" s="98">
        <f t="shared" si="19"/>
        <v>0</v>
      </c>
      <c r="I127" s="98">
        <f t="shared" si="17"/>
        <v>0</v>
      </c>
    </row>
    <row r="128" spans="2:9" x14ac:dyDescent="0.3">
      <c r="B128" t="s">
        <v>346</v>
      </c>
      <c r="C128" t="s">
        <v>347</v>
      </c>
      <c r="F128" s="98">
        <f t="shared" si="15"/>
        <v>0</v>
      </c>
      <c r="G128" s="98">
        <f t="shared" si="18"/>
        <v>0</v>
      </c>
      <c r="H128" s="98">
        <f t="shared" si="19"/>
        <v>0</v>
      </c>
      <c r="I128" s="98">
        <f t="shared" si="17"/>
        <v>0</v>
      </c>
    </row>
    <row r="129" spans="2:11" x14ac:dyDescent="0.3">
      <c r="B129" t="s">
        <v>348</v>
      </c>
      <c r="C129" t="s">
        <v>349</v>
      </c>
      <c r="D129" s="98">
        <v>0</v>
      </c>
      <c r="E129" s="98">
        <v>16115566</v>
      </c>
      <c r="F129" s="98">
        <f t="shared" si="15"/>
        <v>0</v>
      </c>
      <c r="G129" s="98">
        <f t="shared" si="18"/>
        <v>16115566</v>
      </c>
      <c r="H129" s="98">
        <f t="shared" si="19"/>
        <v>0</v>
      </c>
      <c r="I129" s="98">
        <f t="shared" si="17"/>
        <v>16115566</v>
      </c>
    </row>
    <row r="130" spans="2:11" x14ac:dyDescent="0.3">
      <c r="B130" t="s">
        <v>351</v>
      </c>
      <c r="C130" t="s">
        <v>352</v>
      </c>
      <c r="F130" s="98">
        <f t="shared" si="15"/>
        <v>0</v>
      </c>
      <c r="G130" s="98">
        <f t="shared" si="18"/>
        <v>0</v>
      </c>
      <c r="H130" s="98">
        <f t="shared" si="19"/>
        <v>0</v>
      </c>
      <c r="I130" s="98">
        <f t="shared" si="17"/>
        <v>0</v>
      </c>
    </row>
    <row r="131" spans="2:11" x14ac:dyDescent="0.3">
      <c r="B131" t="s">
        <v>353</v>
      </c>
      <c r="C131" t="s">
        <v>354</v>
      </c>
      <c r="D131" s="98">
        <v>9000000</v>
      </c>
      <c r="F131" s="98">
        <f t="shared" si="15"/>
        <v>9000000</v>
      </c>
      <c r="G131" s="98">
        <f t="shared" si="18"/>
        <v>0</v>
      </c>
      <c r="H131" s="98">
        <f t="shared" si="19"/>
        <v>9000000</v>
      </c>
      <c r="I131" s="98">
        <f t="shared" si="17"/>
        <v>0</v>
      </c>
    </row>
    <row r="132" spans="2:11" x14ac:dyDescent="0.3">
      <c r="B132" t="s">
        <v>356</v>
      </c>
      <c r="C132" t="s">
        <v>357</v>
      </c>
      <c r="F132" s="98">
        <f t="shared" si="15"/>
        <v>0</v>
      </c>
      <c r="G132" s="98">
        <f t="shared" si="18"/>
        <v>0</v>
      </c>
      <c r="H132" s="98">
        <f t="shared" si="19"/>
        <v>0</v>
      </c>
      <c r="I132" s="98">
        <f t="shared" si="17"/>
        <v>0</v>
      </c>
    </row>
    <row r="133" spans="2:11" x14ac:dyDescent="0.3">
      <c r="B133" t="s">
        <v>359</v>
      </c>
      <c r="C133" t="s">
        <v>360</v>
      </c>
      <c r="F133" s="98">
        <f t="shared" si="15"/>
        <v>0</v>
      </c>
      <c r="G133" s="98">
        <f t="shared" si="18"/>
        <v>0</v>
      </c>
      <c r="H133" s="98">
        <f t="shared" si="19"/>
        <v>0</v>
      </c>
      <c r="I133" s="98">
        <f t="shared" si="17"/>
        <v>0</v>
      </c>
    </row>
    <row r="134" spans="2:11" x14ac:dyDescent="0.3">
      <c r="B134" t="s">
        <v>362</v>
      </c>
      <c r="C134" t="s">
        <v>363</v>
      </c>
      <c r="F134" s="98">
        <f t="shared" si="15"/>
        <v>0</v>
      </c>
      <c r="G134" s="98">
        <f t="shared" si="18"/>
        <v>0</v>
      </c>
      <c r="H134" s="98">
        <f t="shared" si="19"/>
        <v>0</v>
      </c>
      <c r="I134" s="98">
        <f t="shared" si="17"/>
        <v>0</v>
      </c>
    </row>
    <row r="135" spans="2:11" x14ac:dyDescent="0.3">
      <c r="F135" s="98">
        <f t="shared" si="15"/>
        <v>0</v>
      </c>
      <c r="G135" s="98">
        <f t="shared" si="18"/>
        <v>0</v>
      </c>
    </row>
    <row r="136" spans="2:11" x14ac:dyDescent="0.3">
      <c r="B136" t="s">
        <v>364</v>
      </c>
      <c r="F136" s="98">
        <f t="shared" si="15"/>
        <v>0</v>
      </c>
      <c r="G136" s="98">
        <f t="shared" si="18"/>
        <v>0</v>
      </c>
    </row>
    <row r="137" spans="2:11" x14ac:dyDescent="0.3">
      <c r="F137" s="98">
        <f t="shared" si="15"/>
        <v>0</v>
      </c>
      <c r="G137" s="98">
        <f t="shared" si="18"/>
        <v>0</v>
      </c>
    </row>
    <row r="138" spans="2:11" x14ac:dyDescent="0.3">
      <c r="B138" t="s">
        <v>365</v>
      </c>
      <c r="C138" t="s">
        <v>366</v>
      </c>
      <c r="F138" s="98">
        <f t="shared" si="15"/>
        <v>0</v>
      </c>
      <c r="G138" s="98">
        <f t="shared" si="18"/>
        <v>0</v>
      </c>
    </row>
    <row r="139" spans="2:11" x14ac:dyDescent="0.3">
      <c r="B139" t="s">
        <v>367</v>
      </c>
      <c r="C139" t="s">
        <v>368</v>
      </c>
      <c r="F139" s="98">
        <f t="shared" si="15"/>
        <v>0</v>
      </c>
      <c r="G139" s="98">
        <f t="shared" si="18"/>
        <v>0</v>
      </c>
      <c r="J139" s="98">
        <f t="shared" ref="J139:J167" si="20">F139</f>
        <v>0</v>
      </c>
    </row>
    <row r="140" spans="2:11" x14ac:dyDescent="0.3">
      <c r="B140" t="s">
        <v>369</v>
      </c>
      <c r="C140" t="s">
        <v>370</v>
      </c>
      <c r="E140" s="98">
        <v>22657108.429500189</v>
      </c>
      <c r="F140" s="98">
        <f t="shared" si="15"/>
        <v>0</v>
      </c>
      <c r="G140" s="98">
        <f t="shared" si="18"/>
        <v>22657108.429500189</v>
      </c>
      <c r="J140" s="98">
        <f t="shared" si="20"/>
        <v>0</v>
      </c>
      <c r="K140" s="98">
        <f t="shared" ref="K140:K167" si="21">G140</f>
        <v>22657108.429500189</v>
      </c>
    </row>
    <row r="141" spans="2:11" x14ac:dyDescent="0.3">
      <c r="B141" t="s">
        <v>371</v>
      </c>
      <c r="C141" t="s">
        <v>372</v>
      </c>
      <c r="E141" s="98">
        <v>1187013</v>
      </c>
      <c r="F141" s="98">
        <f t="shared" ref="F141:F167" si="22">IF(D141&gt;E141,D141-E141,0)</f>
        <v>0</v>
      </c>
      <c r="G141" s="98">
        <f t="shared" si="18"/>
        <v>1187013</v>
      </c>
      <c r="J141" s="98">
        <f t="shared" si="20"/>
        <v>0</v>
      </c>
      <c r="K141" s="98">
        <f t="shared" si="21"/>
        <v>1187013</v>
      </c>
    </row>
    <row r="142" spans="2:11" x14ac:dyDescent="0.3">
      <c r="B142" t="s">
        <v>374</v>
      </c>
      <c r="C142" t="s">
        <v>375</v>
      </c>
      <c r="F142" s="98">
        <f t="shared" si="22"/>
        <v>0</v>
      </c>
      <c r="J142" s="98">
        <f t="shared" si="20"/>
        <v>0</v>
      </c>
      <c r="K142" s="98">
        <f t="shared" si="21"/>
        <v>0</v>
      </c>
    </row>
    <row r="143" spans="2:11" x14ac:dyDescent="0.3">
      <c r="C143" t="s">
        <v>377</v>
      </c>
      <c r="F143" s="98">
        <f t="shared" si="22"/>
        <v>0</v>
      </c>
      <c r="G143" s="98">
        <f t="shared" ref="G143:G161" si="23">IF(E143&gt;D143,E143-D143,0)</f>
        <v>0</v>
      </c>
      <c r="J143" s="98">
        <f t="shared" si="20"/>
        <v>0</v>
      </c>
      <c r="K143" s="98">
        <f t="shared" si="21"/>
        <v>0</v>
      </c>
    </row>
    <row r="144" spans="2:11" x14ac:dyDescent="0.3">
      <c r="B144" t="s">
        <v>378</v>
      </c>
      <c r="C144" t="s">
        <v>379</v>
      </c>
      <c r="D144" s="98">
        <v>3843575</v>
      </c>
      <c r="F144" s="98">
        <f t="shared" si="22"/>
        <v>3843575</v>
      </c>
      <c r="G144" s="98">
        <f t="shared" si="23"/>
        <v>0</v>
      </c>
      <c r="J144" s="98">
        <f t="shared" si="20"/>
        <v>3843575</v>
      </c>
      <c r="K144" s="98">
        <f t="shared" si="21"/>
        <v>0</v>
      </c>
    </row>
    <row r="145" spans="2:11" x14ac:dyDescent="0.3">
      <c r="B145" t="s">
        <v>380</v>
      </c>
      <c r="C145" t="s">
        <v>381</v>
      </c>
      <c r="D145" s="98">
        <v>6149024</v>
      </c>
      <c r="E145" s="98">
        <v>4749648</v>
      </c>
      <c r="F145" s="98">
        <f t="shared" si="22"/>
        <v>1399376</v>
      </c>
      <c r="G145" s="98">
        <f t="shared" si="23"/>
        <v>0</v>
      </c>
      <c r="J145" s="98">
        <f t="shared" si="20"/>
        <v>1399376</v>
      </c>
      <c r="K145" s="98">
        <f t="shared" si="21"/>
        <v>0</v>
      </c>
    </row>
    <row r="146" spans="2:11" x14ac:dyDescent="0.3">
      <c r="B146" t="s">
        <v>383</v>
      </c>
      <c r="C146" t="s">
        <v>384</v>
      </c>
      <c r="F146" s="98">
        <f t="shared" si="22"/>
        <v>0</v>
      </c>
      <c r="G146" s="98">
        <f t="shared" si="23"/>
        <v>0</v>
      </c>
      <c r="J146" s="98">
        <f t="shared" si="20"/>
        <v>0</v>
      </c>
      <c r="K146" s="98">
        <f t="shared" si="21"/>
        <v>0</v>
      </c>
    </row>
    <row r="147" spans="2:11" x14ac:dyDescent="0.3">
      <c r="B147" t="s">
        <v>386</v>
      </c>
      <c r="C147" t="s">
        <v>387</v>
      </c>
      <c r="F147" s="98">
        <f t="shared" si="22"/>
        <v>0</v>
      </c>
      <c r="G147" s="98">
        <f t="shared" si="23"/>
        <v>0</v>
      </c>
      <c r="J147" s="98">
        <f t="shared" si="20"/>
        <v>0</v>
      </c>
      <c r="K147" s="98">
        <f t="shared" si="21"/>
        <v>0</v>
      </c>
    </row>
    <row r="148" spans="2:11" x14ac:dyDescent="0.3">
      <c r="B148" t="s">
        <v>388</v>
      </c>
      <c r="C148" t="s">
        <v>389</v>
      </c>
      <c r="D148" s="98">
        <v>2729673</v>
      </c>
      <c r="F148" s="98">
        <f t="shared" si="22"/>
        <v>2729673</v>
      </c>
      <c r="G148" s="98">
        <f t="shared" si="23"/>
        <v>0</v>
      </c>
      <c r="J148" s="98">
        <f t="shared" si="20"/>
        <v>2729673</v>
      </c>
      <c r="K148" s="98">
        <f t="shared" si="21"/>
        <v>0</v>
      </c>
    </row>
    <row r="149" spans="2:11" x14ac:dyDescent="0.3">
      <c r="B149" t="s">
        <v>390</v>
      </c>
      <c r="C149" t="s">
        <v>391</v>
      </c>
      <c r="D149" s="98">
        <v>5232449</v>
      </c>
      <c r="F149" s="98">
        <f t="shared" si="22"/>
        <v>5232449</v>
      </c>
      <c r="G149" s="98">
        <f t="shared" si="23"/>
        <v>0</v>
      </c>
      <c r="J149" s="98">
        <f t="shared" si="20"/>
        <v>5232449</v>
      </c>
      <c r="K149" s="98">
        <f t="shared" si="21"/>
        <v>0</v>
      </c>
    </row>
    <row r="150" spans="2:11" x14ac:dyDescent="0.3">
      <c r="B150" t="s">
        <v>392</v>
      </c>
      <c r="C150" t="s">
        <v>393</v>
      </c>
      <c r="D150" s="98">
        <v>797766.36609999998</v>
      </c>
      <c r="F150" s="98">
        <f t="shared" si="22"/>
        <v>797766.36609999998</v>
      </c>
      <c r="G150" s="98">
        <f t="shared" si="23"/>
        <v>0</v>
      </c>
      <c r="J150" s="98">
        <f t="shared" si="20"/>
        <v>797766.36609999998</v>
      </c>
      <c r="K150" s="98">
        <f t="shared" si="21"/>
        <v>0</v>
      </c>
    </row>
    <row r="151" spans="2:11" x14ac:dyDescent="0.3">
      <c r="B151" t="s">
        <v>395</v>
      </c>
      <c r="C151" t="s">
        <v>381</v>
      </c>
      <c r="F151" s="98">
        <f t="shared" si="22"/>
        <v>0</v>
      </c>
      <c r="G151" s="98">
        <f t="shared" si="23"/>
        <v>0</v>
      </c>
      <c r="J151" s="98">
        <f t="shared" si="20"/>
        <v>0</v>
      </c>
      <c r="K151" s="98">
        <f t="shared" si="21"/>
        <v>0</v>
      </c>
    </row>
    <row r="152" spans="2:11" x14ac:dyDescent="0.3">
      <c r="B152" t="s">
        <v>397</v>
      </c>
      <c r="C152" t="s">
        <v>381</v>
      </c>
      <c r="F152" s="98">
        <f t="shared" si="22"/>
        <v>0</v>
      </c>
      <c r="G152" s="98">
        <f t="shared" si="23"/>
        <v>0</v>
      </c>
      <c r="J152" s="98">
        <f t="shared" si="20"/>
        <v>0</v>
      </c>
      <c r="K152" s="98">
        <f t="shared" si="21"/>
        <v>0</v>
      </c>
    </row>
    <row r="153" spans="2:11" x14ac:dyDescent="0.3">
      <c r="B153" t="s">
        <v>399</v>
      </c>
      <c r="C153" t="s">
        <v>400</v>
      </c>
      <c r="F153" s="98">
        <f t="shared" si="22"/>
        <v>0</v>
      </c>
      <c r="G153" s="98">
        <f t="shared" si="23"/>
        <v>0</v>
      </c>
      <c r="J153" s="98">
        <f t="shared" si="20"/>
        <v>0</v>
      </c>
      <c r="K153" s="98">
        <f t="shared" si="21"/>
        <v>0</v>
      </c>
    </row>
    <row r="154" spans="2:11" x14ac:dyDescent="0.3">
      <c r="B154" t="s">
        <v>402</v>
      </c>
      <c r="C154" t="s">
        <v>400</v>
      </c>
      <c r="F154" s="98">
        <f t="shared" si="22"/>
        <v>0</v>
      </c>
      <c r="G154" s="98">
        <f t="shared" si="23"/>
        <v>0</v>
      </c>
      <c r="J154" s="98">
        <f t="shared" si="20"/>
        <v>0</v>
      </c>
      <c r="K154" s="98">
        <f t="shared" si="21"/>
        <v>0</v>
      </c>
    </row>
    <row r="155" spans="2:11" x14ac:dyDescent="0.3">
      <c r="B155" t="s">
        <v>404</v>
      </c>
      <c r="C155" t="s">
        <v>405</v>
      </c>
      <c r="D155" s="308">
        <v>3792436</v>
      </c>
      <c r="E155" s="308"/>
      <c r="F155" s="308">
        <f t="shared" si="22"/>
        <v>3792436</v>
      </c>
      <c r="G155" s="308">
        <f t="shared" si="23"/>
        <v>0</v>
      </c>
      <c r="H155" s="308"/>
      <c r="I155" s="308"/>
      <c r="J155" s="308">
        <f t="shared" si="20"/>
        <v>3792436</v>
      </c>
      <c r="K155" s="308">
        <f t="shared" si="21"/>
        <v>0</v>
      </c>
    </row>
    <row r="156" spans="2:11" x14ac:dyDescent="0.3">
      <c r="B156" t="s">
        <v>407</v>
      </c>
      <c r="C156" t="s">
        <v>408</v>
      </c>
      <c r="D156" s="308"/>
      <c r="E156" s="308"/>
      <c r="F156" s="308">
        <f t="shared" si="22"/>
        <v>0</v>
      </c>
      <c r="G156" s="308">
        <f t="shared" si="23"/>
        <v>0</v>
      </c>
      <c r="H156" s="308"/>
      <c r="I156" s="308"/>
      <c r="J156" s="308">
        <f t="shared" si="20"/>
        <v>0</v>
      </c>
      <c r="K156" s="308">
        <f t="shared" si="21"/>
        <v>0</v>
      </c>
    </row>
    <row r="157" spans="2:11" x14ac:dyDescent="0.3">
      <c r="B157" t="s">
        <v>410</v>
      </c>
      <c r="C157" t="s">
        <v>411</v>
      </c>
      <c r="D157" s="308"/>
      <c r="E157" s="308"/>
      <c r="F157" s="308">
        <f t="shared" si="22"/>
        <v>0</v>
      </c>
      <c r="G157" s="308">
        <f t="shared" si="23"/>
        <v>0</v>
      </c>
      <c r="H157" s="308"/>
      <c r="I157" s="308"/>
      <c r="J157" s="308">
        <f t="shared" si="20"/>
        <v>0</v>
      </c>
      <c r="K157" s="308">
        <f t="shared" si="21"/>
        <v>0</v>
      </c>
    </row>
    <row r="158" spans="2:11" x14ac:dyDescent="0.3">
      <c r="B158" t="s">
        <v>413</v>
      </c>
      <c r="C158" t="s">
        <v>414</v>
      </c>
      <c r="F158" s="98">
        <f t="shared" si="22"/>
        <v>0</v>
      </c>
      <c r="G158" s="98">
        <f t="shared" si="23"/>
        <v>0</v>
      </c>
      <c r="J158" s="98">
        <f t="shared" si="20"/>
        <v>0</v>
      </c>
      <c r="K158" s="98">
        <f t="shared" si="21"/>
        <v>0</v>
      </c>
    </row>
    <row r="159" spans="2:11" x14ac:dyDescent="0.3">
      <c r="B159" t="s">
        <v>416</v>
      </c>
      <c r="C159" t="s">
        <v>417</v>
      </c>
      <c r="F159" s="98">
        <f t="shared" si="22"/>
        <v>0</v>
      </c>
      <c r="G159" s="98">
        <f t="shared" si="23"/>
        <v>0</v>
      </c>
      <c r="J159" s="98">
        <f t="shared" si="20"/>
        <v>0</v>
      </c>
      <c r="K159" s="98">
        <f t="shared" si="21"/>
        <v>0</v>
      </c>
    </row>
    <row r="160" spans="2:11" x14ac:dyDescent="0.3">
      <c r="B160" t="s">
        <v>419</v>
      </c>
      <c r="C160" t="s">
        <v>420</v>
      </c>
      <c r="F160" s="98">
        <f t="shared" si="22"/>
        <v>0</v>
      </c>
      <c r="G160" s="98">
        <f t="shared" si="23"/>
        <v>0</v>
      </c>
      <c r="J160" s="98">
        <f t="shared" si="20"/>
        <v>0</v>
      </c>
      <c r="K160" s="98">
        <f t="shared" si="21"/>
        <v>0</v>
      </c>
    </row>
    <row r="161" spans="2:11" x14ac:dyDescent="0.3">
      <c r="B161" t="s">
        <v>422</v>
      </c>
      <c r="C161" t="s">
        <v>423</v>
      </c>
      <c r="F161" s="98">
        <f t="shared" si="22"/>
        <v>0</v>
      </c>
      <c r="G161" s="98">
        <f t="shared" si="23"/>
        <v>0</v>
      </c>
      <c r="J161" s="98">
        <f t="shared" si="20"/>
        <v>0</v>
      </c>
      <c r="K161" s="98">
        <f t="shared" si="21"/>
        <v>0</v>
      </c>
    </row>
    <row r="162" spans="2:11" x14ac:dyDescent="0.3">
      <c r="B162" t="s">
        <v>425</v>
      </c>
      <c r="C162" s="77" t="s">
        <v>426</v>
      </c>
      <c r="F162" s="797">
        <f t="shared" si="22"/>
        <v>0</v>
      </c>
      <c r="G162" s="798"/>
      <c r="H162" s="798"/>
      <c r="I162" s="798"/>
      <c r="J162" s="98">
        <f t="shared" si="20"/>
        <v>0</v>
      </c>
      <c r="K162" s="98">
        <f t="shared" si="21"/>
        <v>0</v>
      </c>
    </row>
    <row r="163" spans="2:11" x14ac:dyDescent="0.3">
      <c r="B163" t="s">
        <v>428</v>
      </c>
      <c r="C163" t="s">
        <v>429</v>
      </c>
      <c r="F163" s="797">
        <f t="shared" si="22"/>
        <v>0</v>
      </c>
      <c r="G163" s="798"/>
      <c r="H163" s="798"/>
      <c r="I163" s="798"/>
      <c r="J163" s="98">
        <f t="shared" si="20"/>
        <v>0</v>
      </c>
      <c r="K163" s="98">
        <f t="shared" si="21"/>
        <v>0</v>
      </c>
    </row>
    <row r="164" spans="2:11" x14ac:dyDescent="0.3">
      <c r="B164" t="s">
        <v>431</v>
      </c>
      <c r="C164" t="s">
        <v>432</v>
      </c>
      <c r="F164" s="98">
        <f t="shared" si="22"/>
        <v>0</v>
      </c>
      <c r="G164" s="98">
        <f>IF(E164&gt;D164,E164-D164,0)</f>
        <v>0</v>
      </c>
      <c r="J164" s="98">
        <f t="shared" si="20"/>
        <v>0</v>
      </c>
      <c r="K164" s="98">
        <f t="shared" si="21"/>
        <v>0</v>
      </c>
    </row>
    <row r="165" spans="2:11" x14ac:dyDescent="0.3">
      <c r="B165" t="s">
        <v>434</v>
      </c>
      <c r="C165" t="s">
        <v>435</v>
      </c>
      <c r="F165" s="98">
        <f t="shared" si="22"/>
        <v>0</v>
      </c>
      <c r="G165" s="98">
        <f>IF(E165&gt;D165,E165-D165,0)</f>
        <v>0</v>
      </c>
      <c r="J165" s="98">
        <f t="shared" si="20"/>
        <v>0</v>
      </c>
      <c r="K165" s="98">
        <f t="shared" si="21"/>
        <v>0</v>
      </c>
    </row>
    <row r="166" spans="2:11" x14ac:dyDescent="0.3">
      <c r="B166" t="s">
        <v>437</v>
      </c>
      <c r="C166" t="s">
        <v>438</v>
      </c>
      <c r="F166" s="98">
        <f t="shared" si="22"/>
        <v>0</v>
      </c>
      <c r="G166" s="98">
        <f>IF(E166&gt;D166,E166-D166,0)</f>
        <v>0</v>
      </c>
      <c r="J166" s="98">
        <f t="shared" si="20"/>
        <v>0</v>
      </c>
      <c r="K166" s="98">
        <f t="shared" si="21"/>
        <v>0</v>
      </c>
    </row>
    <row r="167" spans="2:11" x14ac:dyDescent="0.3">
      <c r="B167" t="s">
        <v>440</v>
      </c>
      <c r="C167" t="s">
        <v>441</v>
      </c>
      <c r="F167" s="98">
        <f t="shared" si="22"/>
        <v>0</v>
      </c>
      <c r="G167" s="98">
        <f>IF(E167&gt;D167,E167-D167,0)</f>
        <v>0</v>
      </c>
      <c r="J167" s="98">
        <f t="shared" si="20"/>
        <v>0</v>
      </c>
      <c r="K167" s="98">
        <f t="shared" si="21"/>
        <v>0</v>
      </c>
    </row>
    <row r="168" spans="2:11" x14ac:dyDescent="0.3">
      <c r="B168" t="s">
        <v>443</v>
      </c>
      <c r="C168" t="s">
        <v>444</v>
      </c>
    </row>
    <row r="169" spans="2:11" x14ac:dyDescent="0.3">
      <c r="B169" t="s">
        <v>446</v>
      </c>
      <c r="C169" t="s">
        <v>447</v>
      </c>
      <c r="F169" s="98">
        <f>IF(D169&gt;E169,D169-E169,0)</f>
        <v>0</v>
      </c>
      <c r="G169" s="98">
        <f>IF(E169&gt;D169,E169-D169,0)</f>
        <v>0</v>
      </c>
      <c r="J169" s="98">
        <f t="shared" ref="J169:K171" si="24">F169</f>
        <v>0</v>
      </c>
      <c r="K169" s="98">
        <f t="shared" si="24"/>
        <v>0</v>
      </c>
    </row>
    <row r="170" spans="2:11" x14ac:dyDescent="0.3">
      <c r="B170" t="s">
        <v>449</v>
      </c>
      <c r="C170" t="s">
        <v>450</v>
      </c>
      <c r="F170" s="98">
        <f>IF(D170&gt;E170,D170-E170,0)</f>
        <v>0</v>
      </c>
      <c r="G170" s="98">
        <f>IF(E170&gt;D170,E170-D170,0)</f>
        <v>0</v>
      </c>
      <c r="J170" s="98">
        <f t="shared" si="24"/>
        <v>0</v>
      </c>
      <c r="K170" s="98">
        <f t="shared" si="24"/>
        <v>0</v>
      </c>
    </row>
    <row r="171" spans="2:11" x14ac:dyDescent="0.3">
      <c r="B171" t="s">
        <v>452</v>
      </c>
      <c r="C171" t="s">
        <v>453</v>
      </c>
      <c r="F171" s="98">
        <f>IF(D171&gt;E171,D171-E171,0)</f>
        <v>0</v>
      </c>
      <c r="G171" s="98">
        <f>IF(E171&gt;D171,E171-D171,0)</f>
        <v>0</v>
      </c>
      <c r="J171" s="98">
        <f t="shared" si="24"/>
        <v>0</v>
      </c>
      <c r="K171" s="98">
        <f t="shared" si="24"/>
        <v>0</v>
      </c>
    </row>
    <row r="172" spans="2:11" x14ac:dyDescent="0.3">
      <c r="B172" s="160" t="s">
        <v>454</v>
      </c>
      <c r="C172" s="450" t="s">
        <v>455</v>
      </c>
      <c r="D172" s="451">
        <f t="shared" ref="D172:I172" si="25">SUM(D13:D171)</f>
        <v>159105636.36610001</v>
      </c>
      <c r="E172" s="451">
        <f t="shared" si="25"/>
        <v>159105636.38966483</v>
      </c>
      <c r="F172" s="451">
        <f t="shared" si="25"/>
        <v>54654701.140341468</v>
      </c>
      <c r="G172" s="451">
        <f t="shared" si="25"/>
        <v>54654701.163906321</v>
      </c>
      <c r="H172" s="451">
        <f t="shared" si="25"/>
        <v>36859425.77424147</v>
      </c>
      <c r="I172" s="451">
        <f t="shared" si="25"/>
        <v>30810579.734406129</v>
      </c>
      <c r="J172" s="451">
        <f>SUM(J14:J171)</f>
        <v>17795275.366099998</v>
      </c>
      <c r="K172" s="452">
        <f>SUM(K14:K171)</f>
        <v>23844121.429500189</v>
      </c>
    </row>
    <row r="173" spans="2:11" x14ac:dyDescent="0.3">
      <c r="B173" s="106"/>
      <c r="C173" s="148" t="s">
        <v>456</v>
      </c>
      <c r="D173" s="101"/>
      <c r="E173" s="101"/>
      <c r="F173" s="101"/>
      <c r="G173" s="101"/>
      <c r="H173" s="101">
        <f>IF(H172&gt;I172,0,I172-H172)</f>
        <v>0</v>
      </c>
      <c r="I173" s="101">
        <f>IF(I172&gt;H172,0,H172-I172)</f>
        <v>6048846.0398353413</v>
      </c>
      <c r="J173" s="101">
        <f>IF(J172&gt;K172,0,K172-J172)</f>
        <v>6048846.0634001903</v>
      </c>
      <c r="K173" s="453">
        <f>IF(K172&gt;J172,0,J172-K172)</f>
        <v>0</v>
      </c>
    </row>
    <row r="174" spans="2:11" x14ac:dyDescent="0.3">
      <c r="B174" s="162"/>
      <c r="C174" s="454" t="s">
        <v>457</v>
      </c>
      <c r="D174" s="455">
        <f>SUM(D13:D171)</f>
        <v>159105636.36610001</v>
      </c>
      <c r="E174" s="455">
        <f>SUM(E13:E171)</f>
        <v>159105636.38966483</v>
      </c>
      <c r="F174" s="455">
        <f t="shared" ref="F174:K174" si="26">F172+F173</f>
        <v>54654701.140341468</v>
      </c>
      <c r="G174" s="455">
        <f t="shared" si="26"/>
        <v>54654701.163906321</v>
      </c>
      <c r="H174" s="455">
        <f t="shared" si="26"/>
        <v>36859425.77424147</v>
      </c>
      <c r="I174" s="455">
        <f t="shared" si="26"/>
        <v>36859425.77424147</v>
      </c>
      <c r="J174" s="455">
        <f t="shared" si="26"/>
        <v>23844121.429500189</v>
      </c>
      <c r="K174" s="456">
        <f t="shared" si="26"/>
        <v>23844121.429500189</v>
      </c>
    </row>
  </sheetData>
  <mergeCells count="9">
    <mergeCell ref="F163:I163"/>
    <mergeCell ref="F162:I162"/>
    <mergeCell ref="B7:K7"/>
    <mergeCell ref="B6:K6"/>
    <mergeCell ref="B9:C9"/>
    <mergeCell ref="D9:E9"/>
    <mergeCell ref="H9:I9"/>
    <mergeCell ref="F9:G9"/>
    <mergeCell ref="J9:K9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3" name="Button 5">
              <controlPr defaultSize="0" print="0" autoFill="0" autoPict="0" macro="[0]!BalanceGeneral">
                <anchor moveWithCells="1" sizeWithCells="1">
                  <from>
                    <xdr:col>11</xdr:col>
                    <xdr:colOff>259080</xdr:colOff>
                    <xdr:row>0</xdr:row>
                    <xdr:rowOff>228600</xdr:rowOff>
                  </from>
                  <to>
                    <xdr:col>13</xdr:col>
                    <xdr:colOff>411480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Ventas"/>
  <dimension ref="A1:AC1093"/>
  <sheetViews>
    <sheetView showGridLines="0" zoomScale="75" zoomScaleNormal="75" workbookViewId="0">
      <selection activeCell="M28" sqref="M28"/>
    </sheetView>
  </sheetViews>
  <sheetFormatPr baseColWidth="10" defaultColWidth="15.77734375" defaultRowHeight="14.4" x14ac:dyDescent="0.3"/>
  <cols>
    <col min="1" max="1" width="12" style="191" customWidth="1"/>
    <col min="2" max="2" width="13" style="77" bestFit="1" customWidth="1"/>
    <col min="3" max="3" width="15.21875" style="77" bestFit="1" customWidth="1"/>
    <col min="4" max="4" width="24.109375" style="437" bestFit="1" customWidth="1"/>
    <col min="5" max="5" width="14.77734375" style="438" bestFit="1" customWidth="1"/>
    <col min="6" max="6" width="20.33203125" style="98" customWidth="1"/>
    <col min="7" max="7" width="15.6640625" style="98" bestFit="1" customWidth="1"/>
    <col min="8" max="8" width="6.77734375" style="98" customWidth="1"/>
    <col min="9" max="9" width="19.77734375" bestFit="1" customWidth="1"/>
    <col min="10" max="10" width="18.88671875" bestFit="1" customWidth="1"/>
    <col min="11" max="11" width="19.6640625" bestFit="1" customWidth="1"/>
    <col min="12" max="13" width="17" bestFit="1" customWidth="1"/>
    <col min="14" max="14" width="17" customWidth="1"/>
    <col min="15" max="15" width="19.109375" bestFit="1" customWidth="1"/>
    <col min="16" max="16" width="17.77734375" bestFit="1" customWidth="1"/>
    <col min="17" max="17" width="16.44140625" bestFit="1" customWidth="1"/>
    <col min="18" max="18" width="19.109375" bestFit="1" customWidth="1"/>
    <col min="19" max="19" width="19" bestFit="1" customWidth="1"/>
    <col min="20" max="20" width="19.6640625" bestFit="1" customWidth="1"/>
    <col min="21" max="21" width="30.21875" bestFit="1" customWidth="1"/>
    <col min="22" max="22" width="22.77734375" bestFit="1" customWidth="1"/>
    <col min="23" max="23" width="6.109375" bestFit="1" customWidth="1"/>
    <col min="24" max="24" width="5.77734375" bestFit="1" customWidth="1"/>
    <col min="25" max="25" width="6.33203125" bestFit="1" customWidth="1"/>
    <col min="26" max="26" width="5.77734375" bestFit="1" customWidth="1"/>
    <col min="27" max="27" width="6.6640625" bestFit="1" customWidth="1"/>
    <col min="28" max="28" width="5.77734375" bestFit="1" customWidth="1"/>
    <col min="29" max="29" width="12.33203125" bestFit="1" customWidth="1"/>
    <col min="30" max="1035" width="22.77734375" bestFit="1" customWidth="1"/>
    <col min="1036" max="1036" width="12.33203125" bestFit="1" customWidth="1"/>
    <col min="1037" max="2647" width="23.109375" bestFit="1" customWidth="1"/>
    <col min="2648" max="2648" width="12.44140625" bestFit="1" customWidth="1"/>
  </cols>
  <sheetData>
    <row r="1" spans="1:29" x14ac:dyDescent="0.3">
      <c r="A1" s="191" t="s">
        <v>0</v>
      </c>
      <c r="B1" s="77" t="s">
        <v>797</v>
      </c>
      <c r="C1" s="77" t="s">
        <v>687</v>
      </c>
      <c r="D1" s="439" t="s">
        <v>688</v>
      </c>
      <c r="E1" s="438" t="s">
        <v>675</v>
      </c>
      <c r="F1" s="98" t="s">
        <v>798</v>
      </c>
      <c r="G1" s="98" t="s">
        <v>799</v>
      </c>
      <c r="I1" s="573"/>
      <c r="J1" s="573" t="s">
        <v>694</v>
      </c>
      <c r="K1" s="573" t="s">
        <v>597</v>
      </c>
      <c r="L1" s="573" t="s">
        <v>800</v>
      </c>
      <c r="M1" s="573" t="s">
        <v>801</v>
      </c>
      <c r="N1" s="573" t="s">
        <v>802</v>
      </c>
      <c r="O1" s="574" t="s">
        <v>803</v>
      </c>
      <c r="P1" s="79" t="s">
        <v>678</v>
      </c>
      <c r="Q1" t="s">
        <v>679</v>
      </c>
      <c r="R1" t="s">
        <v>804</v>
      </c>
      <c r="S1" t="s">
        <v>805</v>
      </c>
      <c r="U1" s="79" t="s">
        <v>679</v>
      </c>
      <c r="V1" s="79" t="s">
        <v>806</v>
      </c>
    </row>
    <row r="2" spans="1:29" x14ac:dyDescent="0.3">
      <c r="A2" s="80">
        <v>45658.117928240739</v>
      </c>
      <c r="B2" t="s">
        <v>677</v>
      </c>
      <c r="C2" t="s">
        <v>706</v>
      </c>
      <c r="D2" t="s">
        <v>707</v>
      </c>
      <c r="E2">
        <v>1</v>
      </c>
      <c r="F2">
        <v>26991</v>
      </c>
      <c r="G2">
        <v>5000</v>
      </c>
      <c r="I2" s="575" t="s">
        <v>807</v>
      </c>
      <c r="J2" s="576">
        <f>SUM(F2:F50000)/1.19</f>
        <v>25938887.394957986</v>
      </c>
      <c r="K2" s="576">
        <f>SUM(E2:E36000)</f>
        <v>1120</v>
      </c>
      <c r="L2" s="696">
        <f>J2/K2</f>
        <v>23159.720888355343</v>
      </c>
      <c r="M2" s="623">
        <f>SUM(G2:G10000)</f>
        <v>5841578</v>
      </c>
      <c r="N2" s="623">
        <f>M2/K2</f>
        <v>5215.6946428571428</v>
      </c>
      <c r="O2" s="697">
        <f>J2/M2/1.19</f>
        <v>3.7314205794240722</v>
      </c>
      <c r="P2" s="78" t="s">
        <v>808</v>
      </c>
      <c r="V2" t="s">
        <v>808</v>
      </c>
      <c r="W2" t="s">
        <v>809</v>
      </c>
      <c r="X2" t="s">
        <v>810</v>
      </c>
      <c r="Y2" t="s">
        <v>811</v>
      </c>
      <c r="Z2" t="s">
        <v>812</v>
      </c>
      <c r="AA2" t="s">
        <v>813</v>
      </c>
      <c r="AB2" t="s">
        <v>814</v>
      </c>
      <c r="AC2" t="s">
        <v>684</v>
      </c>
    </row>
    <row r="3" spans="1:29" x14ac:dyDescent="0.3">
      <c r="A3" s="80">
        <v>45658.425000000003</v>
      </c>
      <c r="B3" t="s">
        <v>677</v>
      </c>
      <c r="C3" t="s">
        <v>706</v>
      </c>
      <c r="D3" t="s">
        <v>707</v>
      </c>
      <c r="E3">
        <v>1</v>
      </c>
      <c r="F3">
        <v>29990</v>
      </c>
      <c r="G3">
        <v>5000</v>
      </c>
      <c r="P3" s="78" t="s">
        <v>809</v>
      </c>
      <c r="Q3">
        <v>420</v>
      </c>
      <c r="R3">
        <v>12338080</v>
      </c>
      <c r="S3">
        <v>2099403</v>
      </c>
    </row>
    <row r="4" spans="1:29" x14ac:dyDescent="0.3">
      <c r="A4" s="80">
        <v>45658.429884259262</v>
      </c>
      <c r="B4" t="s">
        <v>677</v>
      </c>
      <c r="C4" t="s">
        <v>706</v>
      </c>
      <c r="D4" t="s">
        <v>707</v>
      </c>
      <c r="E4">
        <v>1</v>
      </c>
      <c r="F4">
        <v>26991</v>
      </c>
      <c r="G4">
        <v>5000</v>
      </c>
      <c r="P4" s="78" t="s">
        <v>810</v>
      </c>
      <c r="Q4">
        <v>161</v>
      </c>
      <c r="R4">
        <v>4371143</v>
      </c>
      <c r="S4">
        <v>935451</v>
      </c>
      <c r="U4" s="79" t="s">
        <v>678</v>
      </c>
    </row>
    <row r="5" spans="1:29" x14ac:dyDescent="0.3">
      <c r="A5" s="80">
        <v>45658.553842592592</v>
      </c>
      <c r="B5" t="s">
        <v>677</v>
      </c>
      <c r="C5" t="s">
        <v>706</v>
      </c>
      <c r="D5" t="s">
        <v>707</v>
      </c>
      <c r="E5">
        <v>1</v>
      </c>
      <c r="F5">
        <v>29990</v>
      </c>
      <c r="G5">
        <v>5000</v>
      </c>
      <c r="P5" s="78" t="s">
        <v>811</v>
      </c>
      <c r="Q5">
        <v>128</v>
      </c>
      <c r="R5">
        <v>3702187</v>
      </c>
      <c r="S5">
        <v>687062</v>
      </c>
      <c r="U5" s="78" t="s">
        <v>702</v>
      </c>
      <c r="X5">
        <v>1</v>
      </c>
      <c r="Z5">
        <v>21</v>
      </c>
      <c r="AA5">
        <v>22</v>
      </c>
      <c r="AB5">
        <v>27</v>
      </c>
      <c r="AC5">
        <v>71</v>
      </c>
    </row>
    <row r="6" spans="1:29" x14ac:dyDescent="0.3">
      <c r="A6" s="80">
        <v>45658.575949074067</v>
      </c>
      <c r="B6" t="s">
        <v>677</v>
      </c>
      <c r="C6" t="s">
        <v>706</v>
      </c>
      <c r="D6" t="s">
        <v>707</v>
      </c>
      <c r="E6">
        <v>1</v>
      </c>
      <c r="F6">
        <v>29990</v>
      </c>
      <c r="G6">
        <v>5000</v>
      </c>
      <c r="P6" s="78" t="s">
        <v>812</v>
      </c>
      <c r="Q6">
        <v>135</v>
      </c>
      <c r="R6">
        <v>3572371</v>
      </c>
      <c r="S6">
        <v>703468</v>
      </c>
      <c r="U6" s="78" t="s">
        <v>713</v>
      </c>
      <c r="W6">
        <v>2</v>
      </c>
      <c r="X6">
        <v>1</v>
      </c>
      <c r="Y6">
        <v>1</v>
      </c>
      <c r="AA6">
        <v>1</v>
      </c>
      <c r="AC6">
        <v>5</v>
      </c>
    </row>
    <row r="7" spans="1:29" x14ac:dyDescent="0.3">
      <c r="A7" s="80">
        <v>45658.586550925917</v>
      </c>
      <c r="B7" t="s">
        <v>717</v>
      </c>
      <c r="C7" t="s">
        <v>704</v>
      </c>
      <c r="D7" t="s">
        <v>718</v>
      </c>
      <c r="E7">
        <v>1</v>
      </c>
      <c r="F7">
        <v>9990</v>
      </c>
      <c r="G7">
        <v>2630</v>
      </c>
      <c r="P7" s="78" t="s">
        <v>813</v>
      </c>
      <c r="Q7">
        <v>158</v>
      </c>
      <c r="R7">
        <v>3812730</v>
      </c>
      <c r="S7">
        <v>835414</v>
      </c>
      <c r="U7" s="78" t="s">
        <v>710</v>
      </c>
      <c r="X7">
        <v>3</v>
      </c>
      <c r="AC7">
        <v>3</v>
      </c>
    </row>
    <row r="8" spans="1:29" x14ac:dyDescent="0.3">
      <c r="A8" s="80">
        <v>45658.616932870369</v>
      </c>
      <c r="B8" t="s">
        <v>677</v>
      </c>
      <c r="C8" t="s">
        <v>706</v>
      </c>
      <c r="D8" t="s">
        <v>707</v>
      </c>
      <c r="E8">
        <v>1</v>
      </c>
      <c r="F8">
        <v>29990</v>
      </c>
      <c r="G8">
        <v>5000</v>
      </c>
      <c r="P8" s="78" t="s">
        <v>814</v>
      </c>
      <c r="Q8">
        <v>118</v>
      </c>
      <c r="R8">
        <v>3070765</v>
      </c>
      <c r="S8">
        <v>580780</v>
      </c>
      <c r="U8" s="78" t="s">
        <v>721</v>
      </c>
      <c r="W8">
        <v>15</v>
      </c>
      <c r="X8">
        <v>11</v>
      </c>
      <c r="Y8">
        <v>17</v>
      </c>
      <c r="Z8">
        <v>41</v>
      </c>
      <c r="AA8">
        <v>94</v>
      </c>
      <c r="AB8">
        <v>65</v>
      </c>
      <c r="AC8">
        <v>243</v>
      </c>
    </row>
    <row r="9" spans="1:29" x14ac:dyDescent="0.3">
      <c r="A9" s="80">
        <v>45658.635347222233</v>
      </c>
      <c r="B9" t="s">
        <v>677</v>
      </c>
      <c r="C9" t="s">
        <v>706</v>
      </c>
      <c r="D9" t="s">
        <v>707</v>
      </c>
      <c r="E9">
        <v>1</v>
      </c>
      <c r="F9">
        <v>29990</v>
      </c>
      <c r="G9">
        <v>5000</v>
      </c>
      <c r="P9" s="78" t="s">
        <v>684</v>
      </c>
      <c r="Q9">
        <v>1120</v>
      </c>
      <c r="R9">
        <v>30867276</v>
      </c>
      <c r="S9">
        <v>5841578</v>
      </c>
      <c r="U9" s="78" t="s">
        <v>718</v>
      </c>
      <c r="W9">
        <v>4</v>
      </c>
      <c r="X9">
        <v>2</v>
      </c>
      <c r="Y9">
        <v>3</v>
      </c>
      <c r="Z9">
        <v>3</v>
      </c>
      <c r="AB9">
        <v>1</v>
      </c>
      <c r="AC9">
        <v>13</v>
      </c>
    </row>
    <row r="10" spans="1:29" x14ac:dyDescent="0.3">
      <c r="A10" s="80">
        <v>45658.718460648153</v>
      </c>
      <c r="B10" t="s">
        <v>677</v>
      </c>
      <c r="C10" t="s">
        <v>706</v>
      </c>
      <c r="D10" t="s">
        <v>707</v>
      </c>
      <c r="E10">
        <v>1</v>
      </c>
      <c r="F10">
        <v>29990</v>
      </c>
      <c r="G10">
        <v>5000</v>
      </c>
      <c r="U10" s="78" t="s">
        <v>724</v>
      </c>
      <c r="W10">
        <v>7</v>
      </c>
      <c r="X10">
        <v>39</v>
      </c>
      <c r="Y10">
        <v>8</v>
      </c>
      <c r="Z10">
        <v>2</v>
      </c>
      <c r="AA10">
        <v>6</v>
      </c>
      <c r="AC10">
        <v>62</v>
      </c>
    </row>
    <row r="11" spans="1:29" x14ac:dyDescent="0.3">
      <c r="A11" s="80">
        <v>45658.718460648153</v>
      </c>
      <c r="B11" t="s">
        <v>719</v>
      </c>
      <c r="C11" t="s">
        <v>720</v>
      </c>
      <c r="D11" t="s">
        <v>721</v>
      </c>
      <c r="E11">
        <v>1</v>
      </c>
      <c r="F11">
        <v>29990</v>
      </c>
      <c r="G11">
        <v>5000</v>
      </c>
      <c r="U11" s="78" t="s">
        <v>705</v>
      </c>
      <c r="W11">
        <v>3</v>
      </c>
      <c r="X11">
        <v>3</v>
      </c>
      <c r="Y11">
        <v>1</v>
      </c>
      <c r="Z11">
        <v>5</v>
      </c>
      <c r="AA11">
        <v>9</v>
      </c>
      <c r="AB11">
        <v>7</v>
      </c>
      <c r="AC11">
        <v>28</v>
      </c>
    </row>
    <row r="12" spans="1:29" x14ac:dyDescent="0.3">
      <c r="A12" s="80">
        <v>45658.721655092602</v>
      </c>
      <c r="B12" t="s">
        <v>677</v>
      </c>
      <c r="C12" t="s">
        <v>706</v>
      </c>
      <c r="D12" t="s">
        <v>707</v>
      </c>
      <c r="E12">
        <v>1</v>
      </c>
      <c r="F12">
        <v>29990</v>
      </c>
      <c r="G12">
        <v>5000</v>
      </c>
      <c r="U12" s="78" t="s">
        <v>726</v>
      </c>
      <c r="Y12">
        <v>4</v>
      </c>
      <c r="Z12">
        <v>8</v>
      </c>
      <c r="AA12">
        <v>10</v>
      </c>
      <c r="AB12">
        <v>5</v>
      </c>
      <c r="AC12">
        <v>27</v>
      </c>
    </row>
    <row r="13" spans="1:29" x14ac:dyDescent="0.3">
      <c r="A13" s="80">
        <v>45658.800613425927</v>
      </c>
      <c r="B13" t="s">
        <v>677</v>
      </c>
      <c r="C13" t="s">
        <v>706</v>
      </c>
      <c r="D13" t="s">
        <v>707</v>
      </c>
      <c r="E13">
        <v>1</v>
      </c>
      <c r="F13">
        <v>29990</v>
      </c>
      <c r="G13">
        <v>5000</v>
      </c>
      <c r="U13" s="78" t="s">
        <v>707</v>
      </c>
      <c r="W13">
        <v>389</v>
      </c>
      <c r="X13">
        <v>101</v>
      </c>
      <c r="Y13">
        <v>94</v>
      </c>
      <c r="Z13">
        <v>55</v>
      </c>
      <c r="AA13">
        <v>16</v>
      </c>
      <c r="AB13">
        <v>13</v>
      </c>
      <c r="AC13">
        <v>668</v>
      </c>
    </row>
    <row r="14" spans="1:29" x14ac:dyDescent="0.3">
      <c r="A14" s="80">
        <v>45658.90724537037</v>
      </c>
      <c r="B14" t="s">
        <v>677</v>
      </c>
      <c r="C14" t="s">
        <v>706</v>
      </c>
      <c r="D14" t="s">
        <v>707</v>
      </c>
      <c r="E14">
        <v>1</v>
      </c>
      <c r="F14">
        <v>29990</v>
      </c>
      <c r="G14">
        <v>5000</v>
      </c>
      <c r="U14" s="78" t="s">
        <v>683</v>
      </c>
    </row>
    <row r="15" spans="1:29" x14ac:dyDescent="0.3">
      <c r="A15" s="80">
        <v>45658.991087962961</v>
      </c>
      <c r="B15" t="s">
        <v>677</v>
      </c>
      <c r="C15" t="s">
        <v>706</v>
      </c>
      <c r="D15" t="s">
        <v>707</v>
      </c>
      <c r="E15">
        <v>1</v>
      </c>
      <c r="F15">
        <v>29990</v>
      </c>
      <c r="G15">
        <v>5000</v>
      </c>
      <c r="U15" s="78" t="s">
        <v>684</v>
      </c>
      <c r="W15">
        <v>420</v>
      </c>
      <c r="X15">
        <v>161</v>
      </c>
      <c r="Y15">
        <v>128</v>
      </c>
      <c r="Z15">
        <v>135</v>
      </c>
      <c r="AA15">
        <v>158</v>
      </c>
      <c r="AB15">
        <v>118</v>
      </c>
      <c r="AC15">
        <v>1120</v>
      </c>
    </row>
    <row r="16" spans="1:29" x14ac:dyDescent="0.3">
      <c r="A16" s="80">
        <v>45658.991087962961</v>
      </c>
      <c r="B16" t="s">
        <v>719</v>
      </c>
      <c r="C16" t="s">
        <v>720</v>
      </c>
      <c r="D16" t="s">
        <v>721</v>
      </c>
      <c r="E16">
        <v>1</v>
      </c>
      <c r="F16">
        <v>29990</v>
      </c>
      <c r="G16">
        <v>5000</v>
      </c>
    </row>
    <row r="17" spans="1:7" x14ac:dyDescent="0.3">
      <c r="A17" s="80">
        <v>45659.029293981483</v>
      </c>
      <c r="B17" t="s">
        <v>677</v>
      </c>
      <c r="C17" t="s">
        <v>706</v>
      </c>
      <c r="D17" t="s">
        <v>707</v>
      </c>
      <c r="E17">
        <v>1</v>
      </c>
      <c r="F17">
        <v>29990</v>
      </c>
      <c r="G17">
        <v>5000</v>
      </c>
    </row>
    <row r="18" spans="1:7" x14ac:dyDescent="0.3">
      <c r="A18" s="80">
        <v>45659.029293981483</v>
      </c>
      <c r="B18" t="s">
        <v>719</v>
      </c>
      <c r="C18" t="s">
        <v>720</v>
      </c>
      <c r="D18" t="s">
        <v>721</v>
      </c>
      <c r="E18">
        <v>1</v>
      </c>
      <c r="F18">
        <v>29990</v>
      </c>
      <c r="G18">
        <v>5000</v>
      </c>
    </row>
    <row r="19" spans="1:7" x14ac:dyDescent="0.3">
      <c r="A19" s="80">
        <v>45659.28361111111</v>
      </c>
      <c r="B19" t="s">
        <v>677</v>
      </c>
      <c r="C19" t="s">
        <v>706</v>
      </c>
      <c r="D19" t="s">
        <v>707</v>
      </c>
      <c r="E19">
        <v>1</v>
      </c>
      <c r="F19">
        <v>29990</v>
      </c>
      <c r="G19">
        <v>5000</v>
      </c>
    </row>
    <row r="20" spans="1:7" x14ac:dyDescent="0.3">
      <c r="A20" s="80">
        <v>45659.36855324074</v>
      </c>
      <c r="B20" t="s">
        <v>719</v>
      </c>
      <c r="C20" t="s">
        <v>720</v>
      </c>
      <c r="D20" t="s">
        <v>721</v>
      </c>
      <c r="E20">
        <v>1</v>
      </c>
      <c r="F20">
        <v>29990</v>
      </c>
      <c r="G20">
        <v>5000</v>
      </c>
    </row>
    <row r="21" spans="1:7" x14ac:dyDescent="0.3">
      <c r="A21" s="80">
        <v>45659.375196759262</v>
      </c>
      <c r="B21" t="s">
        <v>677</v>
      </c>
      <c r="C21" t="s">
        <v>706</v>
      </c>
      <c r="D21" t="s">
        <v>707</v>
      </c>
      <c r="E21">
        <v>1</v>
      </c>
      <c r="F21">
        <v>29990</v>
      </c>
      <c r="G21">
        <v>5000</v>
      </c>
    </row>
    <row r="22" spans="1:7" x14ac:dyDescent="0.3">
      <c r="A22" s="80">
        <v>45659.389097222222</v>
      </c>
      <c r="B22" t="s">
        <v>677</v>
      </c>
      <c r="C22" t="s">
        <v>706</v>
      </c>
      <c r="D22" t="s">
        <v>707</v>
      </c>
      <c r="E22">
        <v>1</v>
      </c>
      <c r="F22">
        <v>29990</v>
      </c>
      <c r="G22">
        <v>5000</v>
      </c>
    </row>
    <row r="23" spans="1:7" x14ac:dyDescent="0.3">
      <c r="A23" s="80">
        <v>45659.395069444443</v>
      </c>
      <c r="B23" t="s">
        <v>677</v>
      </c>
      <c r="C23" t="s">
        <v>706</v>
      </c>
      <c r="D23" t="s">
        <v>707</v>
      </c>
      <c r="E23">
        <v>1</v>
      </c>
      <c r="F23">
        <v>29990</v>
      </c>
      <c r="G23">
        <v>5000</v>
      </c>
    </row>
    <row r="24" spans="1:7" x14ac:dyDescent="0.3">
      <c r="A24" s="80">
        <v>45659.404027777768</v>
      </c>
      <c r="B24" t="s">
        <v>677</v>
      </c>
      <c r="C24" t="s">
        <v>706</v>
      </c>
      <c r="D24" t="s">
        <v>707</v>
      </c>
      <c r="E24">
        <v>1</v>
      </c>
      <c r="F24">
        <v>29990</v>
      </c>
      <c r="G24">
        <v>5000</v>
      </c>
    </row>
    <row r="25" spans="1:7" x14ac:dyDescent="0.3">
      <c r="A25" s="80">
        <v>45659.413807870369</v>
      </c>
      <c r="B25" t="s">
        <v>677</v>
      </c>
      <c r="C25" t="s">
        <v>706</v>
      </c>
      <c r="D25" t="s">
        <v>707</v>
      </c>
      <c r="E25">
        <v>1</v>
      </c>
      <c r="F25">
        <v>29990</v>
      </c>
      <c r="G25">
        <v>5000</v>
      </c>
    </row>
    <row r="26" spans="1:7" x14ac:dyDescent="0.3">
      <c r="A26" s="80">
        <v>45659.522939814808</v>
      </c>
      <c r="B26" t="s">
        <v>677</v>
      </c>
      <c r="C26" t="s">
        <v>706</v>
      </c>
      <c r="D26" t="s">
        <v>707</v>
      </c>
      <c r="E26">
        <v>1</v>
      </c>
      <c r="F26">
        <v>29990</v>
      </c>
      <c r="G26">
        <v>5000</v>
      </c>
    </row>
    <row r="27" spans="1:7" x14ac:dyDescent="0.3">
      <c r="A27" s="80">
        <v>45659.599895833337</v>
      </c>
      <c r="B27" t="s">
        <v>677</v>
      </c>
      <c r="C27" t="s">
        <v>706</v>
      </c>
      <c r="D27" t="s">
        <v>707</v>
      </c>
      <c r="E27">
        <v>1</v>
      </c>
      <c r="F27">
        <v>29990</v>
      </c>
      <c r="G27">
        <v>5000</v>
      </c>
    </row>
    <row r="28" spans="1:7" x14ac:dyDescent="0.3">
      <c r="A28" s="80">
        <v>45659.684606481482</v>
      </c>
      <c r="B28" t="s">
        <v>677</v>
      </c>
      <c r="C28" t="s">
        <v>706</v>
      </c>
      <c r="D28" t="s">
        <v>707</v>
      </c>
      <c r="E28">
        <v>1</v>
      </c>
      <c r="F28">
        <v>29990</v>
      </c>
      <c r="G28">
        <v>5000</v>
      </c>
    </row>
    <row r="29" spans="1:7" x14ac:dyDescent="0.3">
      <c r="A29" s="80">
        <v>45659.705972222233</v>
      </c>
      <c r="B29" t="s">
        <v>677</v>
      </c>
      <c r="C29" t="s">
        <v>706</v>
      </c>
      <c r="D29" t="s">
        <v>707</v>
      </c>
      <c r="E29">
        <v>1</v>
      </c>
      <c r="F29">
        <v>29990</v>
      </c>
      <c r="G29">
        <v>5000</v>
      </c>
    </row>
    <row r="30" spans="1:7" x14ac:dyDescent="0.3">
      <c r="A30" s="80">
        <v>45659.744305555563</v>
      </c>
      <c r="B30" t="s">
        <v>677</v>
      </c>
      <c r="C30" t="s">
        <v>706</v>
      </c>
      <c r="D30" t="s">
        <v>707</v>
      </c>
      <c r="E30">
        <v>2</v>
      </c>
      <c r="F30">
        <v>59980</v>
      </c>
      <c r="G30">
        <v>10000</v>
      </c>
    </row>
    <row r="31" spans="1:7" x14ac:dyDescent="0.3">
      <c r="A31" s="80">
        <v>45659.752395833333</v>
      </c>
      <c r="B31" t="s">
        <v>677</v>
      </c>
      <c r="C31" t="s">
        <v>706</v>
      </c>
      <c r="D31" t="s">
        <v>707</v>
      </c>
      <c r="E31">
        <v>1</v>
      </c>
      <c r="F31">
        <v>29990</v>
      </c>
      <c r="G31">
        <v>5000</v>
      </c>
    </row>
    <row r="32" spans="1:7" x14ac:dyDescent="0.3">
      <c r="A32" s="80">
        <v>45659.808368055557</v>
      </c>
      <c r="B32" t="s">
        <v>677</v>
      </c>
      <c r="C32" t="s">
        <v>706</v>
      </c>
      <c r="D32" t="s">
        <v>707</v>
      </c>
      <c r="E32">
        <v>1</v>
      </c>
      <c r="F32">
        <v>29990</v>
      </c>
      <c r="G32">
        <v>5000</v>
      </c>
    </row>
    <row r="33" spans="1:7" x14ac:dyDescent="0.3">
      <c r="A33" s="80">
        <v>45659.847453703696</v>
      </c>
      <c r="B33" t="s">
        <v>677</v>
      </c>
      <c r="C33" t="s">
        <v>706</v>
      </c>
      <c r="D33" t="s">
        <v>707</v>
      </c>
      <c r="E33">
        <v>1</v>
      </c>
      <c r="F33">
        <v>29990</v>
      </c>
      <c r="G33">
        <v>5000</v>
      </c>
    </row>
    <row r="34" spans="1:7" x14ac:dyDescent="0.3">
      <c r="A34" s="80">
        <v>45659.85297453704</v>
      </c>
      <c r="B34" t="s">
        <v>677</v>
      </c>
      <c r="C34" t="s">
        <v>706</v>
      </c>
      <c r="D34" t="s">
        <v>707</v>
      </c>
      <c r="E34">
        <v>1</v>
      </c>
      <c r="F34">
        <v>29990</v>
      </c>
      <c r="G34">
        <v>5000</v>
      </c>
    </row>
    <row r="35" spans="1:7" x14ac:dyDescent="0.3">
      <c r="A35" s="80">
        <v>45659.864525462966</v>
      </c>
      <c r="B35" t="s">
        <v>677</v>
      </c>
      <c r="C35" t="s">
        <v>706</v>
      </c>
      <c r="D35" t="s">
        <v>707</v>
      </c>
      <c r="E35">
        <v>1</v>
      </c>
      <c r="F35">
        <v>29990</v>
      </c>
      <c r="G35">
        <v>5000</v>
      </c>
    </row>
    <row r="36" spans="1:7" x14ac:dyDescent="0.3">
      <c r="A36" s="80">
        <v>45659.871516203697</v>
      </c>
      <c r="B36" t="s">
        <v>677</v>
      </c>
      <c r="C36" t="s">
        <v>706</v>
      </c>
      <c r="D36" t="s">
        <v>707</v>
      </c>
      <c r="E36">
        <v>1</v>
      </c>
      <c r="F36">
        <v>29990</v>
      </c>
      <c r="G36">
        <v>5000</v>
      </c>
    </row>
    <row r="37" spans="1:7" x14ac:dyDescent="0.3">
      <c r="A37" s="80">
        <v>45659.892627314817</v>
      </c>
      <c r="B37" t="s">
        <v>677</v>
      </c>
      <c r="C37" t="s">
        <v>706</v>
      </c>
      <c r="D37" t="s">
        <v>707</v>
      </c>
      <c r="E37">
        <v>1</v>
      </c>
      <c r="F37">
        <v>29990</v>
      </c>
      <c r="G37">
        <v>5000</v>
      </c>
    </row>
    <row r="38" spans="1:7" x14ac:dyDescent="0.3">
      <c r="A38" s="80">
        <v>45659.948541666658</v>
      </c>
      <c r="B38" t="s">
        <v>677</v>
      </c>
      <c r="C38" t="s">
        <v>706</v>
      </c>
      <c r="D38" t="s">
        <v>707</v>
      </c>
      <c r="E38">
        <v>1</v>
      </c>
      <c r="F38">
        <v>29990</v>
      </c>
      <c r="G38">
        <v>5000</v>
      </c>
    </row>
    <row r="39" spans="1:7" x14ac:dyDescent="0.3">
      <c r="A39" s="80">
        <v>45659.965219907397</v>
      </c>
      <c r="B39" t="s">
        <v>719</v>
      </c>
      <c r="C39" t="s">
        <v>720</v>
      </c>
      <c r="D39" t="s">
        <v>721</v>
      </c>
      <c r="E39">
        <v>1</v>
      </c>
      <c r="F39">
        <v>29990</v>
      </c>
      <c r="G39">
        <v>5000</v>
      </c>
    </row>
    <row r="40" spans="1:7" x14ac:dyDescent="0.3">
      <c r="A40" s="80">
        <v>45660.002743055556</v>
      </c>
      <c r="B40" t="s">
        <v>677</v>
      </c>
      <c r="C40" t="s">
        <v>706</v>
      </c>
      <c r="D40" t="s">
        <v>707</v>
      </c>
      <c r="E40">
        <v>1</v>
      </c>
      <c r="F40">
        <v>29990</v>
      </c>
      <c r="G40">
        <v>5000</v>
      </c>
    </row>
    <row r="41" spans="1:7" x14ac:dyDescent="0.3">
      <c r="A41" s="80">
        <v>45660.002743055556</v>
      </c>
      <c r="B41" t="s">
        <v>717</v>
      </c>
      <c r="C41" t="s">
        <v>704</v>
      </c>
      <c r="D41" t="s">
        <v>718</v>
      </c>
      <c r="E41">
        <v>1</v>
      </c>
      <c r="F41">
        <v>9990</v>
      </c>
      <c r="G41">
        <v>2630</v>
      </c>
    </row>
    <row r="42" spans="1:7" x14ac:dyDescent="0.3">
      <c r="A42" s="80">
        <v>45660.294259259259</v>
      </c>
      <c r="B42" t="s">
        <v>677</v>
      </c>
      <c r="C42" t="s">
        <v>706</v>
      </c>
      <c r="D42" t="s">
        <v>707</v>
      </c>
      <c r="E42">
        <v>1</v>
      </c>
      <c r="F42">
        <v>29990</v>
      </c>
      <c r="G42">
        <v>5000</v>
      </c>
    </row>
    <row r="43" spans="1:7" x14ac:dyDescent="0.3">
      <c r="A43" s="80">
        <v>45660.308611111112</v>
      </c>
      <c r="B43" t="s">
        <v>677</v>
      </c>
      <c r="C43" t="s">
        <v>706</v>
      </c>
      <c r="D43" t="s">
        <v>707</v>
      </c>
      <c r="E43">
        <v>1</v>
      </c>
      <c r="F43">
        <v>29990</v>
      </c>
      <c r="G43">
        <v>5000</v>
      </c>
    </row>
    <row r="44" spans="1:7" x14ac:dyDescent="0.3">
      <c r="A44" s="80">
        <v>45660.487997685188</v>
      </c>
      <c r="B44" t="s">
        <v>677</v>
      </c>
      <c r="C44" t="s">
        <v>706</v>
      </c>
      <c r="D44" t="s">
        <v>707</v>
      </c>
      <c r="E44">
        <v>1</v>
      </c>
      <c r="F44">
        <v>29990</v>
      </c>
      <c r="G44">
        <v>5000</v>
      </c>
    </row>
    <row r="45" spans="1:7" x14ac:dyDescent="0.3">
      <c r="A45" s="80">
        <v>45660.512060185189</v>
      </c>
      <c r="B45" t="s">
        <v>677</v>
      </c>
      <c r="C45" t="s">
        <v>706</v>
      </c>
      <c r="D45" t="s">
        <v>707</v>
      </c>
      <c r="E45">
        <v>1</v>
      </c>
      <c r="F45">
        <v>29990</v>
      </c>
      <c r="G45">
        <v>5000</v>
      </c>
    </row>
    <row r="46" spans="1:7" x14ac:dyDescent="0.3">
      <c r="A46" s="80">
        <v>45660.545381944437</v>
      </c>
      <c r="B46" t="s">
        <v>677</v>
      </c>
      <c r="C46" t="s">
        <v>706</v>
      </c>
      <c r="D46" t="s">
        <v>707</v>
      </c>
      <c r="E46">
        <v>1</v>
      </c>
      <c r="F46">
        <v>29990</v>
      </c>
      <c r="G46">
        <v>5000</v>
      </c>
    </row>
    <row r="47" spans="1:7" x14ac:dyDescent="0.3">
      <c r="A47" s="80">
        <v>45660.545844907407</v>
      </c>
      <c r="B47" t="s">
        <v>677</v>
      </c>
      <c r="C47" t="s">
        <v>706</v>
      </c>
      <c r="D47" t="s">
        <v>707</v>
      </c>
      <c r="E47">
        <v>1</v>
      </c>
      <c r="F47">
        <v>29990</v>
      </c>
      <c r="G47">
        <v>5000</v>
      </c>
    </row>
    <row r="48" spans="1:7" x14ac:dyDescent="0.3">
      <c r="A48" s="80">
        <v>45660.569548611107</v>
      </c>
      <c r="B48" t="s">
        <v>677</v>
      </c>
      <c r="C48" t="s">
        <v>706</v>
      </c>
      <c r="D48" t="s">
        <v>707</v>
      </c>
      <c r="E48">
        <v>1</v>
      </c>
      <c r="F48">
        <v>29990</v>
      </c>
      <c r="G48">
        <v>5000</v>
      </c>
    </row>
    <row r="49" spans="1:7" x14ac:dyDescent="0.3">
      <c r="A49" s="80">
        <v>45660.632685185177</v>
      </c>
      <c r="B49" t="s">
        <v>677</v>
      </c>
      <c r="C49" t="s">
        <v>706</v>
      </c>
      <c r="D49" t="s">
        <v>707</v>
      </c>
      <c r="E49">
        <v>1</v>
      </c>
      <c r="F49">
        <v>29990</v>
      </c>
      <c r="G49">
        <v>5000</v>
      </c>
    </row>
    <row r="50" spans="1:7" x14ac:dyDescent="0.3">
      <c r="A50" s="80">
        <v>45660.661273148151</v>
      </c>
      <c r="B50" t="s">
        <v>677</v>
      </c>
      <c r="C50" t="s">
        <v>706</v>
      </c>
      <c r="D50" t="s">
        <v>707</v>
      </c>
      <c r="E50">
        <v>1</v>
      </c>
      <c r="F50">
        <v>29990</v>
      </c>
      <c r="G50">
        <v>5000</v>
      </c>
    </row>
    <row r="51" spans="1:7" x14ac:dyDescent="0.3">
      <c r="A51" s="80">
        <v>45660.683865740742</v>
      </c>
      <c r="B51" t="s">
        <v>677</v>
      </c>
      <c r="C51" t="s">
        <v>706</v>
      </c>
      <c r="D51" t="s">
        <v>707</v>
      </c>
      <c r="E51">
        <v>1</v>
      </c>
      <c r="F51">
        <v>29990</v>
      </c>
      <c r="G51">
        <v>5000</v>
      </c>
    </row>
    <row r="52" spans="1:7" x14ac:dyDescent="0.3">
      <c r="A52" s="80">
        <v>45660.787268518521</v>
      </c>
      <c r="B52" t="s">
        <v>677</v>
      </c>
      <c r="C52" t="s">
        <v>706</v>
      </c>
      <c r="D52" t="s">
        <v>707</v>
      </c>
      <c r="E52">
        <v>1</v>
      </c>
      <c r="F52">
        <v>29990</v>
      </c>
      <c r="G52">
        <v>5000</v>
      </c>
    </row>
    <row r="53" spans="1:7" x14ac:dyDescent="0.3">
      <c r="A53" s="80">
        <v>45660.799375000002</v>
      </c>
      <c r="B53" t="s">
        <v>677</v>
      </c>
      <c r="C53" t="s">
        <v>706</v>
      </c>
      <c r="D53" t="s">
        <v>707</v>
      </c>
      <c r="E53">
        <v>1</v>
      </c>
      <c r="F53">
        <v>29990</v>
      </c>
      <c r="G53">
        <v>5000</v>
      </c>
    </row>
    <row r="54" spans="1:7" x14ac:dyDescent="0.3">
      <c r="A54" s="80">
        <v>45660.810254629629</v>
      </c>
      <c r="B54" t="s">
        <v>677</v>
      </c>
      <c r="C54" t="s">
        <v>706</v>
      </c>
      <c r="D54" t="s">
        <v>707</v>
      </c>
      <c r="E54">
        <v>1</v>
      </c>
      <c r="F54">
        <v>29990</v>
      </c>
      <c r="G54">
        <v>5000</v>
      </c>
    </row>
    <row r="55" spans="1:7" x14ac:dyDescent="0.3">
      <c r="A55" s="80">
        <v>45660.887476851851</v>
      </c>
      <c r="B55" t="s">
        <v>677</v>
      </c>
      <c r="C55" t="s">
        <v>706</v>
      </c>
      <c r="D55" t="s">
        <v>707</v>
      </c>
      <c r="E55">
        <v>1</v>
      </c>
      <c r="F55">
        <v>29990</v>
      </c>
      <c r="G55">
        <v>5000</v>
      </c>
    </row>
    <row r="56" spans="1:7" x14ac:dyDescent="0.3">
      <c r="A56" s="80">
        <v>45660.997002314813</v>
      </c>
      <c r="B56" t="s">
        <v>677</v>
      </c>
      <c r="C56" t="s">
        <v>706</v>
      </c>
      <c r="D56" t="s">
        <v>707</v>
      </c>
      <c r="E56">
        <v>1</v>
      </c>
      <c r="F56">
        <v>29990</v>
      </c>
      <c r="G56">
        <v>5000</v>
      </c>
    </row>
    <row r="57" spans="1:7" x14ac:dyDescent="0.3">
      <c r="A57" s="80">
        <v>45661.364907407413</v>
      </c>
      <c r="B57" t="s">
        <v>677</v>
      </c>
      <c r="C57" t="s">
        <v>706</v>
      </c>
      <c r="D57" t="s">
        <v>707</v>
      </c>
      <c r="E57">
        <v>1</v>
      </c>
      <c r="F57">
        <v>29990</v>
      </c>
      <c r="G57">
        <v>5000</v>
      </c>
    </row>
    <row r="58" spans="1:7" x14ac:dyDescent="0.3">
      <c r="A58" s="80">
        <v>45661.397187499999</v>
      </c>
      <c r="B58" t="s">
        <v>677</v>
      </c>
      <c r="C58" t="s">
        <v>706</v>
      </c>
      <c r="D58" t="s">
        <v>707</v>
      </c>
      <c r="E58">
        <v>1</v>
      </c>
      <c r="F58">
        <v>29990</v>
      </c>
      <c r="G58">
        <v>5000</v>
      </c>
    </row>
    <row r="59" spans="1:7" x14ac:dyDescent="0.3">
      <c r="A59" s="80">
        <v>45661.429803240739</v>
      </c>
      <c r="B59" t="s">
        <v>677</v>
      </c>
      <c r="C59" t="s">
        <v>706</v>
      </c>
      <c r="D59" t="s">
        <v>707</v>
      </c>
      <c r="E59">
        <v>1</v>
      </c>
      <c r="F59">
        <v>29990</v>
      </c>
      <c r="G59">
        <v>5000</v>
      </c>
    </row>
    <row r="60" spans="1:7" x14ac:dyDescent="0.3">
      <c r="A60" s="80">
        <v>45661.449849537043</v>
      </c>
      <c r="B60" t="s">
        <v>677</v>
      </c>
      <c r="C60" t="s">
        <v>706</v>
      </c>
      <c r="D60" t="s">
        <v>707</v>
      </c>
      <c r="E60">
        <v>1</v>
      </c>
      <c r="F60">
        <v>29990</v>
      </c>
      <c r="G60">
        <v>5000</v>
      </c>
    </row>
    <row r="61" spans="1:7" x14ac:dyDescent="0.3">
      <c r="A61" s="80">
        <v>45661.458344907413</v>
      </c>
      <c r="B61" t="s">
        <v>677</v>
      </c>
      <c r="C61" t="s">
        <v>706</v>
      </c>
      <c r="D61" t="s">
        <v>707</v>
      </c>
      <c r="E61">
        <v>1</v>
      </c>
      <c r="F61">
        <v>29990</v>
      </c>
      <c r="G61">
        <v>5000</v>
      </c>
    </row>
    <row r="62" spans="1:7" x14ac:dyDescent="0.3">
      <c r="A62" s="80">
        <v>45661.46230324074</v>
      </c>
      <c r="B62" t="s">
        <v>677</v>
      </c>
      <c r="C62" t="s">
        <v>706</v>
      </c>
      <c r="D62" t="s">
        <v>707</v>
      </c>
      <c r="E62">
        <v>1</v>
      </c>
      <c r="F62">
        <v>29990</v>
      </c>
      <c r="G62">
        <v>5000</v>
      </c>
    </row>
    <row r="63" spans="1:7" x14ac:dyDescent="0.3">
      <c r="A63" s="80">
        <v>45661.482106481482</v>
      </c>
      <c r="B63" t="s">
        <v>677</v>
      </c>
      <c r="C63" t="s">
        <v>706</v>
      </c>
      <c r="D63" t="s">
        <v>707</v>
      </c>
      <c r="E63">
        <v>1</v>
      </c>
      <c r="F63">
        <v>29990</v>
      </c>
      <c r="G63">
        <v>5000</v>
      </c>
    </row>
    <row r="64" spans="1:7" x14ac:dyDescent="0.3">
      <c r="A64" s="80">
        <v>45661.492129629631</v>
      </c>
      <c r="B64" t="s">
        <v>677</v>
      </c>
      <c r="C64" t="s">
        <v>706</v>
      </c>
      <c r="D64" t="s">
        <v>707</v>
      </c>
      <c r="E64">
        <v>1</v>
      </c>
      <c r="F64">
        <v>29990</v>
      </c>
      <c r="G64">
        <v>5000</v>
      </c>
    </row>
    <row r="65" spans="1:7" x14ac:dyDescent="0.3">
      <c r="A65" s="80">
        <v>45661.494953703703</v>
      </c>
      <c r="B65" t="s">
        <v>677</v>
      </c>
      <c r="C65" t="s">
        <v>706</v>
      </c>
      <c r="D65" t="s">
        <v>707</v>
      </c>
      <c r="E65">
        <v>1</v>
      </c>
      <c r="F65">
        <v>29990</v>
      </c>
      <c r="G65">
        <v>5000</v>
      </c>
    </row>
    <row r="66" spans="1:7" x14ac:dyDescent="0.3">
      <c r="A66" s="80">
        <v>45661.503310185188</v>
      </c>
      <c r="B66" t="s">
        <v>703</v>
      </c>
      <c r="C66" t="s">
        <v>704</v>
      </c>
      <c r="D66" t="s">
        <v>705</v>
      </c>
      <c r="E66">
        <v>1</v>
      </c>
      <c r="F66">
        <v>9990</v>
      </c>
      <c r="G66">
        <v>500</v>
      </c>
    </row>
    <row r="67" spans="1:7" x14ac:dyDescent="0.3">
      <c r="A67" s="80">
        <v>45661.557071759264</v>
      </c>
      <c r="B67" t="s">
        <v>677</v>
      </c>
      <c r="C67" t="s">
        <v>706</v>
      </c>
      <c r="D67" t="s">
        <v>707</v>
      </c>
      <c r="E67">
        <v>1</v>
      </c>
      <c r="F67">
        <v>29990</v>
      </c>
      <c r="G67">
        <v>5000</v>
      </c>
    </row>
    <row r="68" spans="1:7" x14ac:dyDescent="0.3">
      <c r="A68" s="80">
        <v>45661.606805555559</v>
      </c>
      <c r="B68" t="s">
        <v>677</v>
      </c>
      <c r="C68" t="s">
        <v>706</v>
      </c>
      <c r="D68" t="s">
        <v>707</v>
      </c>
      <c r="E68">
        <v>1</v>
      </c>
      <c r="F68">
        <v>29990</v>
      </c>
      <c r="G68">
        <v>5000</v>
      </c>
    </row>
    <row r="69" spans="1:7" x14ac:dyDescent="0.3">
      <c r="A69" s="80">
        <v>45661.676388888889</v>
      </c>
      <c r="B69" t="s">
        <v>677</v>
      </c>
      <c r="C69" t="s">
        <v>706</v>
      </c>
      <c r="D69" t="s">
        <v>707</v>
      </c>
      <c r="E69">
        <v>1</v>
      </c>
      <c r="F69">
        <v>29990</v>
      </c>
      <c r="G69">
        <v>5000</v>
      </c>
    </row>
    <row r="70" spans="1:7" x14ac:dyDescent="0.3">
      <c r="A70" s="80">
        <v>45661.684259259258</v>
      </c>
      <c r="B70" t="s">
        <v>677</v>
      </c>
      <c r="C70" t="s">
        <v>706</v>
      </c>
      <c r="D70" t="s">
        <v>707</v>
      </c>
      <c r="E70">
        <v>1</v>
      </c>
      <c r="F70">
        <v>29990</v>
      </c>
      <c r="G70">
        <v>5000</v>
      </c>
    </row>
    <row r="71" spans="1:7" x14ac:dyDescent="0.3">
      <c r="A71" s="80">
        <v>45661.841273148151</v>
      </c>
      <c r="B71" t="s">
        <v>677</v>
      </c>
      <c r="C71" t="s">
        <v>706</v>
      </c>
      <c r="D71" t="s">
        <v>707</v>
      </c>
      <c r="E71">
        <v>1</v>
      </c>
      <c r="F71">
        <v>29990</v>
      </c>
      <c r="G71">
        <v>5000</v>
      </c>
    </row>
    <row r="72" spans="1:7" x14ac:dyDescent="0.3">
      <c r="A72" s="80">
        <v>45661.853877314818</v>
      </c>
      <c r="B72" t="s">
        <v>677</v>
      </c>
      <c r="C72" t="s">
        <v>706</v>
      </c>
      <c r="D72" t="s">
        <v>707</v>
      </c>
      <c r="E72">
        <v>1</v>
      </c>
      <c r="F72">
        <v>29990</v>
      </c>
      <c r="G72">
        <v>5000</v>
      </c>
    </row>
    <row r="73" spans="1:7" x14ac:dyDescent="0.3">
      <c r="A73" s="80">
        <v>45661.88962962963</v>
      </c>
      <c r="B73" t="s">
        <v>677</v>
      </c>
      <c r="C73" t="s">
        <v>706</v>
      </c>
      <c r="D73" t="s">
        <v>707</v>
      </c>
      <c r="E73">
        <v>1</v>
      </c>
      <c r="F73">
        <v>29990</v>
      </c>
      <c r="G73">
        <v>5000</v>
      </c>
    </row>
    <row r="74" spans="1:7" x14ac:dyDescent="0.3">
      <c r="A74" s="80">
        <v>45661.894375000003</v>
      </c>
      <c r="B74" t="s">
        <v>677</v>
      </c>
      <c r="C74" t="s">
        <v>706</v>
      </c>
      <c r="D74" t="s">
        <v>707</v>
      </c>
      <c r="E74">
        <v>1</v>
      </c>
      <c r="F74">
        <v>29990</v>
      </c>
      <c r="G74">
        <v>5000</v>
      </c>
    </row>
    <row r="75" spans="1:7" x14ac:dyDescent="0.3">
      <c r="A75" s="80">
        <v>45661.962916666656</v>
      </c>
      <c r="B75" t="s">
        <v>677</v>
      </c>
      <c r="C75" t="s">
        <v>706</v>
      </c>
      <c r="D75" t="s">
        <v>707</v>
      </c>
      <c r="E75">
        <v>1</v>
      </c>
      <c r="F75">
        <v>29990</v>
      </c>
      <c r="G75">
        <v>5000</v>
      </c>
    </row>
    <row r="76" spans="1:7" x14ac:dyDescent="0.3">
      <c r="A76" s="80">
        <v>45662.026284722233</v>
      </c>
      <c r="B76" t="s">
        <v>677</v>
      </c>
      <c r="C76" t="s">
        <v>706</v>
      </c>
      <c r="D76" t="s">
        <v>707</v>
      </c>
      <c r="E76">
        <v>1</v>
      </c>
      <c r="F76">
        <v>29990</v>
      </c>
      <c r="G76">
        <v>5000</v>
      </c>
    </row>
    <row r="77" spans="1:7" x14ac:dyDescent="0.3">
      <c r="A77" s="80">
        <v>45662.233564814807</v>
      </c>
      <c r="B77" t="s">
        <v>677</v>
      </c>
      <c r="C77" t="s">
        <v>706</v>
      </c>
      <c r="D77" t="s">
        <v>707</v>
      </c>
      <c r="E77">
        <v>1</v>
      </c>
      <c r="F77">
        <v>29990</v>
      </c>
      <c r="G77">
        <v>5000</v>
      </c>
    </row>
    <row r="78" spans="1:7" x14ac:dyDescent="0.3">
      <c r="A78" s="80">
        <v>45662.442499999997</v>
      </c>
      <c r="B78" t="s">
        <v>677</v>
      </c>
      <c r="C78" t="s">
        <v>706</v>
      </c>
      <c r="D78" t="s">
        <v>707</v>
      </c>
      <c r="E78">
        <v>1</v>
      </c>
      <c r="F78">
        <v>29990</v>
      </c>
      <c r="G78">
        <v>5000</v>
      </c>
    </row>
    <row r="79" spans="1:7" x14ac:dyDescent="0.3">
      <c r="A79" s="80">
        <v>45662.530405092592</v>
      </c>
      <c r="B79" t="s">
        <v>677</v>
      </c>
      <c r="C79" t="s">
        <v>706</v>
      </c>
      <c r="D79" t="s">
        <v>707</v>
      </c>
      <c r="E79">
        <v>1</v>
      </c>
      <c r="F79">
        <v>29990</v>
      </c>
      <c r="G79">
        <v>5000</v>
      </c>
    </row>
    <row r="80" spans="1:7" x14ac:dyDescent="0.3">
      <c r="A80" s="80">
        <v>45662.530405092592</v>
      </c>
      <c r="B80" t="s">
        <v>719</v>
      </c>
      <c r="C80" t="s">
        <v>720</v>
      </c>
      <c r="D80" t="s">
        <v>721</v>
      </c>
      <c r="E80">
        <v>1</v>
      </c>
      <c r="F80">
        <v>29990</v>
      </c>
      <c r="G80">
        <v>5000</v>
      </c>
    </row>
    <row r="81" spans="1:7" x14ac:dyDescent="0.3">
      <c r="A81" s="80">
        <v>45662.533020833333</v>
      </c>
      <c r="B81" t="s">
        <v>677</v>
      </c>
      <c r="C81" t="s">
        <v>706</v>
      </c>
      <c r="D81" t="s">
        <v>707</v>
      </c>
      <c r="E81">
        <v>1</v>
      </c>
      <c r="F81">
        <v>29990</v>
      </c>
      <c r="G81">
        <v>5000</v>
      </c>
    </row>
    <row r="82" spans="1:7" x14ac:dyDescent="0.3">
      <c r="A82" s="80">
        <v>45662.548159722217</v>
      </c>
      <c r="B82" t="s">
        <v>677</v>
      </c>
      <c r="C82" t="s">
        <v>706</v>
      </c>
      <c r="D82" t="s">
        <v>707</v>
      </c>
      <c r="E82">
        <v>1</v>
      </c>
      <c r="F82">
        <v>29990</v>
      </c>
      <c r="G82">
        <v>5000</v>
      </c>
    </row>
    <row r="83" spans="1:7" x14ac:dyDescent="0.3">
      <c r="A83" s="80">
        <v>45662.5546875</v>
      </c>
      <c r="B83" t="s">
        <v>677</v>
      </c>
      <c r="C83" t="s">
        <v>706</v>
      </c>
      <c r="D83" t="s">
        <v>707</v>
      </c>
      <c r="E83">
        <v>2</v>
      </c>
      <c r="F83">
        <v>59980</v>
      </c>
      <c r="G83">
        <v>10000</v>
      </c>
    </row>
    <row r="84" spans="1:7" x14ac:dyDescent="0.3">
      <c r="A84" s="80">
        <v>45662.59275462963</v>
      </c>
      <c r="B84" t="s">
        <v>677</v>
      </c>
      <c r="C84" t="s">
        <v>706</v>
      </c>
      <c r="D84" t="s">
        <v>707</v>
      </c>
      <c r="E84">
        <v>1</v>
      </c>
      <c r="F84">
        <v>29990</v>
      </c>
      <c r="G84">
        <v>5000</v>
      </c>
    </row>
    <row r="85" spans="1:7" x14ac:dyDescent="0.3">
      <c r="A85" s="80">
        <v>45662.59275462963</v>
      </c>
      <c r="B85" t="s">
        <v>719</v>
      </c>
      <c r="C85" t="s">
        <v>720</v>
      </c>
      <c r="D85" t="s">
        <v>721</v>
      </c>
      <c r="E85">
        <v>1</v>
      </c>
      <c r="F85">
        <v>29990</v>
      </c>
      <c r="G85">
        <v>5000</v>
      </c>
    </row>
    <row r="86" spans="1:7" x14ac:dyDescent="0.3">
      <c r="A86" s="80">
        <v>45662.605104166672</v>
      </c>
      <c r="B86" t="s">
        <v>717</v>
      </c>
      <c r="C86" t="s">
        <v>704</v>
      </c>
      <c r="D86" t="s">
        <v>718</v>
      </c>
      <c r="E86">
        <v>1</v>
      </c>
      <c r="F86">
        <v>9990</v>
      </c>
      <c r="G86">
        <v>2630</v>
      </c>
    </row>
    <row r="87" spans="1:7" x14ac:dyDescent="0.3">
      <c r="A87" s="80">
        <v>45662.624780092592</v>
      </c>
      <c r="B87" t="s">
        <v>677</v>
      </c>
      <c r="C87" t="s">
        <v>706</v>
      </c>
      <c r="D87" t="s">
        <v>707</v>
      </c>
      <c r="E87">
        <v>1</v>
      </c>
      <c r="F87">
        <v>29990</v>
      </c>
      <c r="G87">
        <v>5000</v>
      </c>
    </row>
    <row r="88" spans="1:7" x14ac:dyDescent="0.3">
      <c r="A88" s="80">
        <v>45662.6249537037</v>
      </c>
      <c r="B88" t="s">
        <v>677</v>
      </c>
      <c r="C88" t="s">
        <v>706</v>
      </c>
      <c r="D88" t="s">
        <v>707</v>
      </c>
      <c r="E88">
        <v>1</v>
      </c>
      <c r="F88">
        <v>29990</v>
      </c>
      <c r="G88">
        <v>5000</v>
      </c>
    </row>
    <row r="89" spans="1:7" x14ac:dyDescent="0.3">
      <c r="A89" s="80">
        <v>45662.730405092603</v>
      </c>
      <c r="B89" t="s">
        <v>677</v>
      </c>
      <c r="C89" t="s">
        <v>706</v>
      </c>
      <c r="D89" t="s">
        <v>707</v>
      </c>
      <c r="E89">
        <v>1</v>
      </c>
      <c r="F89">
        <v>29990</v>
      </c>
      <c r="G89">
        <v>5000</v>
      </c>
    </row>
    <row r="90" spans="1:7" x14ac:dyDescent="0.3">
      <c r="A90" s="80">
        <v>45662.757465277777</v>
      </c>
      <c r="B90" t="s">
        <v>719</v>
      </c>
      <c r="C90" t="s">
        <v>720</v>
      </c>
      <c r="D90" t="s">
        <v>721</v>
      </c>
      <c r="E90">
        <v>1</v>
      </c>
      <c r="F90">
        <v>29990</v>
      </c>
      <c r="G90">
        <v>5000</v>
      </c>
    </row>
    <row r="91" spans="1:7" x14ac:dyDescent="0.3">
      <c r="A91" s="80">
        <v>45662.757465277777</v>
      </c>
      <c r="B91" t="s">
        <v>677</v>
      </c>
      <c r="C91" t="s">
        <v>706</v>
      </c>
      <c r="D91" t="s">
        <v>707</v>
      </c>
      <c r="E91">
        <v>1</v>
      </c>
      <c r="F91">
        <v>29990</v>
      </c>
      <c r="G91">
        <v>5000</v>
      </c>
    </row>
    <row r="92" spans="1:7" x14ac:dyDescent="0.3">
      <c r="A92" s="80">
        <v>45662.759641203702</v>
      </c>
      <c r="B92" t="s">
        <v>677</v>
      </c>
      <c r="C92" t="s">
        <v>706</v>
      </c>
      <c r="D92" t="s">
        <v>707</v>
      </c>
      <c r="E92">
        <v>1</v>
      </c>
      <c r="F92">
        <v>29990</v>
      </c>
      <c r="G92">
        <v>5000</v>
      </c>
    </row>
    <row r="93" spans="1:7" x14ac:dyDescent="0.3">
      <c r="A93" s="80">
        <v>45662.761597222219</v>
      </c>
      <c r="B93" t="s">
        <v>677</v>
      </c>
      <c r="C93" t="s">
        <v>706</v>
      </c>
      <c r="D93" t="s">
        <v>707</v>
      </c>
      <c r="E93">
        <v>1</v>
      </c>
      <c r="F93">
        <v>26991</v>
      </c>
      <c r="G93">
        <v>5000</v>
      </c>
    </row>
    <row r="94" spans="1:7" x14ac:dyDescent="0.3">
      <c r="A94" s="80">
        <v>45662.813784722217</v>
      </c>
      <c r="B94" t="s">
        <v>677</v>
      </c>
      <c r="C94" t="s">
        <v>706</v>
      </c>
      <c r="D94" t="s">
        <v>707</v>
      </c>
      <c r="E94">
        <v>1</v>
      </c>
      <c r="F94">
        <v>29990</v>
      </c>
      <c r="G94">
        <v>5000</v>
      </c>
    </row>
    <row r="95" spans="1:7" x14ac:dyDescent="0.3">
      <c r="A95" s="80">
        <v>45662.817326388889</v>
      </c>
      <c r="B95" t="s">
        <v>677</v>
      </c>
      <c r="C95" t="s">
        <v>706</v>
      </c>
      <c r="D95" t="s">
        <v>707</v>
      </c>
      <c r="E95">
        <v>1</v>
      </c>
      <c r="F95">
        <v>29990</v>
      </c>
      <c r="G95">
        <v>5000</v>
      </c>
    </row>
    <row r="96" spans="1:7" x14ac:dyDescent="0.3">
      <c r="A96" s="80">
        <v>45662.882013888891</v>
      </c>
      <c r="B96" t="s">
        <v>677</v>
      </c>
      <c r="C96" t="s">
        <v>706</v>
      </c>
      <c r="D96" t="s">
        <v>707</v>
      </c>
      <c r="E96">
        <v>1</v>
      </c>
      <c r="F96">
        <v>29990</v>
      </c>
      <c r="G96">
        <v>5000</v>
      </c>
    </row>
    <row r="97" spans="1:7" x14ac:dyDescent="0.3">
      <c r="A97" s="80">
        <v>45662.902754629627</v>
      </c>
      <c r="B97" t="s">
        <v>677</v>
      </c>
      <c r="C97" t="s">
        <v>706</v>
      </c>
      <c r="D97" t="s">
        <v>707</v>
      </c>
      <c r="E97">
        <v>1</v>
      </c>
      <c r="F97">
        <v>29990</v>
      </c>
      <c r="G97">
        <v>5000</v>
      </c>
    </row>
    <row r="98" spans="1:7" x14ac:dyDescent="0.3">
      <c r="A98" s="80">
        <v>45662.967372685183</v>
      </c>
      <c r="B98" t="s">
        <v>677</v>
      </c>
      <c r="C98" t="s">
        <v>706</v>
      </c>
      <c r="D98" t="s">
        <v>707</v>
      </c>
      <c r="E98">
        <v>1</v>
      </c>
      <c r="F98">
        <v>29990</v>
      </c>
      <c r="G98">
        <v>5000</v>
      </c>
    </row>
    <row r="99" spans="1:7" x14ac:dyDescent="0.3">
      <c r="A99" s="80">
        <v>45662.969641203701</v>
      </c>
      <c r="B99" t="s">
        <v>677</v>
      </c>
      <c r="C99" t="s">
        <v>706</v>
      </c>
      <c r="D99" t="s">
        <v>707</v>
      </c>
      <c r="E99">
        <v>1</v>
      </c>
      <c r="F99">
        <v>29990</v>
      </c>
      <c r="G99">
        <v>5000</v>
      </c>
    </row>
    <row r="100" spans="1:7" x14ac:dyDescent="0.3">
      <c r="A100" s="80">
        <v>45663.034421296303</v>
      </c>
      <c r="B100" t="s">
        <v>719</v>
      </c>
      <c r="C100" t="s">
        <v>720</v>
      </c>
      <c r="D100" t="s">
        <v>721</v>
      </c>
      <c r="E100">
        <v>1</v>
      </c>
      <c r="F100">
        <v>29990</v>
      </c>
      <c r="G100">
        <v>5000</v>
      </c>
    </row>
    <row r="101" spans="1:7" x14ac:dyDescent="0.3">
      <c r="A101" s="80">
        <v>45663.034421296303</v>
      </c>
      <c r="B101" t="s">
        <v>677</v>
      </c>
      <c r="C101" t="s">
        <v>706</v>
      </c>
      <c r="D101" t="s">
        <v>707</v>
      </c>
      <c r="E101">
        <v>1</v>
      </c>
      <c r="F101">
        <v>29990</v>
      </c>
      <c r="G101">
        <v>5000</v>
      </c>
    </row>
    <row r="102" spans="1:7" x14ac:dyDescent="0.3">
      <c r="A102" s="80">
        <v>45663.313958333332</v>
      </c>
      <c r="B102" t="s">
        <v>677</v>
      </c>
      <c r="C102" t="s">
        <v>706</v>
      </c>
      <c r="D102" t="s">
        <v>707</v>
      </c>
      <c r="E102">
        <v>1</v>
      </c>
      <c r="F102">
        <v>29990</v>
      </c>
      <c r="G102">
        <v>5000</v>
      </c>
    </row>
    <row r="103" spans="1:7" x14ac:dyDescent="0.3">
      <c r="A103" s="80">
        <v>45663.333611111113</v>
      </c>
      <c r="B103" t="s">
        <v>677</v>
      </c>
      <c r="C103" t="s">
        <v>706</v>
      </c>
      <c r="D103" t="s">
        <v>707</v>
      </c>
      <c r="E103">
        <v>1</v>
      </c>
      <c r="F103">
        <v>29990</v>
      </c>
      <c r="G103">
        <v>5000</v>
      </c>
    </row>
    <row r="104" spans="1:7" x14ac:dyDescent="0.3">
      <c r="A104" s="80">
        <v>45663.375162037039</v>
      </c>
      <c r="B104" t="s">
        <v>703</v>
      </c>
      <c r="C104" t="s">
        <v>704</v>
      </c>
      <c r="D104" t="s">
        <v>705</v>
      </c>
      <c r="E104">
        <v>1</v>
      </c>
      <c r="F104">
        <v>9990</v>
      </c>
      <c r="G104">
        <v>500</v>
      </c>
    </row>
    <row r="105" spans="1:7" x14ac:dyDescent="0.3">
      <c r="A105" s="80">
        <v>45663.375196759262</v>
      </c>
      <c r="B105" t="s">
        <v>677</v>
      </c>
      <c r="C105" t="s">
        <v>706</v>
      </c>
      <c r="D105" t="s">
        <v>707</v>
      </c>
      <c r="E105">
        <v>1</v>
      </c>
      <c r="F105">
        <v>29990</v>
      </c>
      <c r="G105">
        <v>5000</v>
      </c>
    </row>
    <row r="106" spans="1:7" x14ac:dyDescent="0.3">
      <c r="A106" s="80">
        <v>45663.467280092591</v>
      </c>
      <c r="B106" t="s">
        <v>677</v>
      </c>
      <c r="C106" t="s">
        <v>706</v>
      </c>
      <c r="D106" t="s">
        <v>707</v>
      </c>
      <c r="E106">
        <v>1</v>
      </c>
      <c r="F106">
        <v>29990</v>
      </c>
      <c r="G106">
        <v>5000</v>
      </c>
    </row>
    <row r="107" spans="1:7" x14ac:dyDescent="0.3">
      <c r="A107" s="80">
        <v>45663.467361111107</v>
      </c>
      <c r="B107" t="s">
        <v>677</v>
      </c>
      <c r="C107" t="s">
        <v>706</v>
      </c>
      <c r="D107" t="s">
        <v>707</v>
      </c>
      <c r="E107">
        <v>1</v>
      </c>
      <c r="F107">
        <v>29990</v>
      </c>
      <c r="G107">
        <v>5000</v>
      </c>
    </row>
    <row r="108" spans="1:7" x14ac:dyDescent="0.3">
      <c r="A108" s="80">
        <v>45663.469143518523</v>
      </c>
      <c r="B108" t="s">
        <v>677</v>
      </c>
      <c r="C108" t="s">
        <v>706</v>
      </c>
      <c r="D108" t="s">
        <v>707</v>
      </c>
      <c r="E108">
        <v>1</v>
      </c>
      <c r="F108">
        <v>29990</v>
      </c>
      <c r="G108">
        <v>5000</v>
      </c>
    </row>
    <row r="109" spans="1:7" x14ac:dyDescent="0.3">
      <c r="A109" s="80">
        <v>45663.64947916667</v>
      </c>
      <c r="B109" t="s">
        <v>677</v>
      </c>
      <c r="C109" t="s">
        <v>706</v>
      </c>
      <c r="D109" t="s">
        <v>707</v>
      </c>
      <c r="E109">
        <v>1</v>
      </c>
      <c r="F109">
        <v>29990</v>
      </c>
      <c r="G109">
        <v>5000</v>
      </c>
    </row>
    <row r="110" spans="1:7" x14ac:dyDescent="0.3">
      <c r="A110" s="80">
        <v>45663.67119212963</v>
      </c>
      <c r="B110" t="s">
        <v>677</v>
      </c>
      <c r="C110" t="s">
        <v>706</v>
      </c>
      <c r="D110" t="s">
        <v>707</v>
      </c>
      <c r="E110">
        <v>1</v>
      </c>
      <c r="F110">
        <v>26991</v>
      </c>
      <c r="G110">
        <v>5000</v>
      </c>
    </row>
    <row r="111" spans="1:7" x14ac:dyDescent="0.3">
      <c r="A111" s="80">
        <v>45663.67291666667</v>
      </c>
      <c r="B111" t="s">
        <v>677</v>
      </c>
      <c r="C111" t="s">
        <v>706</v>
      </c>
      <c r="D111" t="s">
        <v>707</v>
      </c>
      <c r="E111">
        <v>1</v>
      </c>
      <c r="F111">
        <v>1000</v>
      </c>
      <c r="G111">
        <v>5000</v>
      </c>
    </row>
    <row r="112" spans="1:7" x14ac:dyDescent="0.3">
      <c r="A112" s="80">
        <v>45663.700069444443</v>
      </c>
      <c r="B112" t="s">
        <v>677</v>
      </c>
      <c r="C112" t="s">
        <v>706</v>
      </c>
      <c r="D112" t="s">
        <v>707</v>
      </c>
      <c r="E112">
        <v>1</v>
      </c>
      <c r="F112">
        <v>29990</v>
      </c>
      <c r="G112">
        <v>5000</v>
      </c>
    </row>
    <row r="113" spans="1:7" x14ac:dyDescent="0.3">
      <c r="A113" s="80">
        <v>45663.731620370367</v>
      </c>
      <c r="B113" t="s">
        <v>677</v>
      </c>
      <c r="C113" t="s">
        <v>706</v>
      </c>
      <c r="D113" t="s">
        <v>707</v>
      </c>
      <c r="E113">
        <v>1</v>
      </c>
      <c r="F113">
        <v>29990</v>
      </c>
      <c r="G113">
        <v>5000</v>
      </c>
    </row>
    <row r="114" spans="1:7" x14ac:dyDescent="0.3">
      <c r="A114" s="80">
        <v>45663.740879629629</v>
      </c>
      <c r="B114" t="s">
        <v>677</v>
      </c>
      <c r="C114" t="s">
        <v>706</v>
      </c>
      <c r="D114" t="s">
        <v>707</v>
      </c>
      <c r="E114">
        <v>1</v>
      </c>
      <c r="F114">
        <v>29990</v>
      </c>
      <c r="G114">
        <v>5000</v>
      </c>
    </row>
    <row r="115" spans="1:7" x14ac:dyDescent="0.3">
      <c r="A115" s="80">
        <v>45663.756701388891</v>
      </c>
      <c r="B115" t="s">
        <v>677</v>
      </c>
      <c r="C115" t="s">
        <v>706</v>
      </c>
      <c r="D115" t="s">
        <v>707</v>
      </c>
      <c r="E115">
        <v>1</v>
      </c>
      <c r="F115">
        <v>29990</v>
      </c>
      <c r="G115">
        <v>5000</v>
      </c>
    </row>
    <row r="116" spans="1:7" x14ac:dyDescent="0.3">
      <c r="A116" s="80">
        <v>45663.774305555547</v>
      </c>
      <c r="B116" t="s">
        <v>677</v>
      </c>
      <c r="C116" t="s">
        <v>706</v>
      </c>
      <c r="D116" t="s">
        <v>707</v>
      </c>
      <c r="E116">
        <v>1</v>
      </c>
      <c r="F116">
        <v>29990</v>
      </c>
      <c r="G116">
        <v>5000</v>
      </c>
    </row>
    <row r="117" spans="1:7" x14ac:dyDescent="0.3">
      <c r="A117" s="80">
        <v>45663.816793981481</v>
      </c>
      <c r="B117" t="s">
        <v>677</v>
      </c>
      <c r="C117" t="s">
        <v>706</v>
      </c>
      <c r="D117" t="s">
        <v>707</v>
      </c>
      <c r="E117">
        <v>1</v>
      </c>
      <c r="F117">
        <v>29990</v>
      </c>
      <c r="G117">
        <v>5000</v>
      </c>
    </row>
    <row r="118" spans="1:7" x14ac:dyDescent="0.3">
      <c r="A118" s="80">
        <v>45663.817847222221</v>
      </c>
      <c r="B118" t="s">
        <v>677</v>
      </c>
      <c r="C118" t="s">
        <v>706</v>
      </c>
      <c r="D118" t="s">
        <v>707</v>
      </c>
      <c r="E118">
        <v>1</v>
      </c>
      <c r="F118">
        <v>29990</v>
      </c>
      <c r="G118">
        <v>5000</v>
      </c>
    </row>
    <row r="119" spans="1:7" x14ac:dyDescent="0.3">
      <c r="A119" s="80">
        <v>45663.823599537027</v>
      </c>
      <c r="B119" t="s">
        <v>677</v>
      </c>
      <c r="C119" t="s">
        <v>706</v>
      </c>
      <c r="D119" t="s">
        <v>707</v>
      </c>
      <c r="E119">
        <v>1</v>
      </c>
      <c r="F119">
        <v>29990</v>
      </c>
      <c r="G119">
        <v>5000</v>
      </c>
    </row>
    <row r="120" spans="1:7" x14ac:dyDescent="0.3">
      <c r="A120" s="80">
        <v>45663.832557870373</v>
      </c>
      <c r="B120" t="s">
        <v>677</v>
      </c>
      <c r="C120" t="s">
        <v>706</v>
      </c>
      <c r="D120" t="s">
        <v>707</v>
      </c>
      <c r="E120">
        <v>1</v>
      </c>
      <c r="F120">
        <v>26991</v>
      </c>
      <c r="G120">
        <v>5000</v>
      </c>
    </row>
    <row r="121" spans="1:7" x14ac:dyDescent="0.3">
      <c r="A121" s="80">
        <v>45663.841921296298</v>
      </c>
      <c r="B121" t="s">
        <v>719</v>
      </c>
      <c r="C121" t="s">
        <v>720</v>
      </c>
      <c r="D121" t="s">
        <v>721</v>
      </c>
      <c r="E121">
        <v>1</v>
      </c>
      <c r="F121">
        <v>29990</v>
      </c>
      <c r="G121">
        <v>5000</v>
      </c>
    </row>
    <row r="122" spans="1:7" x14ac:dyDescent="0.3">
      <c r="A122" s="80">
        <v>45663.860821759263</v>
      </c>
      <c r="B122" t="s">
        <v>677</v>
      </c>
      <c r="C122" t="s">
        <v>706</v>
      </c>
      <c r="D122" t="s">
        <v>707</v>
      </c>
      <c r="E122">
        <v>1</v>
      </c>
      <c r="F122">
        <v>29990</v>
      </c>
      <c r="G122">
        <v>5000</v>
      </c>
    </row>
    <row r="123" spans="1:7" x14ac:dyDescent="0.3">
      <c r="A123" s="80">
        <v>45663.938587962963</v>
      </c>
      <c r="B123" t="s">
        <v>677</v>
      </c>
      <c r="C123" t="s">
        <v>706</v>
      </c>
      <c r="D123" t="s">
        <v>707</v>
      </c>
      <c r="E123">
        <v>1</v>
      </c>
      <c r="F123">
        <v>29990</v>
      </c>
      <c r="G123">
        <v>5000</v>
      </c>
    </row>
    <row r="124" spans="1:7" x14ac:dyDescent="0.3">
      <c r="A124" s="80">
        <v>45663.980833333328</v>
      </c>
      <c r="B124" t="s">
        <v>677</v>
      </c>
      <c r="C124" t="s">
        <v>706</v>
      </c>
      <c r="D124" t="s">
        <v>707</v>
      </c>
      <c r="E124">
        <v>1</v>
      </c>
      <c r="F124">
        <v>29990</v>
      </c>
      <c r="G124">
        <v>5000</v>
      </c>
    </row>
    <row r="125" spans="1:7" x14ac:dyDescent="0.3">
      <c r="A125" s="80">
        <v>45664.346192129633</v>
      </c>
      <c r="B125" t="s">
        <v>677</v>
      </c>
      <c r="C125" t="s">
        <v>706</v>
      </c>
      <c r="D125" t="s">
        <v>707</v>
      </c>
      <c r="E125">
        <v>1</v>
      </c>
      <c r="F125">
        <v>29990</v>
      </c>
      <c r="G125">
        <v>5000</v>
      </c>
    </row>
    <row r="126" spans="1:7" x14ac:dyDescent="0.3">
      <c r="A126" s="80">
        <v>45664.390787037039</v>
      </c>
      <c r="B126" t="s">
        <v>677</v>
      </c>
      <c r="C126" t="s">
        <v>706</v>
      </c>
      <c r="D126" t="s">
        <v>707</v>
      </c>
      <c r="E126">
        <v>1</v>
      </c>
      <c r="F126">
        <v>29990</v>
      </c>
      <c r="G126">
        <v>5000</v>
      </c>
    </row>
    <row r="127" spans="1:7" x14ac:dyDescent="0.3">
      <c r="A127" s="80">
        <v>45664.504629629628</v>
      </c>
      <c r="B127" t="s">
        <v>677</v>
      </c>
      <c r="C127" t="s">
        <v>706</v>
      </c>
      <c r="D127" t="s">
        <v>707</v>
      </c>
      <c r="E127">
        <v>1</v>
      </c>
      <c r="F127">
        <v>29990</v>
      </c>
      <c r="G127">
        <v>5000</v>
      </c>
    </row>
    <row r="128" spans="1:7" x14ac:dyDescent="0.3">
      <c r="A128" s="80">
        <v>45664.527696759258</v>
      </c>
      <c r="B128" t="s">
        <v>677</v>
      </c>
      <c r="C128" t="s">
        <v>706</v>
      </c>
      <c r="D128" t="s">
        <v>707</v>
      </c>
      <c r="E128">
        <v>1</v>
      </c>
      <c r="F128">
        <v>29990</v>
      </c>
      <c r="G128">
        <v>5000</v>
      </c>
    </row>
    <row r="129" spans="1:7" x14ac:dyDescent="0.3">
      <c r="A129" s="80">
        <v>45664.606840277767</v>
      </c>
      <c r="B129" t="s">
        <v>677</v>
      </c>
      <c r="C129" t="s">
        <v>706</v>
      </c>
      <c r="D129" t="s">
        <v>707</v>
      </c>
      <c r="E129">
        <v>1</v>
      </c>
      <c r="F129">
        <v>29990</v>
      </c>
      <c r="G129">
        <v>5000</v>
      </c>
    </row>
    <row r="130" spans="1:7" x14ac:dyDescent="0.3">
      <c r="A130" s="80">
        <v>45664.681307870371</v>
      </c>
      <c r="B130" t="s">
        <v>677</v>
      </c>
      <c r="C130" t="s">
        <v>706</v>
      </c>
      <c r="D130" t="s">
        <v>707</v>
      </c>
      <c r="E130">
        <v>1</v>
      </c>
      <c r="F130">
        <v>29990</v>
      </c>
      <c r="G130">
        <v>5000</v>
      </c>
    </row>
    <row r="131" spans="1:7" x14ac:dyDescent="0.3">
      <c r="A131" s="80">
        <v>45664.684571759259</v>
      </c>
      <c r="B131" t="s">
        <v>677</v>
      </c>
      <c r="C131" t="s">
        <v>706</v>
      </c>
      <c r="D131" t="s">
        <v>707</v>
      </c>
      <c r="E131">
        <v>1</v>
      </c>
      <c r="F131">
        <v>29990</v>
      </c>
      <c r="G131">
        <v>5000</v>
      </c>
    </row>
    <row r="132" spans="1:7" x14ac:dyDescent="0.3">
      <c r="A132" s="80">
        <v>45664.694490740738</v>
      </c>
      <c r="B132" t="s">
        <v>677</v>
      </c>
      <c r="C132" t="s">
        <v>706</v>
      </c>
      <c r="D132" t="s">
        <v>707</v>
      </c>
      <c r="E132">
        <v>1</v>
      </c>
      <c r="F132">
        <v>29990</v>
      </c>
      <c r="G132">
        <v>5000</v>
      </c>
    </row>
    <row r="133" spans="1:7" x14ac:dyDescent="0.3">
      <c r="A133" s="80">
        <v>45664.7</v>
      </c>
      <c r="B133" t="s">
        <v>677</v>
      </c>
      <c r="C133" t="s">
        <v>706</v>
      </c>
      <c r="D133" t="s">
        <v>707</v>
      </c>
      <c r="E133">
        <v>2</v>
      </c>
      <c r="F133">
        <v>59980</v>
      </c>
      <c r="G133">
        <v>10000</v>
      </c>
    </row>
    <row r="134" spans="1:7" x14ac:dyDescent="0.3">
      <c r="A134" s="80">
        <v>45664.720127314817</v>
      </c>
      <c r="B134" t="s">
        <v>677</v>
      </c>
      <c r="C134" t="s">
        <v>706</v>
      </c>
      <c r="D134" t="s">
        <v>707</v>
      </c>
      <c r="E134">
        <v>2</v>
      </c>
      <c r="F134">
        <v>59980</v>
      </c>
      <c r="G134">
        <v>10000</v>
      </c>
    </row>
    <row r="135" spans="1:7" x14ac:dyDescent="0.3">
      <c r="A135" s="80">
        <v>45664.75712962963</v>
      </c>
      <c r="B135" t="s">
        <v>677</v>
      </c>
      <c r="C135" t="s">
        <v>706</v>
      </c>
      <c r="D135" t="s">
        <v>707</v>
      </c>
      <c r="E135">
        <v>1</v>
      </c>
      <c r="F135">
        <v>29990</v>
      </c>
      <c r="G135">
        <v>5000</v>
      </c>
    </row>
    <row r="136" spans="1:7" x14ac:dyDescent="0.3">
      <c r="A136" s="80">
        <v>45664.763969907413</v>
      </c>
      <c r="B136" t="s">
        <v>677</v>
      </c>
      <c r="C136" t="s">
        <v>706</v>
      </c>
      <c r="D136" t="s">
        <v>707</v>
      </c>
      <c r="E136">
        <v>1</v>
      </c>
      <c r="F136">
        <v>29990</v>
      </c>
      <c r="G136">
        <v>5000</v>
      </c>
    </row>
    <row r="137" spans="1:7" x14ac:dyDescent="0.3">
      <c r="A137" s="80">
        <v>45664.780335648153</v>
      </c>
      <c r="B137" t="s">
        <v>677</v>
      </c>
      <c r="C137" t="s">
        <v>706</v>
      </c>
      <c r="D137" t="s">
        <v>707</v>
      </c>
      <c r="E137">
        <v>1</v>
      </c>
      <c r="F137">
        <v>29990</v>
      </c>
      <c r="G137">
        <v>5000</v>
      </c>
    </row>
    <row r="138" spans="1:7" x14ac:dyDescent="0.3">
      <c r="A138" s="80">
        <v>45664.805081018523</v>
      </c>
      <c r="B138" t="s">
        <v>677</v>
      </c>
      <c r="C138" t="s">
        <v>706</v>
      </c>
      <c r="D138" t="s">
        <v>707</v>
      </c>
      <c r="E138">
        <v>1</v>
      </c>
      <c r="F138">
        <v>29990</v>
      </c>
      <c r="G138">
        <v>5000</v>
      </c>
    </row>
    <row r="139" spans="1:7" x14ac:dyDescent="0.3">
      <c r="A139" s="80">
        <v>45664.830949074072</v>
      </c>
      <c r="B139" t="s">
        <v>677</v>
      </c>
      <c r="C139" t="s">
        <v>706</v>
      </c>
      <c r="D139" t="s">
        <v>707</v>
      </c>
      <c r="E139">
        <v>1</v>
      </c>
      <c r="F139">
        <v>29990</v>
      </c>
      <c r="G139">
        <v>5000</v>
      </c>
    </row>
    <row r="140" spans="1:7" x14ac:dyDescent="0.3">
      <c r="A140" s="80">
        <v>45664.872534722221</v>
      </c>
      <c r="B140" t="s">
        <v>677</v>
      </c>
      <c r="C140" t="s">
        <v>706</v>
      </c>
      <c r="D140" t="s">
        <v>707</v>
      </c>
      <c r="E140">
        <v>1</v>
      </c>
      <c r="F140">
        <v>29990</v>
      </c>
      <c r="G140">
        <v>5000</v>
      </c>
    </row>
    <row r="141" spans="1:7" x14ac:dyDescent="0.3">
      <c r="A141" s="80">
        <v>45664.946238425917</v>
      </c>
      <c r="B141" t="s">
        <v>677</v>
      </c>
      <c r="C141" t="s">
        <v>706</v>
      </c>
      <c r="D141" t="s">
        <v>707</v>
      </c>
      <c r="E141">
        <v>1</v>
      </c>
      <c r="F141">
        <v>29990</v>
      </c>
      <c r="G141">
        <v>5000</v>
      </c>
    </row>
    <row r="142" spans="1:7" x14ac:dyDescent="0.3">
      <c r="A142" s="80">
        <v>45665.285937499997</v>
      </c>
      <c r="B142" t="s">
        <v>677</v>
      </c>
      <c r="C142" t="s">
        <v>706</v>
      </c>
      <c r="D142" t="s">
        <v>707</v>
      </c>
      <c r="E142">
        <v>1</v>
      </c>
      <c r="F142">
        <v>29990</v>
      </c>
      <c r="G142">
        <v>5000</v>
      </c>
    </row>
    <row r="143" spans="1:7" x14ac:dyDescent="0.3">
      <c r="A143" s="80">
        <v>45665.297581018523</v>
      </c>
      <c r="B143" t="s">
        <v>677</v>
      </c>
      <c r="C143" t="s">
        <v>706</v>
      </c>
      <c r="D143" t="s">
        <v>707</v>
      </c>
      <c r="E143">
        <v>1</v>
      </c>
      <c r="F143">
        <v>29990</v>
      </c>
      <c r="G143">
        <v>5000</v>
      </c>
    </row>
    <row r="144" spans="1:7" x14ac:dyDescent="0.3">
      <c r="A144" s="80">
        <v>45665.357569444437</v>
      </c>
      <c r="B144" t="s">
        <v>677</v>
      </c>
      <c r="C144" t="s">
        <v>706</v>
      </c>
      <c r="D144" t="s">
        <v>707</v>
      </c>
      <c r="E144">
        <v>1</v>
      </c>
      <c r="F144">
        <v>29990</v>
      </c>
      <c r="G144">
        <v>5000</v>
      </c>
    </row>
    <row r="145" spans="1:7" x14ac:dyDescent="0.3">
      <c r="A145" s="80">
        <v>45665.405787037038</v>
      </c>
      <c r="B145" t="s">
        <v>677</v>
      </c>
      <c r="C145" t="s">
        <v>706</v>
      </c>
      <c r="D145" t="s">
        <v>707</v>
      </c>
      <c r="E145">
        <v>1</v>
      </c>
      <c r="F145">
        <v>29990</v>
      </c>
      <c r="G145">
        <v>5000</v>
      </c>
    </row>
    <row r="146" spans="1:7" x14ac:dyDescent="0.3">
      <c r="A146" s="80">
        <v>45665.42491898148</v>
      </c>
      <c r="B146" t="s">
        <v>677</v>
      </c>
      <c r="C146" t="s">
        <v>706</v>
      </c>
      <c r="D146" t="s">
        <v>707</v>
      </c>
      <c r="E146">
        <v>1</v>
      </c>
      <c r="F146">
        <v>29990</v>
      </c>
      <c r="G146">
        <v>5000</v>
      </c>
    </row>
    <row r="147" spans="1:7" x14ac:dyDescent="0.3">
      <c r="A147" s="80">
        <v>45665.451122685183</v>
      </c>
      <c r="B147" t="s">
        <v>677</v>
      </c>
      <c r="C147" t="s">
        <v>706</v>
      </c>
      <c r="D147" t="s">
        <v>707</v>
      </c>
      <c r="E147">
        <v>1</v>
      </c>
      <c r="F147">
        <v>29990</v>
      </c>
      <c r="G147">
        <v>5000</v>
      </c>
    </row>
    <row r="148" spans="1:7" x14ac:dyDescent="0.3">
      <c r="A148" s="80">
        <v>45665.453483796293</v>
      </c>
      <c r="B148" t="s">
        <v>677</v>
      </c>
      <c r="C148" t="s">
        <v>706</v>
      </c>
      <c r="D148" t="s">
        <v>707</v>
      </c>
      <c r="E148">
        <v>1</v>
      </c>
      <c r="F148">
        <v>29990</v>
      </c>
      <c r="G148">
        <v>5000</v>
      </c>
    </row>
    <row r="149" spans="1:7" x14ac:dyDescent="0.3">
      <c r="A149" s="80">
        <v>45665.502650462957</v>
      </c>
      <c r="B149" t="s">
        <v>677</v>
      </c>
      <c r="C149" t="s">
        <v>706</v>
      </c>
      <c r="D149" t="s">
        <v>707</v>
      </c>
      <c r="E149">
        <v>1</v>
      </c>
      <c r="F149">
        <v>29990</v>
      </c>
      <c r="G149">
        <v>5000</v>
      </c>
    </row>
    <row r="150" spans="1:7" x14ac:dyDescent="0.3">
      <c r="A150" s="80">
        <v>45665.505879629629</v>
      </c>
      <c r="B150" t="s">
        <v>677</v>
      </c>
      <c r="C150" t="s">
        <v>706</v>
      </c>
      <c r="D150" t="s">
        <v>707</v>
      </c>
      <c r="E150">
        <v>1</v>
      </c>
      <c r="F150">
        <v>29990</v>
      </c>
      <c r="G150">
        <v>5000</v>
      </c>
    </row>
    <row r="151" spans="1:7" x14ac:dyDescent="0.3">
      <c r="A151" s="80">
        <v>45665.591296296298</v>
      </c>
      <c r="B151" t="s">
        <v>677</v>
      </c>
      <c r="C151" t="s">
        <v>706</v>
      </c>
      <c r="D151" t="s">
        <v>707</v>
      </c>
      <c r="E151">
        <v>1</v>
      </c>
      <c r="F151">
        <v>29990</v>
      </c>
      <c r="G151">
        <v>5000</v>
      </c>
    </row>
    <row r="152" spans="1:7" x14ac:dyDescent="0.3">
      <c r="A152" s="80">
        <v>45665.600624999999</v>
      </c>
      <c r="B152" t="s">
        <v>677</v>
      </c>
      <c r="C152" t="s">
        <v>706</v>
      </c>
      <c r="D152" t="s">
        <v>707</v>
      </c>
      <c r="E152">
        <v>1</v>
      </c>
      <c r="F152">
        <v>29990</v>
      </c>
      <c r="G152">
        <v>5000</v>
      </c>
    </row>
    <row r="153" spans="1:7" x14ac:dyDescent="0.3">
      <c r="A153" s="80">
        <v>45665.601435185177</v>
      </c>
      <c r="B153" t="s">
        <v>677</v>
      </c>
      <c r="C153" t="s">
        <v>706</v>
      </c>
      <c r="D153" t="s">
        <v>707</v>
      </c>
      <c r="E153">
        <v>1</v>
      </c>
      <c r="F153">
        <v>29990</v>
      </c>
      <c r="G153">
        <v>5000</v>
      </c>
    </row>
    <row r="154" spans="1:7" x14ac:dyDescent="0.3">
      <c r="A154" s="80">
        <v>45665.622974537036</v>
      </c>
      <c r="B154" t="s">
        <v>677</v>
      </c>
      <c r="C154" t="s">
        <v>706</v>
      </c>
      <c r="D154" t="s">
        <v>707</v>
      </c>
      <c r="E154">
        <v>1</v>
      </c>
      <c r="F154">
        <v>29990</v>
      </c>
      <c r="G154">
        <v>5000</v>
      </c>
    </row>
    <row r="155" spans="1:7" x14ac:dyDescent="0.3">
      <c r="A155" s="80">
        <v>45665.633240740739</v>
      </c>
      <c r="B155" t="s">
        <v>677</v>
      </c>
      <c r="C155" t="s">
        <v>706</v>
      </c>
      <c r="D155" t="s">
        <v>707</v>
      </c>
      <c r="E155">
        <v>1</v>
      </c>
      <c r="F155">
        <v>29990</v>
      </c>
      <c r="G155">
        <v>5000</v>
      </c>
    </row>
    <row r="156" spans="1:7" x14ac:dyDescent="0.3">
      <c r="A156" s="80">
        <v>45665.672465277778</v>
      </c>
      <c r="B156" t="s">
        <v>677</v>
      </c>
      <c r="C156" t="s">
        <v>706</v>
      </c>
      <c r="D156" t="s">
        <v>707</v>
      </c>
      <c r="E156">
        <v>1</v>
      </c>
      <c r="F156">
        <v>29990</v>
      </c>
      <c r="G156">
        <v>5000</v>
      </c>
    </row>
    <row r="157" spans="1:7" x14ac:dyDescent="0.3">
      <c r="A157" s="80">
        <v>45665.675162037027</v>
      </c>
      <c r="B157" t="s">
        <v>677</v>
      </c>
      <c r="C157" t="s">
        <v>706</v>
      </c>
      <c r="D157" t="s">
        <v>707</v>
      </c>
      <c r="E157">
        <v>1</v>
      </c>
      <c r="F157">
        <v>29990</v>
      </c>
      <c r="G157">
        <v>5000</v>
      </c>
    </row>
    <row r="158" spans="1:7" x14ac:dyDescent="0.3">
      <c r="A158" s="80">
        <v>45665.722407407397</v>
      </c>
      <c r="B158" t="s">
        <v>677</v>
      </c>
      <c r="C158" t="s">
        <v>706</v>
      </c>
      <c r="D158" t="s">
        <v>707</v>
      </c>
      <c r="E158">
        <v>1</v>
      </c>
      <c r="F158">
        <v>29990</v>
      </c>
      <c r="G158">
        <v>5000</v>
      </c>
    </row>
    <row r="159" spans="1:7" x14ac:dyDescent="0.3">
      <c r="A159" s="80">
        <v>45665.757662037038</v>
      </c>
      <c r="B159" t="s">
        <v>677</v>
      </c>
      <c r="C159" t="s">
        <v>706</v>
      </c>
      <c r="D159" t="s">
        <v>707</v>
      </c>
      <c r="E159">
        <v>1</v>
      </c>
      <c r="F159">
        <v>29990</v>
      </c>
      <c r="G159">
        <v>5000</v>
      </c>
    </row>
    <row r="160" spans="1:7" x14ac:dyDescent="0.3">
      <c r="A160" s="80">
        <v>45665.76667824074</v>
      </c>
      <c r="B160" t="s">
        <v>677</v>
      </c>
      <c r="C160" t="s">
        <v>706</v>
      </c>
      <c r="D160" t="s">
        <v>707</v>
      </c>
      <c r="E160">
        <v>1</v>
      </c>
      <c r="F160">
        <v>29990</v>
      </c>
      <c r="G160">
        <v>5000</v>
      </c>
    </row>
    <row r="161" spans="1:7" x14ac:dyDescent="0.3">
      <c r="A161" s="80">
        <v>45665.781678240739</v>
      </c>
      <c r="B161" t="s">
        <v>677</v>
      </c>
      <c r="C161" t="s">
        <v>706</v>
      </c>
      <c r="D161" t="s">
        <v>707</v>
      </c>
      <c r="E161">
        <v>1</v>
      </c>
      <c r="F161">
        <v>29990</v>
      </c>
      <c r="G161">
        <v>5000</v>
      </c>
    </row>
    <row r="162" spans="1:7" x14ac:dyDescent="0.3">
      <c r="A162" s="80">
        <v>45665.793888888889</v>
      </c>
      <c r="B162" t="s">
        <v>677</v>
      </c>
      <c r="C162" t="s">
        <v>706</v>
      </c>
      <c r="D162" t="s">
        <v>707</v>
      </c>
      <c r="E162">
        <v>1</v>
      </c>
      <c r="F162">
        <v>29990</v>
      </c>
      <c r="G162">
        <v>5000</v>
      </c>
    </row>
    <row r="163" spans="1:7" x14ac:dyDescent="0.3">
      <c r="A163" s="80">
        <v>45665.886874999997</v>
      </c>
      <c r="B163" t="s">
        <v>677</v>
      </c>
      <c r="C163" t="s">
        <v>706</v>
      </c>
      <c r="D163" t="s">
        <v>707</v>
      </c>
      <c r="E163">
        <v>1</v>
      </c>
      <c r="F163">
        <v>29990</v>
      </c>
      <c r="G163">
        <v>5000</v>
      </c>
    </row>
    <row r="164" spans="1:7" x14ac:dyDescent="0.3">
      <c r="A164" s="80">
        <v>45665.908229166656</v>
      </c>
      <c r="B164" t="s">
        <v>677</v>
      </c>
      <c r="C164" t="s">
        <v>706</v>
      </c>
      <c r="D164" t="s">
        <v>707</v>
      </c>
      <c r="E164">
        <v>1</v>
      </c>
      <c r="F164">
        <v>29990</v>
      </c>
      <c r="G164">
        <v>5000</v>
      </c>
    </row>
    <row r="165" spans="1:7" x14ac:dyDescent="0.3">
      <c r="A165" s="80">
        <v>45665.938437500001</v>
      </c>
      <c r="B165" t="s">
        <v>677</v>
      </c>
      <c r="C165" t="s">
        <v>706</v>
      </c>
      <c r="D165" t="s">
        <v>707</v>
      </c>
      <c r="E165">
        <v>1</v>
      </c>
      <c r="F165">
        <v>29990</v>
      </c>
      <c r="G165">
        <v>5000</v>
      </c>
    </row>
    <row r="166" spans="1:7" x14ac:dyDescent="0.3">
      <c r="A166" s="80">
        <v>45666.48170138889</v>
      </c>
      <c r="B166" t="s">
        <v>677</v>
      </c>
      <c r="C166" t="s">
        <v>706</v>
      </c>
      <c r="D166" t="s">
        <v>707</v>
      </c>
      <c r="E166">
        <v>1</v>
      </c>
      <c r="F166">
        <v>29990</v>
      </c>
      <c r="G166">
        <v>5000</v>
      </c>
    </row>
    <row r="167" spans="1:7" x14ac:dyDescent="0.3">
      <c r="A167" s="80">
        <v>45666.521319444437</v>
      </c>
      <c r="B167" t="s">
        <v>677</v>
      </c>
      <c r="C167" t="s">
        <v>706</v>
      </c>
      <c r="D167" t="s">
        <v>707</v>
      </c>
      <c r="E167">
        <v>1</v>
      </c>
      <c r="F167">
        <v>29990</v>
      </c>
      <c r="G167">
        <v>5000</v>
      </c>
    </row>
    <row r="168" spans="1:7" x14ac:dyDescent="0.3">
      <c r="A168" s="80">
        <v>45666.560243055559</v>
      </c>
      <c r="B168" t="s">
        <v>677</v>
      </c>
      <c r="C168" t="s">
        <v>706</v>
      </c>
      <c r="D168" t="s">
        <v>707</v>
      </c>
      <c r="E168">
        <v>1</v>
      </c>
      <c r="F168">
        <v>29990</v>
      </c>
      <c r="G168">
        <v>5000</v>
      </c>
    </row>
    <row r="169" spans="1:7" x14ac:dyDescent="0.3">
      <c r="A169" s="80">
        <v>45666.631053240737</v>
      </c>
      <c r="B169" t="s">
        <v>677</v>
      </c>
      <c r="C169" t="s">
        <v>706</v>
      </c>
      <c r="D169" t="s">
        <v>707</v>
      </c>
      <c r="E169">
        <v>1</v>
      </c>
      <c r="F169">
        <v>29990</v>
      </c>
      <c r="G169">
        <v>5000</v>
      </c>
    </row>
    <row r="170" spans="1:7" x14ac:dyDescent="0.3">
      <c r="A170" s="80">
        <v>45666.632824074077</v>
      </c>
      <c r="B170" t="s">
        <v>677</v>
      </c>
      <c r="C170" t="s">
        <v>706</v>
      </c>
      <c r="D170" t="s">
        <v>707</v>
      </c>
      <c r="E170">
        <v>1</v>
      </c>
      <c r="F170">
        <v>29990</v>
      </c>
      <c r="G170">
        <v>5000</v>
      </c>
    </row>
    <row r="171" spans="1:7" x14ac:dyDescent="0.3">
      <c r="A171" s="80">
        <v>45666.646990740737</v>
      </c>
      <c r="B171" t="s">
        <v>677</v>
      </c>
      <c r="C171" t="s">
        <v>706</v>
      </c>
      <c r="D171" t="s">
        <v>707</v>
      </c>
      <c r="E171">
        <v>1</v>
      </c>
      <c r="F171">
        <v>29990</v>
      </c>
      <c r="G171">
        <v>5000</v>
      </c>
    </row>
    <row r="172" spans="1:7" x14ac:dyDescent="0.3">
      <c r="A172" s="80">
        <v>45666.701180555552</v>
      </c>
      <c r="B172" t="s">
        <v>677</v>
      </c>
      <c r="C172" t="s">
        <v>706</v>
      </c>
      <c r="D172" t="s">
        <v>707</v>
      </c>
      <c r="E172">
        <v>1</v>
      </c>
      <c r="F172">
        <v>29990</v>
      </c>
      <c r="G172">
        <v>5000</v>
      </c>
    </row>
    <row r="173" spans="1:7" x14ac:dyDescent="0.3">
      <c r="A173" s="80">
        <v>45666.707905092589</v>
      </c>
      <c r="B173" t="s">
        <v>677</v>
      </c>
      <c r="C173" t="s">
        <v>706</v>
      </c>
      <c r="D173" t="s">
        <v>707</v>
      </c>
      <c r="E173">
        <v>1</v>
      </c>
      <c r="F173">
        <v>29990</v>
      </c>
      <c r="G173">
        <v>5000</v>
      </c>
    </row>
    <row r="174" spans="1:7" x14ac:dyDescent="0.3">
      <c r="A174" s="80">
        <v>45666.72415509259</v>
      </c>
      <c r="B174" t="s">
        <v>677</v>
      </c>
      <c r="C174" t="s">
        <v>706</v>
      </c>
      <c r="D174" t="s">
        <v>707</v>
      </c>
      <c r="E174">
        <v>1</v>
      </c>
      <c r="F174">
        <v>29990</v>
      </c>
      <c r="G174">
        <v>5000</v>
      </c>
    </row>
    <row r="175" spans="1:7" x14ac:dyDescent="0.3">
      <c r="A175" s="80">
        <v>45666.746157407397</v>
      </c>
      <c r="B175" t="s">
        <v>677</v>
      </c>
      <c r="C175" t="s">
        <v>706</v>
      </c>
      <c r="D175" t="s">
        <v>707</v>
      </c>
      <c r="E175">
        <v>1</v>
      </c>
      <c r="F175">
        <v>29990</v>
      </c>
      <c r="G175">
        <v>5000</v>
      </c>
    </row>
    <row r="176" spans="1:7" x14ac:dyDescent="0.3">
      <c r="A176" s="80">
        <v>45666.776446759257</v>
      </c>
      <c r="B176" t="s">
        <v>677</v>
      </c>
      <c r="C176" t="s">
        <v>706</v>
      </c>
      <c r="D176" t="s">
        <v>707</v>
      </c>
      <c r="E176">
        <v>1</v>
      </c>
      <c r="F176">
        <v>29990</v>
      </c>
      <c r="G176">
        <v>5000</v>
      </c>
    </row>
    <row r="177" spans="1:7" x14ac:dyDescent="0.3">
      <c r="A177" s="80">
        <v>45666.818148148152</v>
      </c>
      <c r="B177" t="s">
        <v>677</v>
      </c>
      <c r="C177" t="s">
        <v>706</v>
      </c>
      <c r="D177" t="s">
        <v>707</v>
      </c>
      <c r="E177">
        <v>1</v>
      </c>
      <c r="F177">
        <v>29990</v>
      </c>
      <c r="G177">
        <v>5000</v>
      </c>
    </row>
    <row r="178" spans="1:7" x14ac:dyDescent="0.3">
      <c r="A178" s="80">
        <v>45666.843506944453</v>
      </c>
      <c r="B178" t="s">
        <v>677</v>
      </c>
      <c r="C178" t="s">
        <v>706</v>
      </c>
      <c r="D178" t="s">
        <v>707</v>
      </c>
      <c r="E178">
        <v>1</v>
      </c>
      <c r="F178">
        <v>29990</v>
      </c>
      <c r="G178">
        <v>5000</v>
      </c>
    </row>
    <row r="179" spans="1:7" x14ac:dyDescent="0.3">
      <c r="A179" s="80">
        <v>45666.868391203701</v>
      </c>
      <c r="B179" t="s">
        <v>677</v>
      </c>
      <c r="C179" t="s">
        <v>706</v>
      </c>
      <c r="D179" t="s">
        <v>707</v>
      </c>
      <c r="E179">
        <v>1</v>
      </c>
      <c r="F179">
        <v>29990</v>
      </c>
      <c r="G179">
        <v>5000</v>
      </c>
    </row>
    <row r="180" spans="1:7" x14ac:dyDescent="0.3">
      <c r="A180" s="80">
        <v>45666.871365740742</v>
      </c>
      <c r="B180" t="s">
        <v>677</v>
      </c>
      <c r="C180" t="s">
        <v>706</v>
      </c>
      <c r="D180" t="s">
        <v>707</v>
      </c>
      <c r="E180">
        <v>1</v>
      </c>
      <c r="F180">
        <v>29990</v>
      </c>
      <c r="G180">
        <v>5000</v>
      </c>
    </row>
    <row r="181" spans="1:7" x14ac:dyDescent="0.3">
      <c r="A181" s="80">
        <v>45666.901145833333</v>
      </c>
      <c r="B181" t="s">
        <v>677</v>
      </c>
      <c r="C181" t="s">
        <v>706</v>
      </c>
      <c r="D181" t="s">
        <v>707</v>
      </c>
      <c r="E181">
        <v>1</v>
      </c>
      <c r="F181">
        <v>29990</v>
      </c>
      <c r="G181">
        <v>5000</v>
      </c>
    </row>
    <row r="182" spans="1:7" x14ac:dyDescent="0.3">
      <c r="A182" s="80">
        <v>45666.918379629627</v>
      </c>
      <c r="B182" t="s">
        <v>677</v>
      </c>
      <c r="C182" t="s">
        <v>706</v>
      </c>
      <c r="D182" t="s">
        <v>707</v>
      </c>
      <c r="E182">
        <v>1</v>
      </c>
      <c r="F182">
        <v>29990</v>
      </c>
      <c r="G182">
        <v>5000</v>
      </c>
    </row>
    <row r="183" spans="1:7" x14ac:dyDescent="0.3">
      <c r="A183" s="80">
        <v>45666.972175925926</v>
      </c>
      <c r="B183" t="s">
        <v>677</v>
      </c>
      <c r="C183" t="s">
        <v>706</v>
      </c>
      <c r="D183" t="s">
        <v>707</v>
      </c>
      <c r="E183">
        <v>1</v>
      </c>
      <c r="F183">
        <v>29990</v>
      </c>
      <c r="G183">
        <v>5000</v>
      </c>
    </row>
    <row r="184" spans="1:7" x14ac:dyDescent="0.3">
      <c r="A184" s="80">
        <v>45667.419571759259</v>
      </c>
      <c r="B184" t="s">
        <v>677</v>
      </c>
      <c r="C184" t="s">
        <v>706</v>
      </c>
      <c r="D184" t="s">
        <v>707</v>
      </c>
      <c r="E184">
        <v>1</v>
      </c>
      <c r="F184">
        <v>29990</v>
      </c>
      <c r="G184">
        <v>5000</v>
      </c>
    </row>
    <row r="185" spans="1:7" x14ac:dyDescent="0.3">
      <c r="A185" s="80">
        <v>45667.429305555554</v>
      </c>
      <c r="B185" t="s">
        <v>677</v>
      </c>
      <c r="C185" t="s">
        <v>706</v>
      </c>
      <c r="D185" t="s">
        <v>707</v>
      </c>
      <c r="E185">
        <v>1</v>
      </c>
      <c r="F185">
        <v>29990</v>
      </c>
      <c r="G185">
        <v>5000</v>
      </c>
    </row>
    <row r="186" spans="1:7" x14ac:dyDescent="0.3">
      <c r="A186" s="80">
        <v>45667.432835648149</v>
      </c>
      <c r="B186" t="s">
        <v>677</v>
      </c>
      <c r="C186" t="s">
        <v>706</v>
      </c>
      <c r="D186" t="s">
        <v>707</v>
      </c>
      <c r="E186">
        <v>1</v>
      </c>
      <c r="F186">
        <v>29990</v>
      </c>
      <c r="G186">
        <v>5000</v>
      </c>
    </row>
    <row r="187" spans="1:7" x14ac:dyDescent="0.3">
      <c r="A187" s="80">
        <v>45667.435381944437</v>
      </c>
      <c r="B187" t="s">
        <v>677</v>
      </c>
      <c r="C187" t="s">
        <v>706</v>
      </c>
      <c r="D187" t="s">
        <v>707</v>
      </c>
      <c r="E187">
        <v>1</v>
      </c>
      <c r="F187">
        <v>29990</v>
      </c>
      <c r="G187">
        <v>5000</v>
      </c>
    </row>
    <row r="188" spans="1:7" x14ac:dyDescent="0.3">
      <c r="A188" s="80">
        <v>45667.479571759257</v>
      </c>
      <c r="B188" t="s">
        <v>677</v>
      </c>
      <c r="C188" t="s">
        <v>706</v>
      </c>
      <c r="D188" t="s">
        <v>707</v>
      </c>
      <c r="E188">
        <v>1</v>
      </c>
      <c r="F188">
        <v>29990</v>
      </c>
      <c r="G188">
        <v>5000</v>
      </c>
    </row>
    <row r="189" spans="1:7" x14ac:dyDescent="0.3">
      <c r="A189" s="80">
        <v>45667.493333333332</v>
      </c>
      <c r="B189" t="s">
        <v>677</v>
      </c>
      <c r="C189" t="s">
        <v>706</v>
      </c>
      <c r="D189" t="s">
        <v>707</v>
      </c>
      <c r="E189">
        <v>1</v>
      </c>
      <c r="F189">
        <v>29990</v>
      </c>
      <c r="G189">
        <v>5000</v>
      </c>
    </row>
    <row r="190" spans="1:7" x14ac:dyDescent="0.3">
      <c r="A190" s="80">
        <v>45667.537731481483</v>
      </c>
      <c r="B190" t="s">
        <v>719</v>
      </c>
      <c r="C190" t="s">
        <v>720</v>
      </c>
      <c r="D190" t="s">
        <v>721</v>
      </c>
      <c r="E190">
        <v>1</v>
      </c>
      <c r="F190">
        <v>29990</v>
      </c>
      <c r="G190">
        <v>5000</v>
      </c>
    </row>
    <row r="191" spans="1:7" x14ac:dyDescent="0.3">
      <c r="A191" s="80">
        <v>45667.537731481483</v>
      </c>
      <c r="B191" t="s">
        <v>677</v>
      </c>
      <c r="C191" t="s">
        <v>706</v>
      </c>
      <c r="D191" t="s">
        <v>707</v>
      </c>
      <c r="E191">
        <v>1</v>
      </c>
      <c r="F191">
        <v>29990</v>
      </c>
      <c r="G191">
        <v>5000</v>
      </c>
    </row>
    <row r="192" spans="1:7" x14ac:dyDescent="0.3">
      <c r="A192" s="80">
        <v>45667.591608796298</v>
      </c>
      <c r="B192" t="s">
        <v>677</v>
      </c>
      <c r="C192" t="s">
        <v>706</v>
      </c>
      <c r="D192" t="s">
        <v>707</v>
      </c>
      <c r="E192">
        <v>1</v>
      </c>
      <c r="F192">
        <v>29990</v>
      </c>
      <c r="G192">
        <v>5000</v>
      </c>
    </row>
    <row r="193" spans="1:7" x14ac:dyDescent="0.3">
      <c r="A193" s="80">
        <v>45667.602847222217</v>
      </c>
      <c r="B193" t="s">
        <v>677</v>
      </c>
      <c r="C193" t="s">
        <v>706</v>
      </c>
      <c r="D193" t="s">
        <v>707</v>
      </c>
      <c r="E193">
        <v>1</v>
      </c>
      <c r="F193">
        <v>29990</v>
      </c>
      <c r="G193">
        <v>5000</v>
      </c>
    </row>
    <row r="194" spans="1:7" x14ac:dyDescent="0.3">
      <c r="A194" s="80">
        <v>45667.633240740739</v>
      </c>
      <c r="B194" t="s">
        <v>677</v>
      </c>
      <c r="C194" t="s">
        <v>706</v>
      </c>
      <c r="D194" t="s">
        <v>707</v>
      </c>
      <c r="E194">
        <v>1</v>
      </c>
      <c r="F194">
        <v>29990</v>
      </c>
      <c r="G194">
        <v>5000</v>
      </c>
    </row>
    <row r="195" spans="1:7" x14ac:dyDescent="0.3">
      <c r="A195" s="80">
        <v>45667.735914351862</v>
      </c>
      <c r="B195" t="s">
        <v>677</v>
      </c>
      <c r="C195" t="s">
        <v>706</v>
      </c>
      <c r="D195" t="s">
        <v>707</v>
      </c>
      <c r="E195">
        <v>1</v>
      </c>
      <c r="F195">
        <v>29990</v>
      </c>
      <c r="G195">
        <v>5000</v>
      </c>
    </row>
    <row r="196" spans="1:7" x14ac:dyDescent="0.3">
      <c r="A196" s="80">
        <v>45667.820497685178</v>
      </c>
      <c r="B196" t="s">
        <v>677</v>
      </c>
      <c r="C196" t="s">
        <v>706</v>
      </c>
      <c r="D196" t="s">
        <v>707</v>
      </c>
      <c r="E196">
        <v>1</v>
      </c>
      <c r="F196">
        <v>29990</v>
      </c>
      <c r="G196">
        <v>5000</v>
      </c>
    </row>
    <row r="197" spans="1:7" x14ac:dyDescent="0.3">
      <c r="A197" s="80">
        <v>45667.925625000003</v>
      </c>
      <c r="B197" t="s">
        <v>677</v>
      </c>
      <c r="C197" t="s">
        <v>706</v>
      </c>
      <c r="D197" t="s">
        <v>707</v>
      </c>
      <c r="E197">
        <v>1</v>
      </c>
      <c r="F197">
        <v>29990</v>
      </c>
      <c r="G197">
        <v>5000</v>
      </c>
    </row>
    <row r="198" spans="1:7" x14ac:dyDescent="0.3">
      <c r="A198" s="80">
        <v>45667.9919212963</v>
      </c>
      <c r="B198" t="s">
        <v>677</v>
      </c>
      <c r="C198" t="s">
        <v>706</v>
      </c>
      <c r="D198" t="s">
        <v>707</v>
      </c>
      <c r="E198">
        <v>1</v>
      </c>
      <c r="F198">
        <v>29990</v>
      </c>
      <c r="G198">
        <v>5000</v>
      </c>
    </row>
    <row r="199" spans="1:7" x14ac:dyDescent="0.3">
      <c r="A199" s="80">
        <v>45668.008425925917</v>
      </c>
      <c r="B199" t="s">
        <v>677</v>
      </c>
      <c r="C199" t="s">
        <v>706</v>
      </c>
      <c r="D199" t="s">
        <v>707</v>
      </c>
      <c r="E199">
        <v>1</v>
      </c>
      <c r="F199">
        <v>29990</v>
      </c>
      <c r="G199">
        <v>5000</v>
      </c>
    </row>
    <row r="200" spans="1:7" x14ac:dyDescent="0.3">
      <c r="A200" s="80">
        <v>45668.375243055547</v>
      </c>
      <c r="B200" t="s">
        <v>677</v>
      </c>
      <c r="C200" t="s">
        <v>706</v>
      </c>
      <c r="D200" t="s">
        <v>707</v>
      </c>
      <c r="E200">
        <v>1</v>
      </c>
      <c r="F200">
        <v>29990</v>
      </c>
      <c r="G200">
        <v>5000</v>
      </c>
    </row>
    <row r="201" spans="1:7" x14ac:dyDescent="0.3">
      <c r="A201" s="80">
        <v>45668.376875000002</v>
      </c>
      <c r="B201" t="s">
        <v>677</v>
      </c>
      <c r="C201" t="s">
        <v>706</v>
      </c>
      <c r="D201" t="s">
        <v>707</v>
      </c>
      <c r="E201">
        <v>1</v>
      </c>
      <c r="F201">
        <v>29990</v>
      </c>
      <c r="G201">
        <v>5000</v>
      </c>
    </row>
    <row r="202" spans="1:7" x14ac:dyDescent="0.3">
      <c r="A202" s="80">
        <v>45668.426793981482</v>
      </c>
      <c r="B202" t="s">
        <v>677</v>
      </c>
      <c r="C202" t="s">
        <v>706</v>
      </c>
      <c r="D202" t="s">
        <v>707</v>
      </c>
      <c r="E202">
        <v>1</v>
      </c>
      <c r="F202">
        <v>29990</v>
      </c>
      <c r="G202">
        <v>5000</v>
      </c>
    </row>
    <row r="203" spans="1:7" x14ac:dyDescent="0.3">
      <c r="A203" s="80">
        <v>45668.427199074067</v>
      </c>
      <c r="B203" t="s">
        <v>677</v>
      </c>
      <c r="C203" t="s">
        <v>706</v>
      </c>
      <c r="D203" t="s">
        <v>707</v>
      </c>
      <c r="E203">
        <v>1</v>
      </c>
      <c r="F203">
        <v>29990</v>
      </c>
      <c r="G203">
        <v>5000</v>
      </c>
    </row>
    <row r="204" spans="1:7" x14ac:dyDescent="0.3">
      <c r="A204" s="80">
        <v>45668.439027777778</v>
      </c>
      <c r="B204" t="s">
        <v>677</v>
      </c>
      <c r="C204" t="s">
        <v>706</v>
      </c>
      <c r="D204" t="s">
        <v>707</v>
      </c>
      <c r="E204">
        <v>1</v>
      </c>
      <c r="F204">
        <v>29990</v>
      </c>
      <c r="G204">
        <v>5000</v>
      </c>
    </row>
    <row r="205" spans="1:7" x14ac:dyDescent="0.3">
      <c r="A205" s="80">
        <v>45668.482094907413</v>
      </c>
      <c r="B205" t="s">
        <v>677</v>
      </c>
      <c r="C205" t="s">
        <v>706</v>
      </c>
      <c r="D205" t="s">
        <v>707</v>
      </c>
      <c r="E205">
        <v>1</v>
      </c>
      <c r="F205">
        <v>29990</v>
      </c>
      <c r="G205">
        <v>5000</v>
      </c>
    </row>
    <row r="206" spans="1:7" x14ac:dyDescent="0.3">
      <c r="A206" s="80">
        <v>45668.49082175926</v>
      </c>
      <c r="B206" t="s">
        <v>677</v>
      </c>
      <c r="C206" t="s">
        <v>706</v>
      </c>
      <c r="D206" t="s">
        <v>707</v>
      </c>
      <c r="E206">
        <v>1</v>
      </c>
      <c r="F206">
        <v>29990</v>
      </c>
      <c r="G206">
        <v>5000</v>
      </c>
    </row>
    <row r="207" spans="1:7" x14ac:dyDescent="0.3">
      <c r="A207" s="80">
        <v>45668.515717592592</v>
      </c>
      <c r="B207" t="s">
        <v>677</v>
      </c>
      <c r="C207" t="s">
        <v>706</v>
      </c>
      <c r="D207" t="s">
        <v>707</v>
      </c>
      <c r="E207">
        <v>1</v>
      </c>
      <c r="F207">
        <v>29990</v>
      </c>
      <c r="G207">
        <v>5000</v>
      </c>
    </row>
    <row r="208" spans="1:7" x14ac:dyDescent="0.3">
      <c r="A208" s="80">
        <v>45668.522349537037</v>
      </c>
      <c r="B208" t="s">
        <v>677</v>
      </c>
      <c r="C208" t="s">
        <v>706</v>
      </c>
      <c r="D208" t="s">
        <v>707</v>
      </c>
      <c r="E208">
        <v>1</v>
      </c>
      <c r="F208">
        <v>29990</v>
      </c>
      <c r="G208">
        <v>5000</v>
      </c>
    </row>
    <row r="209" spans="1:7" x14ac:dyDescent="0.3">
      <c r="A209" s="80">
        <v>45668.528043981481</v>
      </c>
      <c r="B209" t="s">
        <v>677</v>
      </c>
      <c r="C209" t="s">
        <v>706</v>
      </c>
      <c r="D209" t="s">
        <v>707</v>
      </c>
      <c r="E209">
        <v>1</v>
      </c>
      <c r="F209">
        <v>29990</v>
      </c>
      <c r="G209">
        <v>5000</v>
      </c>
    </row>
    <row r="210" spans="1:7" x14ac:dyDescent="0.3">
      <c r="A210" s="80">
        <v>45668.589247685188</v>
      </c>
      <c r="B210" t="s">
        <v>677</v>
      </c>
      <c r="C210" t="s">
        <v>706</v>
      </c>
      <c r="D210" t="s">
        <v>707</v>
      </c>
      <c r="E210">
        <v>1</v>
      </c>
      <c r="F210">
        <v>29990</v>
      </c>
      <c r="G210">
        <v>5000</v>
      </c>
    </row>
    <row r="211" spans="1:7" x14ac:dyDescent="0.3">
      <c r="A211" s="80">
        <v>45668.591400462959</v>
      </c>
      <c r="B211" t="s">
        <v>677</v>
      </c>
      <c r="C211" t="s">
        <v>706</v>
      </c>
      <c r="D211" t="s">
        <v>707</v>
      </c>
      <c r="E211">
        <v>1</v>
      </c>
      <c r="F211">
        <v>29990</v>
      </c>
      <c r="G211">
        <v>5000</v>
      </c>
    </row>
    <row r="212" spans="1:7" x14ac:dyDescent="0.3">
      <c r="A212" s="80">
        <v>45668.623981481483</v>
      </c>
      <c r="B212" t="s">
        <v>677</v>
      </c>
      <c r="C212" t="s">
        <v>706</v>
      </c>
      <c r="D212" t="s">
        <v>707</v>
      </c>
      <c r="E212">
        <v>1</v>
      </c>
      <c r="F212">
        <v>29990</v>
      </c>
      <c r="G212">
        <v>5000</v>
      </c>
    </row>
    <row r="213" spans="1:7" x14ac:dyDescent="0.3">
      <c r="A213" s="80">
        <v>45668.73164351852</v>
      </c>
      <c r="B213" t="s">
        <v>677</v>
      </c>
      <c r="C213" t="s">
        <v>706</v>
      </c>
      <c r="D213" t="s">
        <v>707</v>
      </c>
      <c r="E213">
        <v>1</v>
      </c>
      <c r="F213">
        <v>29990</v>
      </c>
      <c r="G213">
        <v>5000</v>
      </c>
    </row>
    <row r="214" spans="1:7" x14ac:dyDescent="0.3">
      <c r="A214" s="80">
        <v>45669.506516203714</v>
      </c>
      <c r="B214" t="s">
        <v>677</v>
      </c>
      <c r="C214" t="s">
        <v>706</v>
      </c>
      <c r="D214" t="s">
        <v>707</v>
      </c>
      <c r="E214">
        <v>1</v>
      </c>
      <c r="F214">
        <v>32990</v>
      </c>
      <c r="G214">
        <v>5000</v>
      </c>
    </row>
    <row r="215" spans="1:7" x14ac:dyDescent="0.3">
      <c r="A215" s="80">
        <v>45669.509756944448</v>
      </c>
      <c r="B215" t="s">
        <v>677</v>
      </c>
      <c r="C215" t="s">
        <v>706</v>
      </c>
      <c r="D215" t="s">
        <v>707</v>
      </c>
      <c r="E215">
        <v>1</v>
      </c>
      <c r="F215">
        <v>32990</v>
      </c>
      <c r="G215">
        <v>5000</v>
      </c>
    </row>
    <row r="216" spans="1:7" x14ac:dyDescent="0.3">
      <c r="A216" s="80">
        <v>45669.531168981477</v>
      </c>
      <c r="B216" t="s">
        <v>677</v>
      </c>
      <c r="C216" t="s">
        <v>706</v>
      </c>
      <c r="D216" t="s">
        <v>707</v>
      </c>
      <c r="E216">
        <v>1</v>
      </c>
      <c r="F216">
        <v>32990</v>
      </c>
      <c r="G216">
        <v>5000</v>
      </c>
    </row>
    <row r="217" spans="1:7" x14ac:dyDescent="0.3">
      <c r="A217" s="80">
        <v>45669.724143518521</v>
      </c>
      <c r="B217" t="s">
        <v>677</v>
      </c>
      <c r="C217" t="s">
        <v>706</v>
      </c>
      <c r="D217" t="s">
        <v>707</v>
      </c>
      <c r="E217">
        <v>1</v>
      </c>
      <c r="F217">
        <v>32990</v>
      </c>
      <c r="G217">
        <v>5000</v>
      </c>
    </row>
    <row r="218" spans="1:7" x14ac:dyDescent="0.3">
      <c r="A218" s="80">
        <v>45669.791446759264</v>
      </c>
      <c r="B218" t="s">
        <v>677</v>
      </c>
      <c r="C218" t="s">
        <v>706</v>
      </c>
      <c r="D218" t="s">
        <v>707</v>
      </c>
      <c r="E218">
        <v>1</v>
      </c>
      <c r="F218">
        <v>32990</v>
      </c>
      <c r="G218">
        <v>5000</v>
      </c>
    </row>
    <row r="219" spans="1:7" x14ac:dyDescent="0.3">
      <c r="A219" s="80">
        <v>45669.802766203713</v>
      </c>
      <c r="B219" t="s">
        <v>677</v>
      </c>
      <c r="C219" t="s">
        <v>706</v>
      </c>
      <c r="D219" t="s">
        <v>707</v>
      </c>
      <c r="E219">
        <v>1</v>
      </c>
      <c r="F219">
        <v>32990</v>
      </c>
      <c r="G219">
        <v>5000</v>
      </c>
    </row>
    <row r="220" spans="1:7" x14ac:dyDescent="0.3">
      <c r="A220" s="80">
        <v>45669.909421296303</v>
      </c>
      <c r="B220" t="s">
        <v>677</v>
      </c>
      <c r="C220" t="s">
        <v>706</v>
      </c>
      <c r="D220" t="s">
        <v>707</v>
      </c>
      <c r="E220">
        <v>1</v>
      </c>
      <c r="F220">
        <v>32990</v>
      </c>
      <c r="G220">
        <v>5000</v>
      </c>
    </row>
    <row r="221" spans="1:7" x14ac:dyDescent="0.3">
      <c r="A221" s="80">
        <v>45669.986666666657</v>
      </c>
      <c r="B221" t="s">
        <v>677</v>
      </c>
      <c r="C221" t="s">
        <v>706</v>
      </c>
      <c r="D221" t="s">
        <v>707</v>
      </c>
      <c r="E221">
        <v>1</v>
      </c>
      <c r="F221">
        <v>32990</v>
      </c>
      <c r="G221">
        <v>5000</v>
      </c>
    </row>
    <row r="222" spans="1:7" x14ac:dyDescent="0.3">
      <c r="A222" s="80">
        <v>45670.435335648152</v>
      </c>
      <c r="B222" t="s">
        <v>677</v>
      </c>
      <c r="C222" t="s">
        <v>706</v>
      </c>
      <c r="D222" t="s">
        <v>707</v>
      </c>
      <c r="E222">
        <v>1</v>
      </c>
      <c r="F222">
        <v>26991</v>
      </c>
      <c r="G222">
        <v>5000</v>
      </c>
    </row>
    <row r="223" spans="1:7" x14ac:dyDescent="0.3">
      <c r="A223" s="80">
        <v>45670.523460648154</v>
      </c>
      <c r="B223" t="s">
        <v>677</v>
      </c>
      <c r="C223" t="s">
        <v>706</v>
      </c>
      <c r="D223" t="s">
        <v>707</v>
      </c>
      <c r="E223">
        <v>1</v>
      </c>
      <c r="F223">
        <v>29990</v>
      </c>
      <c r="G223">
        <v>5000</v>
      </c>
    </row>
    <row r="224" spans="1:7" x14ac:dyDescent="0.3">
      <c r="A224" s="80">
        <v>45670.554548611108</v>
      </c>
      <c r="B224" t="s">
        <v>677</v>
      </c>
      <c r="C224" t="s">
        <v>706</v>
      </c>
      <c r="D224" t="s">
        <v>707</v>
      </c>
      <c r="E224">
        <v>1</v>
      </c>
      <c r="F224">
        <v>29990</v>
      </c>
      <c r="G224">
        <v>5000</v>
      </c>
    </row>
    <row r="225" spans="1:7" x14ac:dyDescent="0.3">
      <c r="A225" s="80">
        <v>45670.59884259259</v>
      </c>
      <c r="B225" t="s">
        <v>677</v>
      </c>
      <c r="C225" t="s">
        <v>706</v>
      </c>
      <c r="D225" t="s">
        <v>707</v>
      </c>
      <c r="E225">
        <v>1</v>
      </c>
      <c r="F225">
        <v>29990</v>
      </c>
      <c r="G225">
        <v>5000</v>
      </c>
    </row>
    <row r="226" spans="1:7" x14ac:dyDescent="0.3">
      <c r="A226" s="80">
        <v>45670.607210648152</v>
      </c>
      <c r="B226" t="s">
        <v>677</v>
      </c>
      <c r="C226" t="s">
        <v>706</v>
      </c>
      <c r="D226" t="s">
        <v>707</v>
      </c>
      <c r="E226">
        <v>1</v>
      </c>
      <c r="F226">
        <v>29990</v>
      </c>
      <c r="G226">
        <v>5000</v>
      </c>
    </row>
    <row r="227" spans="1:7" x14ac:dyDescent="0.3">
      <c r="A227" s="80">
        <v>45670.859432870369</v>
      </c>
      <c r="B227" t="s">
        <v>677</v>
      </c>
      <c r="C227" t="s">
        <v>706</v>
      </c>
      <c r="D227" t="s">
        <v>707</v>
      </c>
      <c r="E227">
        <v>1</v>
      </c>
      <c r="F227">
        <v>29990</v>
      </c>
      <c r="G227">
        <v>5000</v>
      </c>
    </row>
    <row r="228" spans="1:7" x14ac:dyDescent="0.3">
      <c r="A228" s="80">
        <v>45671.379826388889</v>
      </c>
      <c r="B228" t="s">
        <v>677</v>
      </c>
      <c r="C228" t="s">
        <v>706</v>
      </c>
      <c r="D228" t="s">
        <v>707</v>
      </c>
      <c r="E228">
        <v>1</v>
      </c>
      <c r="F228">
        <v>32990</v>
      </c>
      <c r="G228">
        <v>5000</v>
      </c>
    </row>
    <row r="229" spans="1:7" x14ac:dyDescent="0.3">
      <c r="A229" s="80">
        <v>45671.426261574074</v>
      </c>
      <c r="B229" t="s">
        <v>677</v>
      </c>
      <c r="C229" t="s">
        <v>706</v>
      </c>
      <c r="D229" t="s">
        <v>707</v>
      </c>
      <c r="E229">
        <v>1</v>
      </c>
      <c r="F229">
        <v>32990</v>
      </c>
      <c r="G229">
        <v>5000</v>
      </c>
    </row>
    <row r="230" spans="1:7" x14ac:dyDescent="0.3">
      <c r="A230" s="80">
        <v>45671.531134259261</v>
      </c>
      <c r="B230" t="s">
        <v>677</v>
      </c>
      <c r="C230" t="s">
        <v>706</v>
      </c>
      <c r="D230" t="s">
        <v>707</v>
      </c>
      <c r="E230">
        <v>1</v>
      </c>
      <c r="F230">
        <v>29990</v>
      </c>
      <c r="G230">
        <v>5000</v>
      </c>
    </row>
    <row r="231" spans="1:7" x14ac:dyDescent="0.3">
      <c r="A231" s="80">
        <v>45671.679166666669</v>
      </c>
      <c r="B231" t="s">
        <v>711</v>
      </c>
      <c r="C231" t="s">
        <v>712</v>
      </c>
      <c r="D231" t="s">
        <v>713</v>
      </c>
      <c r="E231">
        <v>1</v>
      </c>
      <c r="F231">
        <v>9990</v>
      </c>
      <c r="G231">
        <v>3000</v>
      </c>
    </row>
    <row r="232" spans="1:7" x14ac:dyDescent="0.3">
      <c r="A232" s="80">
        <v>45671.679166666669</v>
      </c>
      <c r="B232" t="s">
        <v>677</v>
      </c>
      <c r="C232" t="s">
        <v>706</v>
      </c>
      <c r="D232" t="s">
        <v>707</v>
      </c>
      <c r="E232">
        <v>1</v>
      </c>
      <c r="F232">
        <v>29990</v>
      </c>
      <c r="G232">
        <v>5000</v>
      </c>
    </row>
    <row r="233" spans="1:7" x14ac:dyDescent="0.3">
      <c r="A233" s="80">
        <v>45671.739004629628</v>
      </c>
      <c r="B233" t="s">
        <v>677</v>
      </c>
      <c r="C233" t="s">
        <v>706</v>
      </c>
      <c r="D233" t="s">
        <v>707</v>
      </c>
      <c r="E233">
        <v>1</v>
      </c>
      <c r="F233">
        <v>29990</v>
      </c>
      <c r="G233">
        <v>5000</v>
      </c>
    </row>
    <row r="234" spans="1:7" x14ac:dyDescent="0.3">
      <c r="A234" s="80">
        <v>45671.779074074067</v>
      </c>
      <c r="B234" t="s">
        <v>677</v>
      </c>
      <c r="C234" t="s">
        <v>706</v>
      </c>
      <c r="D234" t="s">
        <v>707</v>
      </c>
      <c r="E234">
        <v>1</v>
      </c>
      <c r="F234">
        <v>29990</v>
      </c>
      <c r="G234">
        <v>5000</v>
      </c>
    </row>
    <row r="235" spans="1:7" x14ac:dyDescent="0.3">
      <c r="A235" s="80">
        <v>45671.779606481483</v>
      </c>
      <c r="B235" t="s">
        <v>677</v>
      </c>
      <c r="C235" t="s">
        <v>706</v>
      </c>
      <c r="D235" t="s">
        <v>707</v>
      </c>
      <c r="E235">
        <v>1</v>
      </c>
      <c r="F235">
        <v>29990</v>
      </c>
      <c r="G235">
        <v>5000</v>
      </c>
    </row>
    <row r="236" spans="1:7" x14ac:dyDescent="0.3">
      <c r="A236" s="80">
        <v>45671.986446759263</v>
      </c>
      <c r="B236" t="s">
        <v>677</v>
      </c>
      <c r="C236" t="s">
        <v>706</v>
      </c>
      <c r="D236" t="s">
        <v>707</v>
      </c>
      <c r="E236">
        <v>1</v>
      </c>
      <c r="F236">
        <v>29990</v>
      </c>
      <c r="G236">
        <v>5000</v>
      </c>
    </row>
    <row r="237" spans="1:7" x14ac:dyDescent="0.3">
      <c r="A237" s="80">
        <v>45672.001770833333</v>
      </c>
      <c r="B237" t="s">
        <v>677</v>
      </c>
      <c r="C237" t="s">
        <v>706</v>
      </c>
      <c r="D237" t="s">
        <v>707</v>
      </c>
      <c r="E237">
        <v>1</v>
      </c>
      <c r="F237">
        <v>29990</v>
      </c>
      <c r="G237">
        <v>5000</v>
      </c>
    </row>
    <row r="238" spans="1:7" x14ac:dyDescent="0.3">
      <c r="A238" s="80">
        <v>45672.027268518519</v>
      </c>
      <c r="B238" t="s">
        <v>677</v>
      </c>
      <c r="C238" t="s">
        <v>706</v>
      </c>
      <c r="D238" t="s">
        <v>707</v>
      </c>
      <c r="E238">
        <v>1</v>
      </c>
      <c r="F238">
        <v>29990</v>
      </c>
      <c r="G238">
        <v>5000</v>
      </c>
    </row>
    <row r="239" spans="1:7" x14ac:dyDescent="0.3">
      <c r="A239" s="80">
        <v>45672.389664351853</v>
      </c>
      <c r="B239" t="s">
        <v>677</v>
      </c>
      <c r="C239" t="s">
        <v>706</v>
      </c>
      <c r="D239" t="s">
        <v>707</v>
      </c>
      <c r="E239">
        <v>1</v>
      </c>
      <c r="F239">
        <v>29990</v>
      </c>
      <c r="G239">
        <v>5000</v>
      </c>
    </row>
    <row r="240" spans="1:7" x14ac:dyDescent="0.3">
      <c r="A240" s="80">
        <v>45672.460648148153</v>
      </c>
      <c r="B240" t="s">
        <v>677</v>
      </c>
      <c r="C240" t="s">
        <v>706</v>
      </c>
      <c r="D240" t="s">
        <v>707</v>
      </c>
      <c r="E240">
        <v>1</v>
      </c>
      <c r="F240">
        <v>29990</v>
      </c>
      <c r="G240">
        <v>5000</v>
      </c>
    </row>
    <row r="241" spans="1:7" x14ac:dyDescent="0.3">
      <c r="A241" s="80">
        <v>45672.465937499997</v>
      </c>
      <c r="B241" t="s">
        <v>677</v>
      </c>
      <c r="C241" t="s">
        <v>706</v>
      </c>
      <c r="D241" t="s">
        <v>707</v>
      </c>
      <c r="E241">
        <v>1</v>
      </c>
      <c r="F241">
        <v>29990</v>
      </c>
      <c r="G241">
        <v>5000</v>
      </c>
    </row>
    <row r="242" spans="1:7" x14ac:dyDescent="0.3">
      <c r="A242" s="80">
        <v>45672.516331018523</v>
      </c>
      <c r="B242" t="s">
        <v>677</v>
      </c>
      <c r="C242" t="s">
        <v>706</v>
      </c>
      <c r="D242" t="s">
        <v>707</v>
      </c>
      <c r="E242">
        <v>1</v>
      </c>
      <c r="F242">
        <v>29990</v>
      </c>
      <c r="G242">
        <v>5000</v>
      </c>
    </row>
    <row r="243" spans="1:7" x14ac:dyDescent="0.3">
      <c r="A243" s="80">
        <v>45672.560960648138</v>
      </c>
      <c r="B243" t="s">
        <v>677</v>
      </c>
      <c r="C243" t="s">
        <v>706</v>
      </c>
      <c r="D243" t="s">
        <v>707</v>
      </c>
      <c r="E243">
        <v>1</v>
      </c>
      <c r="F243">
        <v>29990</v>
      </c>
      <c r="G243">
        <v>5000</v>
      </c>
    </row>
    <row r="244" spans="1:7" x14ac:dyDescent="0.3">
      <c r="A244" s="80">
        <v>45672.599687499998</v>
      </c>
      <c r="B244" t="s">
        <v>677</v>
      </c>
      <c r="C244" t="s">
        <v>706</v>
      </c>
      <c r="D244" t="s">
        <v>707</v>
      </c>
      <c r="E244">
        <v>1</v>
      </c>
      <c r="F244">
        <v>29990</v>
      </c>
      <c r="G244">
        <v>5000</v>
      </c>
    </row>
    <row r="245" spans="1:7" x14ac:dyDescent="0.3">
      <c r="A245" s="80">
        <v>45672.603587962964</v>
      </c>
      <c r="B245" t="s">
        <v>677</v>
      </c>
      <c r="C245" t="s">
        <v>706</v>
      </c>
      <c r="D245" t="s">
        <v>707</v>
      </c>
      <c r="E245">
        <v>1</v>
      </c>
      <c r="F245">
        <v>29990</v>
      </c>
      <c r="G245">
        <v>5000</v>
      </c>
    </row>
    <row r="246" spans="1:7" x14ac:dyDescent="0.3">
      <c r="A246" s="80">
        <v>45672.616712962961</v>
      </c>
      <c r="B246" t="s">
        <v>677</v>
      </c>
      <c r="C246" t="s">
        <v>706</v>
      </c>
      <c r="D246" t="s">
        <v>707</v>
      </c>
      <c r="E246">
        <v>1</v>
      </c>
      <c r="F246">
        <v>29990</v>
      </c>
      <c r="G246">
        <v>5000</v>
      </c>
    </row>
    <row r="247" spans="1:7" x14ac:dyDescent="0.3">
      <c r="A247" s="80">
        <v>45672.679027777784</v>
      </c>
      <c r="B247" t="s">
        <v>677</v>
      </c>
      <c r="C247" t="s">
        <v>706</v>
      </c>
      <c r="D247" t="s">
        <v>707</v>
      </c>
      <c r="E247">
        <v>1</v>
      </c>
      <c r="F247">
        <v>29990</v>
      </c>
      <c r="G247">
        <v>5000</v>
      </c>
    </row>
    <row r="248" spans="1:7" x14ac:dyDescent="0.3">
      <c r="A248" s="80">
        <v>45672.809953703712</v>
      </c>
      <c r="B248" t="s">
        <v>677</v>
      </c>
      <c r="C248" t="s">
        <v>706</v>
      </c>
      <c r="D248" t="s">
        <v>707</v>
      </c>
      <c r="E248">
        <v>1</v>
      </c>
      <c r="F248">
        <v>29990</v>
      </c>
      <c r="G248">
        <v>5000</v>
      </c>
    </row>
    <row r="249" spans="1:7" x14ac:dyDescent="0.3">
      <c r="A249" s="80">
        <v>45672.989814814813</v>
      </c>
      <c r="B249" t="s">
        <v>677</v>
      </c>
      <c r="C249" t="s">
        <v>706</v>
      </c>
      <c r="D249" t="s">
        <v>707</v>
      </c>
      <c r="E249">
        <v>1</v>
      </c>
      <c r="F249">
        <v>26991</v>
      </c>
      <c r="G249">
        <v>5000</v>
      </c>
    </row>
    <row r="250" spans="1:7" x14ac:dyDescent="0.3">
      <c r="A250" s="80">
        <v>45673.292847222219</v>
      </c>
      <c r="B250" t="s">
        <v>677</v>
      </c>
      <c r="C250" t="s">
        <v>706</v>
      </c>
      <c r="D250" t="s">
        <v>707</v>
      </c>
      <c r="E250">
        <v>1</v>
      </c>
      <c r="F250">
        <v>32990</v>
      </c>
      <c r="G250">
        <v>5000</v>
      </c>
    </row>
    <row r="251" spans="1:7" x14ac:dyDescent="0.3">
      <c r="A251" s="80">
        <v>45673.385775462957</v>
      </c>
      <c r="B251" t="s">
        <v>677</v>
      </c>
      <c r="C251" t="s">
        <v>706</v>
      </c>
      <c r="D251" t="s">
        <v>707</v>
      </c>
      <c r="E251">
        <v>1</v>
      </c>
      <c r="F251">
        <v>29990</v>
      </c>
      <c r="G251">
        <v>5000</v>
      </c>
    </row>
    <row r="252" spans="1:7" x14ac:dyDescent="0.3">
      <c r="A252" s="80">
        <v>45673.415092592593</v>
      </c>
      <c r="B252" t="s">
        <v>677</v>
      </c>
      <c r="C252" t="s">
        <v>706</v>
      </c>
      <c r="D252" t="s">
        <v>707</v>
      </c>
      <c r="E252">
        <v>1</v>
      </c>
      <c r="F252">
        <v>29990</v>
      </c>
      <c r="G252">
        <v>5000</v>
      </c>
    </row>
    <row r="253" spans="1:7" x14ac:dyDescent="0.3">
      <c r="A253" s="80">
        <v>45673.494305555563</v>
      </c>
      <c r="B253" t="s">
        <v>677</v>
      </c>
      <c r="C253" t="s">
        <v>706</v>
      </c>
      <c r="D253" t="s">
        <v>707</v>
      </c>
      <c r="E253">
        <v>1</v>
      </c>
      <c r="F253">
        <v>29990</v>
      </c>
      <c r="G253">
        <v>5000</v>
      </c>
    </row>
    <row r="254" spans="1:7" x14ac:dyDescent="0.3">
      <c r="A254" s="80">
        <v>45673.734652777777</v>
      </c>
      <c r="B254" t="s">
        <v>677</v>
      </c>
      <c r="C254" t="s">
        <v>706</v>
      </c>
      <c r="D254" t="s">
        <v>707</v>
      </c>
      <c r="E254">
        <v>1</v>
      </c>
      <c r="F254">
        <v>29990</v>
      </c>
      <c r="G254">
        <v>5000</v>
      </c>
    </row>
    <row r="255" spans="1:7" x14ac:dyDescent="0.3">
      <c r="A255" s="80">
        <v>45673.816562499997</v>
      </c>
      <c r="B255" t="s">
        <v>677</v>
      </c>
      <c r="C255" t="s">
        <v>706</v>
      </c>
      <c r="D255" t="s">
        <v>707</v>
      </c>
      <c r="E255">
        <v>1</v>
      </c>
      <c r="F255">
        <v>29990</v>
      </c>
      <c r="G255">
        <v>5000</v>
      </c>
    </row>
    <row r="256" spans="1:7" x14ac:dyDescent="0.3">
      <c r="A256" s="80">
        <v>45674.371666666673</v>
      </c>
      <c r="B256" t="s">
        <v>677</v>
      </c>
      <c r="C256" t="s">
        <v>706</v>
      </c>
      <c r="D256" t="s">
        <v>707</v>
      </c>
      <c r="E256">
        <v>1</v>
      </c>
      <c r="F256">
        <v>29990</v>
      </c>
      <c r="G256">
        <v>5000</v>
      </c>
    </row>
    <row r="257" spans="1:7" x14ac:dyDescent="0.3">
      <c r="A257" s="80">
        <v>45674.387743055559</v>
      </c>
      <c r="B257" t="s">
        <v>703</v>
      </c>
      <c r="C257" t="s">
        <v>704</v>
      </c>
      <c r="D257" t="s">
        <v>705</v>
      </c>
      <c r="E257">
        <v>1</v>
      </c>
      <c r="F257">
        <v>9990</v>
      </c>
      <c r="G257">
        <v>500</v>
      </c>
    </row>
    <row r="258" spans="1:7" x14ac:dyDescent="0.3">
      <c r="A258" s="80">
        <v>45674.489699074067</v>
      </c>
      <c r="B258" t="s">
        <v>677</v>
      </c>
      <c r="C258" t="s">
        <v>706</v>
      </c>
      <c r="D258" t="s">
        <v>707</v>
      </c>
      <c r="E258">
        <v>1</v>
      </c>
      <c r="F258">
        <v>29990</v>
      </c>
      <c r="G258">
        <v>5000</v>
      </c>
    </row>
    <row r="259" spans="1:7" x14ac:dyDescent="0.3">
      <c r="A259" s="80">
        <v>45674.517523148148</v>
      </c>
      <c r="B259" t="s">
        <v>677</v>
      </c>
      <c r="C259" t="s">
        <v>706</v>
      </c>
      <c r="D259" t="s">
        <v>707</v>
      </c>
      <c r="E259">
        <v>1</v>
      </c>
      <c r="F259">
        <v>29990</v>
      </c>
      <c r="G259">
        <v>5000</v>
      </c>
    </row>
    <row r="260" spans="1:7" x14ac:dyDescent="0.3">
      <c r="A260" s="80">
        <v>45674.56832175926</v>
      </c>
      <c r="B260" t="s">
        <v>677</v>
      </c>
      <c r="C260" t="s">
        <v>706</v>
      </c>
      <c r="D260" t="s">
        <v>707</v>
      </c>
      <c r="E260">
        <v>1</v>
      </c>
      <c r="F260">
        <v>26991</v>
      </c>
      <c r="G260">
        <v>5000</v>
      </c>
    </row>
    <row r="261" spans="1:7" x14ac:dyDescent="0.3">
      <c r="A261" s="80">
        <v>45674.617372685178</v>
      </c>
      <c r="B261" t="s">
        <v>677</v>
      </c>
      <c r="C261" t="s">
        <v>706</v>
      </c>
      <c r="D261" t="s">
        <v>707</v>
      </c>
      <c r="E261">
        <v>1</v>
      </c>
      <c r="F261">
        <v>29990</v>
      </c>
      <c r="G261">
        <v>5000</v>
      </c>
    </row>
    <row r="262" spans="1:7" x14ac:dyDescent="0.3">
      <c r="A262" s="80">
        <v>45674.62190972222</v>
      </c>
      <c r="B262" t="s">
        <v>677</v>
      </c>
      <c r="C262" t="s">
        <v>706</v>
      </c>
      <c r="D262" t="s">
        <v>707</v>
      </c>
      <c r="E262">
        <v>1</v>
      </c>
      <c r="F262">
        <v>26991</v>
      </c>
      <c r="G262">
        <v>5000</v>
      </c>
    </row>
    <row r="263" spans="1:7" x14ac:dyDescent="0.3">
      <c r="A263" s="80">
        <v>45674.743796296287</v>
      </c>
      <c r="B263" t="s">
        <v>677</v>
      </c>
      <c r="C263" t="s">
        <v>706</v>
      </c>
      <c r="D263" t="s">
        <v>707</v>
      </c>
      <c r="E263">
        <v>1</v>
      </c>
      <c r="F263">
        <v>29990</v>
      </c>
      <c r="G263">
        <v>5000</v>
      </c>
    </row>
    <row r="264" spans="1:7" x14ac:dyDescent="0.3">
      <c r="A264" s="80">
        <v>45674.820960648147</v>
      </c>
      <c r="B264" t="s">
        <v>677</v>
      </c>
      <c r="C264" t="s">
        <v>706</v>
      </c>
      <c r="D264" t="s">
        <v>707</v>
      </c>
      <c r="E264">
        <v>1</v>
      </c>
      <c r="F264">
        <v>29990</v>
      </c>
      <c r="G264">
        <v>5000</v>
      </c>
    </row>
    <row r="265" spans="1:7" x14ac:dyDescent="0.3">
      <c r="A265" s="80">
        <v>45674.944189814807</v>
      </c>
      <c r="B265" t="s">
        <v>677</v>
      </c>
      <c r="C265" t="s">
        <v>706</v>
      </c>
      <c r="D265" t="s">
        <v>707</v>
      </c>
      <c r="E265">
        <v>1</v>
      </c>
      <c r="F265">
        <v>32990</v>
      </c>
      <c r="G265">
        <v>5000</v>
      </c>
    </row>
    <row r="266" spans="1:7" x14ac:dyDescent="0.3">
      <c r="A266" s="80">
        <v>45674.993773148148</v>
      </c>
      <c r="B266" t="s">
        <v>677</v>
      </c>
      <c r="C266" t="s">
        <v>706</v>
      </c>
      <c r="D266" t="s">
        <v>707</v>
      </c>
      <c r="E266">
        <v>1</v>
      </c>
      <c r="F266">
        <v>26991</v>
      </c>
      <c r="G266">
        <v>5000</v>
      </c>
    </row>
    <row r="267" spans="1:7" x14ac:dyDescent="0.3">
      <c r="A267" s="80">
        <v>45675.061180555553</v>
      </c>
      <c r="B267" t="s">
        <v>677</v>
      </c>
      <c r="C267" t="s">
        <v>706</v>
      </c>
      <c r="D267" t="s">
        <v>707</v>
      </c>
      <c r="E267">
        <v>1</v>
      </c>
      <c r="F267">
        <v>29990</v>
      </c>
      <c r="G267">
        <v>5000</v>
      </c>
    </row>
    <row r="268" spans="1:7" x14ac:dyDescent="0.3">
      <c r="A268" s="80">
        <v>45675.352025462962</v>
      </c>
      <c r="B268" t="s">
        <v>677</v>
      </c>
      <c r="C268" t="s">
        <v>706</v>
      </c>
      <c r="D268" t="s">
        <v>707</v>
      </c>
      <c r="E268">
        <v>1</v>
      </c>
      <c r="F268">
        <v>29990</v>
      </c>
      <c r="G268">
        <v>5000</v>
      </c>
    </row>
    <row r="269" spans="1:7" x14ac:dyDescent="0.3">
      <c r="A269" s="80">
        <v>45675.429710648154</v>
      </c>
      <c r="B269" t="s">
        <v>677</v>
      </c>
      <c r="C269" t="s">
        <v>706</v>
      </c>
      <c r="D269" t="s">
        <v>707</v>
      </c>
      <c r="E269">
        <v>1</v>
      </c>
      <c r="F269">
        <v>26991</v>
      </c>
      <c r="G269">
        <v>5000</v>
      </c>
    </row>
    <row r="270" spans="1:7" x14ac:dyDescent="0.3">
      <c r="A270" s="80">
        <v>45675.463923611111</v>
      </c>
      <c r="B270" t="s">
        <v>677</v>
      </c>
      <c r="C270" t="s">
        <v>706</v>
      </c>
      <c r="D270" t="s">
        <v>707</v>
      </c>
      <c r="E270">
        <v>1</v>
      </c>
      <c r="F270">
        <v>29990</v>
      </c>
      <c r="G270">
        <v>5000</v>
      </c>
    </row>
    <row r="271" spans="1:7" x14ac:dyDescent="0.3">
      <c r="A271" s="80">
        <v>45675.680775462963</v>
      </c>
      <c r="B271" t="s">
        <v>677</v>
      </c>
      <c r="C271" t="s">
        <v>706</v>
      </c>
      <c r="D271" t="s">
        <v>707</v>
      </c>
      <c r="E271">
        <v>1</v>
      </c>
      <c r="F271">
        <v>29990</v>
      </c>
      <c r="G271">
        <v>5000</v>
      </c>
    </row>
    <row r="272" spans="1:7" x14ac:dyDescent="0.3">
      <c r="A272" s="80">
        <v>45675.70516203704</v>
      </c>
      <c r="B272" t="s">
        <v>677</v>
      </c>
      <c r="C272" t="s">
        <v>706</v>
      </c>
      <c r="D272" t="s">
        <v>707</v>
      </c>
      <c r="E272">
        <v>1</v>
      </c>
      <c r="F272">
        <v>29990</v>
      </c>
      <c r="G272">
        <v>5000</v>
      </c>
    </row>
    <row r="273" spans="1:7" x14ac:dyDescent="0.3">
      <c r="A273" s="80">
        <v>45675.707071759258</v>
      </c>
      <c r="B273" t="s">
        <v>677</v>
      </c>
      <c r="C273" t="s">
        <v>706</v>
      </c>
      <c r="D273" t="s">
        <v>707</v>
      </c>
      <c r="E273">
        <v>1</v>
      </c>
      <c r="F273">
        <v>26991</v>
      </c>
      <c r="G273">
        <v>5000</v>
      </c>
    </row>
    <row r="274" spans="1:7" x14ac:dyDescent="0.3">
      <c r="A274" s="80">
        <v>45675.710162037038</v>
      </c>
      <c r="B274" t="s">
        <v>677</v>
      </c>
      <c r="C274" t="s">
        <v>706</v>
      </c>
      <c r="D274" t="s">
        <v>707</v>
      </c>
      <c r="E274">
        <v>1</v>
      </c>
      <c r="F274">
        <v>32990</v>
      </c>
      <c r="G274">
        <v>5000</v>
      </c>
    </row>
    <row r="275" spans="1:7" x14ac:dyDescent="0.3">
      <c r="A275" s="80">
        <v>45675.724652777782</v>
      </c>
      <c r="B275" t="s">
        <v>677</v>
      </c>
      <c r="C275" t="s">
        <v>706</v>
      </c>
      <c r="D275" t="s">
        <v>707</v>
      </c>
      <c r="E275">
        <v>1</v>
      </c>
      <c r="F275">
        <v>29990</v>
      </c>
      <c r="G275">
        <v>5000</v>
      </c>
    </row>
    <row r="276" spans="1:7" x14ac:dyDescent="0.3">
      <c r="A276" s="80">
        <v>45675.734398148154</v>
      </c>
      <c r="B276" t="s">
        <v>677</v>
      </c>
      <c r="C276" t="s">
        <v>706</v>
      </c>
      <c r="D276" t="s">
        <v>707</v>
      </c>
      <c r="E276">
        <v>1</v>
      </c>
      <c r="F276">
        <v>29990</v>
      </c>
      <c r="G276">
        <v>5000</v>
      </c>
    </row>
    <row r="277" spans="1:7" x14ac:dyDescent="0.3">
      <c r="A277" s="80">
        <v>45675.752291666657</v>
      </c>
      <c r="B277" t="s">
        <v>677</v>
      </c>
      <c r="C277" t="s">
        <v>706</v>
      </c>
      <c r="D277" t="s">
        <v>707</v>
      </c>
      <c r="E277">
        <v>1</v>
      </c>
      <c r="F277">
        <v>29990</v>
      </c>
      <c r="G277">
        <v>5000</v>
      </c>
    </row>
    <row r="278" spans="1:7" x14ac:dyDescent="0.3">
      <c r="A278" s="80">
        <v>45676.379537037043</v>
      </c>
      <c r="B278" t="s">
        <v>717</v>
      </c>
      <c r="C278" t="s">
        <v>704</v>
      </c>
      <c r="D278" t="s">
        <v>718</v>
      </c>
      <c r="E278">
        <v>1</v>
      </c>
      <c r="F278">
        <v>9990</v>
      </c>
      <c r="G278">
        <v>2630</v>
      </c>
    </row>
    <row r="279" spans="1:7" x14ac:dyDescent="0.3">
      <c r="A279" s="80">
        <v>45676.396527777782</v>
      </c>
      <c r="B279" t="s">
        <v>677</v>
      </c>
      <c r="C279" t="s">
        <v>706</v>
      </c>
      <c r="D279" t="s">
        <v>707</v>
      </c>
      <c r="E279">
        <v>1</v>
      </c>
      <c r="F279">
        <v>29990</v>
      </c>
      <c r="G279">
        <v>5000</v>
      </c>
    </row>
    <row r="280" spans="1:7" x14ac:dyDescent="0.3">
      <c r="A280" s="80">
        <v>45676.411087962973</v>
      </c>
      <c r="B280" t="s">
        <v>677</v>
      </c>
      <c r="C280" t="s">
        <v>706</v>
      </c>
      <c r="D280" t="s">
        <v>707</v>
      </c>
      <c r="E280">
        <v>1</v>
      </c>
      <c r="F280">
        <v>29990</v>
      </c>
      <c r="G280">
        <v>5000</v>
      </c>
    </row>
    <row r="281" spans="1:7" x14ac:dyDescent="0.3">
      <c r="A281" s="80">
        <v>45676.479456018518</v>
      </c>
      <c r="B281" t="s">
        <v>677</v>
      </c>
      <c r="C281" t="s">
        <v>706</v>
      </c>
      <c r="D281" t="s">
        <v>707</v>
      </c>
      <c r="E281">
        <v>1</v>
      </c>
      <c r="F281">
        <v>29990</v>
      </c>
      <c r="G281">
        <v>5000</v>
      </c>
    </row>
    <row r="282" spans="1:7" x14ac:dyDescent="0.3">
      <c r="A282" s="80">
        <v>45676.501307870371</v>
      </c>
      <c r="B282" t="s">
        <v>677</v>
      </c>
      <c r="C282" t="s">
        <v>706</v>
      </c>
      <c r="D282" t="s">
        <v>707</v>
      </c>
      <c r="E282">
        <v>1</v>
      </c>
      <c r="F282">
        <v>29990</v>
      </c>
      <c r="G282">
        <v>5000</v>
      </c>
    </row>
    <row r="283" spans="1:7" x14ac:dyDescent="0.3">
      <c r="A283" s="80">
        <v>45676.610509259262</v>
      </c>
      <c r="B283" t="s">
        <v>711</v>
      </c>
      <c r="C283" t="s">
        <v>712</v>
      </c>
      <c r="D283" t="s">
        <v>713</v>
      </c>
      <c r="E283">
        <v>1</v>
      </c>
      <c r="F283">
        <v>9990</v>
      </c>
      <c r="G283">
        <v>3000</v>
      </c>
    </row>
    <row r="284" spans="1:7" x14ac:dyDescent="0.3">
      <c r="A284" s="80">
        <v>45676.610509259262</v>
      </c>
      <c r="B284" t="s">
        <v>677</v>
      </c>
      <c r="C284" t="s">
        <v>706</v>
      </c>
      <c r="D284" t="s">
        <v>707</v>
      </c>
      <c r="E284">
        <v>1</v>
      </c>
      <c r="F284">
        <v>29990</v>
      </c>
      <c r="G284">
        <v>5000</v>
      </c>
    </row>
    <row r="285" spans="1:7" x14ac:dyDescent="0.3">
      <c r="A285" s="80">
        <v>45676.624502314808</v>
      </c>
      <c r="B285" t="s">
        <v>677</v>
      </c>
      <c r="C285" t="s">
        <v>706</v>
      </c>
      <c r="D285" t="s">
        <v>707</v>
      </c>
      <c r="E285">
        <v>1</v>
      </c>
      <c r="F285">
        <v>29990</v>
      </c>
      <c r="G285">
        <v>5000</v>
      </c>
    </row>
    <row r="286" spans="1:7" x14ac:dyDescent="0.3">
      <c r="A286" s="80">
        <v>45676.627453703702</v>
      </c>
      <c r="B286" t="s">
        <v>677</v>
      </c>
      <c r="C286" t="s">
        <v>706</v>
      </c>
      <c r="D286" t="s">
        <v>707</v>
      </c>
      <c r="E286">
        <v>1</v>
      </c>
      <c r="F286">
        <v>29990</v>
      </c>
      <c r="G286">
        <v>5000</v>
      </c>
    </row>
    <row r="287" spans="1:7" x14ac:dyDescent="0.3">
      <c r="A287" s="80">
        <v>45676.682511574072</v>
      </c>
      <c r="B287" t="s">
        <v>677</v>
      </c>
      <c r="C287" t="s">
        <v>706</v>
      </c>
      <c r="D287" t="s">
        <v>707</v>
      </c>
      <c r="E287">
        <v>1</v>
      </c>
      <c r="F287">
        <v>29990</v>
      </c>
      <c r="G287">
        <v>5000</v>
      </c>
    </row>
    <row r="288" spans="1:7" x14ac:dyDescent="0.3">
      <c r="A288" s="80">
        <v>45676.734317129631</v>
      </c>
      <c r="B288" t="s">
        <v>677</v>
      </c>
      <c r="C288" t="s">
        <v>706</v>
      </c>
      <c r="D288" t="s">
        <v>707</v>
      </c>
      <c r="E288">
        <v>1</v>
      </c>
      <c r="F288">
        <v>29990</v>
      </c>
      <c r="G288">
        <v>5000</v>
      </c>
    </row>
    <row r="289" spans="1:7" x14ac:dyDescent="0.3">
      <c r="A289" s="80">
        <v>45676.758043981477</v>
      </c>
      <c r="B289" t="s">
        <v>677</v>
      </c>
      <c r="C289" t="s">
        <v>706</v>
      </c>
      <c r="D289" t="s">
        <v>707</v>
      </c>
      <c r="E289">
        <v>1</v>
      </c>
      <c r="F289">
        <v>29990</v>
      </c>
      <c r="G289">
        <v>5000</v>
      </c>
    </row>
    <row r="290" spans="1:7" x14ac:dyDescent="0.3">
      <c r="A290" s="80">
        <v>45676.831770833327</v>
      </c>
      <c r="B290" t="s">
        <v>677</v>
      </c>
      <c r="C290" t="s">
        <v>706</v>
      </c>
      <c r="D290" t="s">
        <v>707</v>
      </c>
      <c r="E290">
        <v>1</v>
      </c>
      <c r="F290">
        <v>29990</v>
      </c>
      <c r="G290">
        <v>5000</v>
      </c>
    </row>
    <row r="291" spans="1:7" x14ac:dyDescent="0.3">
      <c r="A291" s="80">
        <v>45676.873715277783</v>
      </c>
      <c r="B291" t="s">
        <v>677</v>
      </c>
      <c r="C291" t="s">
        <v>706</v>
      </c>
      <c r="D291" t="s">
        <v>707</v>
      </c>
      <c r="E291">
        <v>1</v>
      </c>
      <c r="F291">
        <v>29990</v>
      </c>
      <c r="G291">
        <v>5000</v>
      </c>
    </row>
    <row r="292" spans="1:7" x14ac:dyDescent="0.3">
      <c r="A292" s="80">
        <v>45676.936226851853</v>
      </c>
      <c r="B292" t="s">
        <v>677</v>
      </c>
      <c r="C292" t="s">
        <v>706</v>
      </c>
      <c r="D292" t="s">
        <v>707</v>
      </c>
      <c r="E292">
        <v>1</v>
      </c>
      <c r="F292">
        <v>29990</v>
      </c>
      <c r="G292">
        <v>5000</v>
      </c>
    </row>
    <row r="293" spans="1:7" x14ac:dyDescent="0.3">
      <c r="A293" s="80">
        <v>45676.947766203702</v>
      </c>
      <c r="B293" t="s">
        <v>677</v>
      </c>
      <c r="C293" t="s">
        <v>706</v>
      </c>
      <c r="D293" t="s">
        <v>707</v>
      </c>
      <c r="E293">
        <v>1</v>
      </c>
      <c r="F293">
        <v>32990</v>
      </c>
      <c r="G293">
        <v>5000</v>
      </c>
    </row>
    <row r="294" spans="1:7" x14ac:dyDescent="0.3">
      <c r="A294" s="80">
        <v>45676.968773148154</v>
      </c>
      <c r="B294" t="s">
        <v>677</v>
      </c>
      <c r="C294" t="s">
        <v>706</v>
      </c>
      <c r="D294" t="s">
        <v>707</v>
      </c>
      <c r="E294">
        <v>1</v>
      </c>
      <c r="F294">
        <v>29990</v>
      </c>
      <c r="G294">
        <v>5000</v>
      </c>
    </row>
    <row r="295" spans="1:7" x14ac:dyDescent="0.3">
      <c r="A295" s="80">
        <v>45676.991828703707</v>
      </c>
      <c r="B295" t="s">
        <v>677</v>
      </c>
      <c r="C295" t="s">
        <v>706</v>
      </c>
      <c r="D295" t="s">
        <v>707</v>
      </c>
      <c r="E295">
        <v>1</v>
      </c>
      <c r="F295">
        <v>29990</v>
      </c>
      <c r="G295">
        <v>5000</v>
      </c>
    </row>
    <row r="296" spans="1:7" x14ac:dyDescent="0.3">
      <c r="A296" s="80">
        <v>45677.381365740737</v>
      </c>
      <c r="B296" t="s">
        <v>677</v>
      </c>
      <c r="C296" t="s">
        <v>706</v>
      </c>
      <c r="D296" t="s">
        <v>707</v>
      </c>
      <c r="E296">
        <v>1</v>
      </c>
      <c r="F296">
        <v>29990</v>
      </c>
      <c r="G296">
        <v>5000</v>
      </c>
    </row>
    <row r="297" spans="1:7" x14ac:dyDescent="0.3">
      <c r="A297" s="80">
        <v>45677.505578703713</v>
      </c>
      <c r="B297" t="s">
        <v>677</v>
      </c>
      <c r="C297" t="s">
        <v>706</v>
      </c>
      <c r="D297" t="s">
        <v>707</v>
      </c>
      <c r="E297">
        <v>1</v>
      </c>
      <c r="F297">
        <v>29990</v>
      </c>
      <c r="G297">
        <v>5000</v>
      </c>
    </row>
    <row r="298" spans="1:7" x14ac:dyDescent="0.3">
      <c r="A298" s="80">
        <v>45677.600925925923</v>
      </c>
      <c r="B298" t="s">
        <v>677</v>
      </c>
      <c r="C298" t="s">
        <v>706</v>
      </c>
      <c r="D298" t="s">
        <v>707</v>
      </c>
      <c r="E298">
        <v>1</v>
      </c>
      <c r="F298">
        <v>32990</v>
      </c>
      <c r="G298">
        <v>5000</v>
      </c>
    </row>
    <row r="299" spans="1:7" x14ac:dyDescent="0.3">
      <c r="A299" s="80">
        <v>45677.765740740739</v>
      </c>
      <c r="B299" t="s">
        <v>677</v>
      </c>
      <c r="C299" t="s">
        <v>706</v>
      </c>
      <c r="D299" t="s">
        <v>707</v>
      </c>
      <c r="E299">
        <v>1</v>
      </c>
      <c r="F299">
        <v>29990</v>
      </c>
      <c r="G299">
        <v>5000</v>
      </c>
    </row>
    <row r="300" spans="1:7" x14ac:dyDescent="0.3">
      <c r="A300" s="80">
        <v>45677.870358796303</v>
      </c>
      <c r="B300" t="s">
        <v>677</v>
      </c>
      <c r="C300" t="s">
        <v>706</v>
      </c>
      <c r="D300" t="s">
        <v>707</v>
      </c>
      <c r="E300">
        <v>1</v>
      </c>
      <c r="F300">
        <v>29990</v>
      </c>
      <c r="G300">
        <v>5000</v>
      </c>
    </row>
    <row r="301" spans="1:7" x14ac:dyDescent="0.3">
      <c r="A301" s="80">
        <v>45677.888194444437</v>
      </c>
      <c r="B301" t="s">
        <v>677</v>
      </c>
      <c r="C301" t="s">
        <v>706</v>
      </c>
      <c r="D301" t="s">
        <v>707</v>
      </c>
      <c r="E301">
        <v>1</v>
      </c>
      <c r="F301">
        <v>29990</v>
      </c>
      <c r="G301">
        <v>5000</v>
      </c>
    </row>
    <row r="302" spans="1:7" x14ac:dyDescent="0.3">
      <c r="A302" s="80">
        <v>45678.336875000001</v>
      </c>
      <c r="B302" t="s">
        <v>677</v>
      </c>
      <c r="C302" t="s">
        <v>706</v>
      </c>
      <c r="D302" t="s">
        <v>707</v>
      </c>
      <c r="E302">
        <v>1</v>
      </c>
      <c r="F302">
        <v>29990</v>
      </c>
      <c r="G302">
        <v>5000</v>
      </c>
    </row>
    <row r="303" spans="1:7" x14ac:dyDescent="0.3">
      <c r="A303" s="80">
        <v>45678.406064814822</v>
      </c>
      <c r="B303" t="s">
        <v>677</v>
      </c>
      <c r="C303" t="s">
        <v>706</v>
      </c>
      <c r="D303" t="s">
        <v>707</v>
      </c>
      <c r="E303">
        <v>1</v>
      </c>
      <c r="F303">
        <v>29990</v>
      </c>
      <c r="G303">
        <v>5000</v>
      </c>
    </row>
    <row r="304" spans="1:7" x14ac:dyDescent="0.3">
      <c r="A304" s="80">
        <v>45678.446076388893</v>
      </c>
      <c r="B304" t="s">
        <v>677</v>
      </c>
      <c r="C304" t="s">
        <v>706</v>
      </c>
      <c r="D304" t="s">
        <v>707</v>
      </c>
      <c r="E304">
        <v>1</v>
      </c>
      <c r="F304">
        <v>29990</v>
      </c>
      <c r="G304">
        <v>5000</v>
      </c>
    </row>
    <row r="305" spans="1:7" x14ac:dyDescent="0.3">
      <c r="A305" s="80">
        <v>45678.510185185187</v>
      </c>
      <c r="B305" t="s">
        <v>677</v>
      </c>
      <c r="C305" t="s">
        <v>706</v>
      </c>
      <c r="D305" t="s">
        <v>707</v>
      </c>
      <c r="E305">
        <v>1</v>
      </c>
      <c r="F305">
        <v>26991</v>
      </c>
      <c r="G305">
        <v>5000</v>
      </c>
    </row>
    <row r="306" spans="1:7" x14ac:dyDescent="0.3">
      <c r="A306" s="80">
        <v>45678.537893518522</v>
      </c>
      <c r="B306" t="s">
        <v>677</v>
      </c>
      <c r="C306" t="s">
        <v>706</v>
      </c>
      <c r="D306" t="s">
        <v>707</v>
      </c>
      <c r="E306">
        <v>1</v>
      </c>
      <c r="F306">
        <v>29990</v>
      </c>
      <c r="G306">
        <v>5000</v>
      </c>
    </row>
    <row r="307" spans="1:7" x14ac:dyDescent="0.3">
      <c r="A307" s="80">
        <v>45678.604953703703</v>
      </c>
      <c r="B307" t="s">
        <v>677</v>
      </c>
      <c r="C307" t="s">
        <v>706</v>
      </c>
      <c r="D307" t="s">
        <v>707</v>
      </c>
      <c r="E307">
        <v>1</v>
      </c>
      <c r="F307">
        <v>29990</v>
      </c>
      <c r="G307">
        <v>5000</v>
      </c>
    </row>
    <row r="308" spans="1:7" x14ac:dyDescent="0.3">
      <c r="A308" s="80">
        <v>45678.648599537039</v>
      </c>
      <c r="B308" t="s">
        <v>719</v>
      </c>
      <c r="C308" t="s">
        <v>720</v>
      </c>
      <c r="D308" t="s">
        <v>721</v>
      </c>
      <c r="E308">
        <v>1</v>
      </c>
      <c r="F308">
        <v>29990</v>
      </c>
      <c r="G308">
        <v>5000</v>
      </c>
    </row>
    <row r="309" spans="1:7" x14ac:dyDescent="0.3">
      <c r="A309" s="80">
        <v>45678.706793981481</v>
      </c>
      <c r="B309" t="s">
        <v>677</v>
      </c>
      <c r="C309" t="s">
        <v>706</v>
      </c>
      <c r="D309" t="s">
        <v>707</v>
      </c>
      <c r="E309">
        <v>1</v>
      </c>
      <c r="F309">
        <v>29990</v>
      </c>
      <c r="G309">
        <v>5000</v>
      </c>
    </row>
    <row r="310" spans="1:7" x14ac:dyDescent="0.3">
      <c r="A310" s="80">
        <v>45678.753958333327</v>
      </c>
      <c r="B310" t="s">
        <v>677</v>
      </c>
      <c r="C310" t="s">
        <v>706</v>
      </c>
      <c r="D310" t="s">
        <v>707</v>
      </c>
      <c r="E310">
        <v>1</v>
      </c>
      <c r="F310">
        <v>29990</v>
      </c>
      <c r="G310">
        <v>5000</v>
      </c>
    </row>
    <row r="311" spans="1:7" x14ac:dyDescent="0.3">
      <c r="A311" s="80">
        <v>45678.770150462973</v>
      </c>
      <c r="B311" t="s">
        <v>677</v>
      </c>
      <c r="C311" t="s">
        <v>706</v>
      </c>
      <c r="D311" t="s">
        <v>707</v>
      </c>
      <c r="E311">
        <v>1</v>
      </c>
      <c r="F311">
        <v>29990</v>
      </c>
      <c r="G311">
        <v>5000</v>
      </c>
    </row>
    <row r="312" spans="1:7" x14ac:dyDescent="0.3">
      <c r="A312" s="80">
        <v>45678.815034722233</v>
      </c>
      <c r="B312" t="s">
        <v>677</v>
      </c>
      <c r="C312" t="s">
        <v>706</v>
      </c>
      <c r="D312" t="s">
        <v>707</v>
      </c>
      <c r="E312">
        <v>1</v>
      </c>
      <c r="F312">
        <v>29990</v>
      </c>
      <c r="G312">
        <v>5000</v>
      </c>
    </row>
    <row r="313" spans="1:7" x14ac:dyDescent="0.3">
      <c r="A313" s="80">
        <v>45678.838194444441</v>
      </c>
      <c r="B313" t="s">
        <v>677</v>
      </c>
      <c r="C313" t="s">
        <v>706</v>
      </c>
      <c r="D313" t="s">
        <v>707</v>
      </c>
      <c r="E313">
        <v>1</v>
      </c>
      <c r="F313">
        <v>29990</v>
      </c>
      <c r="G313">
        <v>5000</v>
      </c>
    </row>
    <row r="314" spans="1:7" x14ac:dyDescent="0.3">
      <c r="A314" s="80">
        <v>45678.93408564815</v>
      </c>
      <c r="B314" t="s">
        <v>677</v>
      </c>
      <c r="C314" t="s">
        <v>706</v>
      </c>
      <c r="D314" t="s">
        <v>707</v>
      </c>
      <c r="E314">
        <v>1</v>
      </c>
      <c r="F314">
        <v>29990</v>
      </c>
      <c r="G314">
        <v>5000</v>
      </c>
    </row>
    <row r="315" spans="1:7" x14ac:dyDescent="0.3">
      <c r="A315" s="80">
        <v>45678.96671296296</v>
      </c>
      <c r="B315" t="s">
        <v>677</v>
      </c>
      <c r="C315" t="s">
        <v>706</v>
      </c>
      <c r="D315" t="s">
        <v>707</v>
      </c>
      <c r="E315">
        <v>1</v>
      </c>
      <c r="F315">
        <v>29990</v>
      </c>
      <c r="G315">
        <v>5000</v>
      </c>
    </row>
    <row r="316" spans="1:7" x14ac:dyDescent="0.3">
      <c r="A316" s="80">
        <v>45679.014791666668</v>
      </c>
      <c r="B316" t="s">
        <v>677</v>
      </c>
      <c r="C316" t="s">
        <v>706</v>
      </c>
      <c r="D316" t="s">
        <v>707</v>
      </c>
      <c r="E316">
        <v>1</v>
      </c>
      <c r="F316">
        <v>29990</v>
      </c>
      <c r="G316">
        <v>5000</v>
      </c>
    </row>
    <row r="317" spans="1:7" x14ac:dyDescent="0.3">
      <c r="A317" s="80">
        <v>45679.196377314824</v>
      </c>
      <c r="B317" t="s">
        <v>719</v>
      </c>
      <c r="C317" t="s">
        <v>720</v>
      </c>
      <c r="D317" t="s">
        <v>721</v>
      </c>
      <c r="E317">
        <v>1</v>
      </c>
      <c r="F317">
        <v>26991</v>
      </c>
      <c r="G317">
        <v>5000</v>
      </c>
    </row>
    <row r="318" spans="1:7" x14ac:dyDescent="0.3">
      <c r="A318" s="80">
        <v>45679.490844907406</v>
      </c>
      <c r="B318" t="s">
        <v>677</v>
      </c>
      <c r="C318" t="s">
        <v>706</v>
      </c>
      <c r="D318" t="s">
        <v>707</v>
      </c>
      <c r="E318">
        <v>2</v>
      </c>
      <c r="F318">
        <v>53982</v>
      </c>
      <c r="G318">
        <v>10000</v>
      </c>
    </row>
    <row r="319" spans="1:7" x14ac:dyDescent="0.3">
      <c r="A319" s="80">
        <v>45679.664664351847</v>
      </c>
      <c r="B319" t="s">
        <v>677</v>
      </c>
      <c r="C319" t="s">
        <v>706</v>
      </c>
      <c r="D319" t="s">
        <v>707</v>
      </c>
      <c r="E319">
        <v>1</v>
      </c>
      <c r="F319">
        <v>29990</v>
      </c>
      <c r="G319">
        <v>5000</v>
      </c>
    </row>
    <row r="320" spans="1:7" x14ac:dyDescent="0.3">
      <c r="A320" s="80">
        <v>45679.691655092603</v>
      </c>
      <c r="B320" t="s">
        <v>677</v>
      </c>
      <c r="C320" t="s">
        <v>706</v>
      </c>
      <c r="D320" t="s">
        <v>707</v>
      </c>
      <c r="E320">
        <v>1</v>
      </c>
      <c r="F320">
        <v>29990</v>
      </c>
      <c r="G320">
        <v>5000</v>
      </c>
    </row>
    <row r="321" spans="1:7" x14ac:dyDescent="0.3">
      <c r="A321" s="80">
        <v>45679.782766203702</v>
      </c>
      <c r="B321" t="s">
        <v>677</v>
      </c>
      <c r="C321" t="s">
        <v>706</v>
      </c>
      <c r="D321" t="s">
        <v>707</v>
      </c>
      <c r="E321">
        <v>1</v>
      </c>
      <c r="F321">
        <v>29990</v>
      </c>
      <c r="G321">
        <v>5000</v>
      </c>
    </row>
    <row r="322" spans="1:7" x14ac:dyDescent="0.3">
      <c r="A322" s="80">
        <v>45679.802719907413</v>
      </c>
      <c r="B322" t="s">
        <v>677</v>
      </c>
      <c r="C322" t="s">
        <v>706</v>
      </c>
      <c r="D322" t="s">
        <v>707</v>
      </c>
      <c r="E322">
        <v>1</v>
      </c>
      <c r="F322">
        <v>29990</v>
      </c>
      <c r="G322">
        <v>5000</v>
      </c>
    </row>
    <row r="323" spans="1:7" x14ac:dyDescent="0.3">
      <c r="A323" s="80">
        <v>45679.847650462973</v>
      </c>
      <c r="B323" t="s">
        <v>677</v>
      </c>
      <c r="C323" t="s">
        <v>706</v>
      </c>
      <c r="D323" t="s">
        <v>707</v>
      </c>
      <c r="E323">
        <v>1</v>
      </c>
      <c r="F323">
        <v>29990</v>
      </c>
      <c r="G323">
        <v>5000</v>
      </c>
    </row>
    <row r="324" spans="1:7" x14ac:dyDescent="0.3">
      <c r="A324" s="80">
        <v>45679.965162037042</v>
      </c>
      <c r="B324" t="s">
        <v>677</v>
      </c>
      <c r="C324" t="s">
        <v>706</v>
      </c>
      <c r="D324" t="s">
        <v>707</v>
      </c>
      <c r="E324">
        <v>1</v>
      </c>
      <c r="F324">
        <v>29990</v>
      </c>
      <c r="G324">
        <v>5000</v>
      </c>
    </row>
    <row r="325" spans="1:7" x14ac:dyDescent="0.3">
      <c r="A325" s="80">
        <v>45680.375196759262</v>
      </c>
      <c r="B325" t="s">
        <v>677</v>
      </c>
      <c r="C325" t="s">
        <v>706</v>
      </c>
      <c r="D325" t="s">
        <v>707</v>
      </c>
      <c r="E325">
        <v>1</v>
      </c>
      <c r="F325">
        <v>29990</v>
      </c>
      <c r="G325">
        <v>5000</v>
      </c>
    </row>
    <row r="326" spans="1:7" x14ac:dyDescent="0.3">
      <c r="A326" s="80">
        <v>45680.425023148149</v>
      </c>
      <c r="B326" t="s">
        <v>677</v>
      </c>
      <c r="C326" t="s">
        <v>706</v>
      </c>
      <c r="D326" t="s">
        <v>707</v>
      </c>
      <c r="E326">
        <v>1</v>
      </c>
      <c r="F326">
        <v>29990</v>
      </c>
      <c r="G326">
        <v>5000</v>
      </c>
    </row>
    <row r="327" spans="1:7" x14ac:dyDescent="0.3">
      <c r="A327" s="80">
        <v>45680.434293981481</v>
      </c>
      <c r="B327" t="s">
        <v>677</v>
      </c>
      <c r="C327" t="s">
        <v>706</v>
      </c>
      <c r="D327" t="s">
        <v>707</v>
      </c>
      <c r="E327">
        <v>1</v>
      </c>
      <c r="F327">
        <v>29990</v>
      </c>
      <c r="G327">
        <v>5000</v>
      </c>
    </row>
    <row r="328" spans="1:7" x14ac:dyDescent="0.3">
      <c r="A328" s="80">
        <v>45680.534560185188</v>
      </c>
      <c r="B328" t="s">
        <v>677</v>
      </c>
      <c r="C328" t="s">
        <v>706</v>
      </c>
      <c r="D328" t="s">
        <v>707</v>
      </c>
      <c r="E328">
        <v>1</v>
      </c>
      <c r="F328">
        <v>29990</v>
      </c>
      <c r="G328">
        <v>5000</v>
      </c>
    </row>
    <row r="329" spans="1:7" x14ac:dyDescent="0.3">
      <c r="A329" s="80">
        <v>45680.558009259257</v>
      </c>
      <c r="B329" t="s">
        <v>677</v>
      </c>
      <c r="C329" t="s">
        <v>706</v>
      </c>
      <c r="D329" t="s">
        <v>707</v>
      </c>
      <c r="E329">
        <v>1</v>
      </c>
      <c r="F329">
        <v>29990</v>
      </c>
      <c r="G329">
        <v>5000</v>
      </c>
    </row>
    <row r="330" spans="1:7" x14ac:dyDescent="0.3">
      <c r="A330" s="80">
        <v>45680.702025462961</v>
      </c>
      <c r="B330" t="s">
        <v>677</v>
      </c>
      <c r="C330" t="s">
        <v>706</v>
      </c>
      <c r="D330" t="s">
        <v>707</v>
      </c>
      <c r="E330">
        <v>1</v>
      </c>
      <c r="F330">
        <v>29990</v>
      </c>
      <c r="G330">
        <v>5000</v>
      </c>
    </row>
    <row r="331" spans="1:7" x14ac:dyDescent="0.3">
      <c r="A331" s="80">
        <v>45680.920856481483</v>
      </c>
      <c r="B331" t="s">
        <v>677</v>
      </c>
      <c r="C331" t="s">
        <v>706</v>
      </c>
      <c r="D331" t="s">
        <v>707</v>
      </c>
      <c r="E331">
        <v>1</v>
      </c>
      <c r="F331">
        <v>29990</v>
      </c>
      <c r="G331">
        <v>5000</v>
      </c>
    </row>
    <row r="332" spans="1:7" x14ac:dyDescent="0.3">
      <c r="A332" s="80">
        <v>45681.375219907408</v>
      </c>
      <c r="B332" t="s">
        <v>677</v>
      </c>
      <c r="C332" t="s">
        <v>706</v>
      </c>
      <c r="D332" t="s">
        <v>707</v>
      </c>
      <c r="E332">
        <v>1</v>
      </c>
      <c r="F332">
        <v>29990</v>
      </c>
      <c r="G332">
        <v>5000</v>
      </c>
    </row>
    <row r="333" spans="1:7" x14ac:dyDescent="0.3">
      <c r="A333" s="80">
        <v>45681.413807870369</v>
      </c>
      <c r="B333" t="s">
        <v>677</v>
      </c>
      <c r="C333" t="s">
        <v>706</v>
      </c>
      <c r="D333" t="s">
        <v>707</v>
      </c>
      <c r="E333">
        <v>1</v>
      </c>
      <c r="F333">
        <v>29990</v>
      </c>
      <c r="G333">
        <v>5000</v>
      </c>
    </row>
    <row r="334" spans="1:7" x14ac:dyDescent="0.3">
      <c r="A334" s="80">
        <v>45681.52484953704</v>
      </c>
      <c r="B334" t="s">
        <v>677</v>
      </c>
      <c r="C334" t="s">
        <v>706</v>
      </c>
      <c r="D334" t="s">
        <v>707</v>
      </c>
      <c r="E334">
        <v>1</v>
      </c>
      <c r="F334">
        <v>29990</v>
      </c>
      <c r="G334">
        <v>5000</v>
      </c>
    </row>
    <row r="335" spans="1:7" x14ac:dyDescent="0.3">
      <c r="A335" s="80">
        <v>45681.617037037038</v>
      </c>
      <c r="B335" t="s">
        <v>677</v>
      </c>
      <c r="C335" t="s">
        <v>706</v>
      </c>
      <c r="D335" t="s">
        <v>707</v>
      </c>
      <c r="E335">
        <v>1</v>
      </c>
      <c r="F335">
        <v>29990</v>
      </c>
      <c r="G335">
        <v>5000</v>
      </c>
    </row>
    <row r="336" spans="1:7" x14ac:dyDescent="0.3">
      <c r="A336" s="80">
        <v>45681.622407407413</v>
      </c>
      <c r="B336" t="s">
        <v>677</v>
      </c>
      <c r="C336" t="s">
        <v>706</v>
      </c>
      <c r="D336" t="s">
        <v>707</v>
      </c>
      <c r="E336">
        <v>1</v>
      </c>
      <c r="F336">
        <v>29990</v>
      </c>
      <c r="G336">
        <v>5000</v>
      </c>
    </row>
    <row r="337" spans="1:7" x14ac:dyDescent="0.3">
      <c r="A337" s="80">
        <v>45681.687638888892</v>
      </c>
      <c r="B337" t="s">
        <v>677</v>
      </c>
      <c r="C337" t="s">
        <v>706</v>
      </c>
      <c r="D337" t="s">
        <v>707</v>
      </c>
      <c r="E337">
        <v>1</v>
      </c>
      <c r="F337">
        <v>29990</v>
      </c>
      <c r="G337">
        <v>5000</v>
      </c>
    </row>
    <row r="338" spans="1:7" x14ac:dyDescent="0.3">
      <c r="A338" s="80">
        <v>45681.872453703712</v>
      </c>
      <c r="B338" t="s">
        <v>677</v>
      </c>
      <c r="C338" t="s">
        <v>706</v>
      </c>
      <c r="D338" t="s">
        <v>707</v>
      </c>
      <c r="E338">
        <v>1</v>
      </c>
      <c r="F338">
        <v>29990</v>
      </c>
      <c r="G338">
        <v>5000</v>
      </c>
    </row>
    <row r="339" spans="1:7" x14ac:dyDescent="0.3">
      <c r="A339" s="80">
        <v>45681.996689814812</v>
      </c>
      <c r="B339" t="s">
        <v>677</v>
      </c>
      <c r="C339" t="s">
        <v>706</v>
      </c>
      <c r="D339" t="s">
        <v>707</v>
      </c>
      <c r="E339">
        <v>1</v>
      </c>
      <c r="F339">
        <v>29990</v>
      </c>
      <c r="G339">
        <v>5000</v>
      </c>
    </row>
    <row r="340" spans="1:7" x14ac:dyDescent="0.3">
      <c r="A340" s="80">
        <v>45682.003310185188</v>
      </c>
      <c r="B340" t="s">
        <v>677</v>
      </c>
      <c r="C340" t="s">
        <v>706</v>
      </c>
      <c r="D340" t="s">
        <v>707</v>
      </c>
      <c r="E340">
        <v>1</v>
      </c>
      <c r="F340">
        <v>29990</v>
      </c>
      <c r="G340">
        <v>5000</v>
      </c>
    </row>
    <row r="341" spans="1:7" x14ac:dyDescent="0.3">
      <c r="A341" s="80">
        <v>45682.065370370372</v>
      </c>
      <c r="B341" t="s">
        <v>677</v>
      </c>
      <c r="C341" t="s">
        <v>706</v>
      </c>
      <c r="D341" t="s">
        <v>707</v>
      </c>
      <c r="E341">
        <v>1</v>
      </c>
      <c r="F341">
        <v>29990</v>
      </c>
      <c r="G341">
        <v>5000</v>
      </c>
    </row>
    <row r="342" spans="1:7" x14ac:dyDescent="0.3">
      <c r="A342" s="80">
        <v>45682.405416666668</v>
      </c>
      <c r="B342" t="s">
        <v>677</v>
      </c>
      <c r="C342" t="s">
        <v>706</v>
      </c>
      <c r="D342" t="s">
        <v>707</v>
      </c>
      <c r="E342">
        <v>1</v>
      </c>
      <c r="F342">
        <v>29990</v>
      </c>
      <c r="G342">
        <v>5000</v>
      </c>
    </row>
    <row r="343" spans="1:7" x14ac:dyDescent="0.3">
      <c r="A343" s="80">
        <v>45682.444548611107</v>
      </c>
      <c r="B343" t="s">
        <v>677</v>
      </c>
      <c r="C343" t="s">
        <v>706</v>
      </c>
      <c r="D343" t="s">
        <v>707</v>
      </c>
      <c r="E343">
        <v>1</v>
      </c>
      <c r="F343">
        <v>29990</v>
      </c>
      <c r="G343">
        <v>5000</v>
      </c>
    </row>
    <row r="344" spans="1:7" x14ac:dyDescent="0.3">
      <c r="A344" s="80">
        <v>45682.490266203713</v>
      </c>
      <c r="B344" t="s">
        <v>677</v>
      </c>
      <c r="C344" t="s">
        <v>706</v>
      </c>
      <c r="D344" t="s">
        <v>707</v>
      </c>
      <c r="E344">
        <v>1</v>
      </c>
      <c r="F344">
        <v>32990</v>
      </c>
      <c r="G344">
        <v>5000</v>
      </c>
    </row>
    <row r="345" spans="1:7" x14ac:dyDescent="0.3">
      <c r="A345" s="80">
        <v>45682.503009259257</v>
      </c>
      <c r="B345" t="s">
        <v>677</v>
      </c>
      <c r="C345" t="s">
        <v>706</v>
      </c>
      <c r="D345" t="s">
        <v>707</v>
      </c>
      <c r="E345">
        <v>1</v>
      </c>
      <c r="F345">
        <v>29990</v>
      </c>
      <c r="G345">
        <v>5000</v>
      </c>
    </row>
    <row r="346" spans="1:7" x14ac:dyDescent="0.3">
      <c r="A346" s="80">
        <v>45682.574166666673</v>
      </c>
      <c r="B346" t="s">
        <v>677</v>
      </c>
      <c r="C346" t="s">
        <v>706</v>
      </c>
      <c r="D346" t="s">
        <v>707</v>
      </c>
      <c r="E346">
        <v>1</v>
      </c>
      <c r="F346">
        <v>29990</v>
      </c>
      <c r="G346">
        <v>5000</v>
      </c>
    </row>
    <row r="347" spans="1:7" x14ac:dyDescent="0.3">
      <c r="A347" s="80">
        <v>45682.604837962957</v>
      </c>
      <c r="B347" t="s">
        <v>677</v>
      </c>
      <c r="C347" t="s">
        <v>706</v>
      </c>
      <c r="D347" t="s">
        <v>707</v>
      </c>
      <c r="E347">
        <v>1</v>
      </c>
      <c r="F347">
        <v>29990</v>
      </c>
      <c r="G347">
        <v>5000</v>
      </c>
    </row>
    <row r="348" spans="1:7" x14ac:dyDescent="0.3">
      <c r="A348" s="80">
        <v>45682.659131944441</v>
      </c>
      <c r="B348" t="s">
        <v>677</v>
      </c>
      <c r="C348" t="s">
        <v>706</v>
      </c>
      <c r="D348" t="s">
        <v>707</v>
      </c>
      <c r="E348">
        <v>1</v>
      </c>
      <c r="F348">
        <v>29990</v>
      </c>
      <c r="G348">
        <v>5000</v>
      </c>
    </row>
    <row r="349" spans="1:7" x14ac:dyDescent="0.3">
      <c r="A349" s="80">
        <v>45682.755486111113</v>
      </c>
      <c r="B349" t="s">
        <v>677</v>
      </c>
      <c r="C349" t="s">
        <v>706</v>
      </c>
      <c r="D349" t="s">
        <v>707</v>
      </c>
      <c r="E349">
        <v>1</v>
      </c>
      <c r="F349">
        <v>32990</v>
      </c>
      <c r="G349">
        <v>5000</v>
      </c>
    </row>
    <row r="350" spans="1:7" x14ac:dyDescent="0.3">
      <c r="A350" s="80">
        <v>45682.76662037037</v>
      </c>
      <c r="B350" t="s">
        <v>677</v>
      </c>
      <c r="C350" t="s">
        <v>706</v>
      </c>
      <c r="D350" t="s">
        <v>707</v>
      </c>
      <c r="E350">
        <v>1</v>
      </c>
      <c r="F350">
        <v>29990</v>
      </c>
      <c r="G350">
        <v>5000</v>
      </c>
    </row>
    <row r="351" spans="1:7" x14ac:dyDescent="0.3">
      <c r="A351" s="80">
        <v>45682.783148148148</v>
      </c>
      <c r="B351" t="s">
        <v>677</v>
      </c>
      <c r="C351" t="s">
        <v>706</v>
      </c>
      <c r="D351" t="s">
        <v>707</v>
      </c>
      <c r="E351">
        <v>1</v>
      </c>
      <c r="F351">
        <v>29990</v>
      </c>
      <c r="G351">
        <v>5000</v>
      </c>
    </row>
    <row r="352" spans="1:7" x14ac:dyDescent="0.3">
      <c r="A352" s="80">
        <v>45682.822962962957</v>
      </c>
      <c r="B352" t="s">
        <v>677</v>
      </c>
      <c r="C352" t="s">
        <v>706</v>
      </c>
      <c r="D352" t="s">
        <v>707</v>
      </c>
      <c r="E352">
        <v>1</v>
      </c>
      <c r="F352">
        <v>32990</v>
      </c>
      <c r="G352">
        <v>5000</v>
      </c>
    </row>
    <row r="353" spans="1:7" x14ac:dyDescent="0.3">
      <c r="A353" s="80">
        <v>45682.889641203707</v>
      </c>
      <c r="B353" t="s">
        <v>677</v>
      </c>
      <c r="C353" t="s">
        <v>706</v>
      </c>
      <c r="D353" t="s">
        <v>707</v>
      </c>
      <c r="E353">
        <v>1</v>
      </c>
      <c r="F353">
        <v>29990</v>
      </c>
      <c r="G353">
        <v>5000</v>
      </c>
    </row>
    <row r="354" spans="1:7" x14ac:dyDescent="0.3">
      <c r="A354" s="80">
        <v>45682.969386574077</v>
      </c>
      <c r="B354" t="s">
        <v>677</v>
      </c>
      <c r="C354" t="s">
        <v>706</v>
      </c>
      <c r="D354" t="s">
        <v>707</v>
      </c>
      <c r="E354">
        <v>1</v>
      </c>
      <c r="F354">
        <v>29990</v>
      </c>
      <c r="G354">
        <v>5000</v>
      </c>
    </row>
    <row r="355" spans="1:7" x14ac:dyDescent="0.3">
      <c r="A355" s="80">
        <v>45683.428668981483</v>
      </c>
      <c r="B355" t="s">
        <v>677</v>
      </c>
      <c r="C355" t="s">
        <v>706</v>
      </c>
      <c r="D355" t="s">
        <v>707</v>
      </c>
      <c r="E355">
        <v>1</v>
      </c>
      <c r="F355">
        <v>29990</v>
      </c>
      <c r="G355">
        <v>5000</v>
      </c>
    </row>
    <row r="356" spans="1:7" x14ac:dyDescent="0.3">
      <c r="A356" s="80">
        <v>45683.496180555558</v>
      </c>
      <c r="B356" t="s">
        <v>677</v>
      </c>
      <c r="C356" t="s">
        <v>706</v>
      </c>
      <c r="D356" t="s">
        <v>707</v>
      </c>
      <c r="E356">
        <v>1</v>
      </c>
      <c r="F356">
        <v>29990</v>
      </c>
      <c r="G356">
        <v>5000</v>
      </c>
    </row>
    <row r="357" spans="1:7" x14ac:dyDescent="0.3">
      <c r="A357" s="80">
        <v>45683.532048611109</v>
      </c>
      <c r="B357" t="s">
        <v>677</v>
      </c>
      <c r="C357" t="s">
        <v>706</v>
      </c>
      <c r="D357" t="s">
        <v>707</v>
      </c>
      <c r="E357">
        <v>1</v>
      </c>
      <c r="F357">
        <v>29990</v>
      </c>
      <c r="G357">
        <v>5000</v>
      </c>
    </row>
    <row r="358" spans="1:7" x14ac:dyDescent="0.3">
      <c r="A358" s="80">
        <v>45683.588483796288</v>
      </c>
      <c r="B358" t="s">
        <v>677</v>
      </c>
      <c r="C358" t="s">
        <v>706</v>
      </c>
      <c r="D358" t="s">
        <v>707</v>
      </c>
      <c r="E358">
        <v>1</v>
      </c>
      <c r="F358">
        <v>29990</v>
      </c>
      <c r="G358">
        <v>5000</v>
      </c>
    </row>
    <row r="359" spans="1:7" x14ac:dyDescent="0.3">
      <c r="A359" s="80">
        <v>45683.638009259259</v>
      </c>
      <c r="B359" t="s">
        <v>677</v>
      </c>
      <c r="C359" t="s">
        <v>706</v>
      </c>
      <c r="D359" t="s">
        <v>707</v>
      </c>
      <c r="E359">
        <v>1</v>
      </c>
      <c r="F359">
        <v>32990</v>
      </c>
      <c r="G359">
        <v>5000</v>
      </c>
    </row>
    <row r="360" spans="1:7" x14ac:dyDescent="0.3">
      <c r="A360" s="80">
        <v>45683.724062499998</v>
      </c>
      <c r="B360" t="s">
        <v>677</v>
      </c>
      <c r="C360" t="s">
        <v>706</v>
      </c>
      <c r="D360" t="s">
        <v>707</v>
      </c>
      <c r="E360">
        <v>1</v>
      </c>
      <c r="F360">
        <v>29990</v>
      </c>
      <c r="G360">
        <v>5000</v>
      </c>
    </row>
    <row r="361" spans="1:7" x14ac:dyDescent="0.3">
      <c r="A361" s="80">
        <v>45683.745023148149</v>
      </c>
      <c r="B361" t="s">
        <v>677</v>
      </c>
      <c r="C361" t="s">
        <v>706</v>
      </c>
      <c r="D361" t="s">
        <v>707</v>
      </c>
      <c r="E361">
        <v>1</v>
      </c>
      <c r="F361">
        <v>29990</v>
      </c>
      <c r="G361">
        <v>5000</v>
      </c>
    </row>
    <row r="362" spans="1:7" x14ac:dyDescent="0.3">
      <c r="A362" s="80">
        <v>45683.832928240743</v>
      </c>
      <c r="B362" t="s">
        <v>677</v>
      </c>
      <c r="C362" t="s">
        <v>706</v>
      </c>
      <c r="D362" t="s">
        <v>707</v>
      </c>
      <c r="E362">
        <v>1</v>
      </c>
      <c r="F362">
        <v>29990</v>
      </c>
      <c r="G362">
        <v>5000</v>
      </c>
    </row>
    <row r="363" spans="1:7" x14ac:dyDescent="0.3">
      <c r="A363" s="80">
        <v>45684.375185185178</v>
      </c>
      <c r="B363" t="s">
        <v>677</v>
      </c>
      <c r="C363" t="s">
        <v>706</v>
      </c>
      <c r="D363" t="s">
        <v>707</v>
      </c>
      <c r="E363">
        <v>1</v>
      </c>
      <c r="F363">
        <v>29990</v>
      </c>
      <c r="G363">
        <v>5000</v>
      </c>
    </row>
    <row r="364" spans="1:7" x14ac:dyDescent="0.3">
      <c r="A364" s="80">
        <v>45684.439872685187</v>
      </c>
      <c r="B364" t="s">
        <v>677</v>
      </c>
      <c r="C364" t="s">
        <v>706</v>
      </c>
      <c r="D364" t="s">
        <v>707</v>
      </c>
      <c r="E364">
        <v>2</v>
      </c>
      <c r="F364">
        <v>59980</v>
      </c>
      <c r="G364">
        <v>10000</v>
      </c>
    </row>
    <row r="365" spans="1:7" x14ac:dyDescent="0.3">
      <c r="A365" s="80">
        <v>45684.500914351847</v>
      </c>
      <c r="B365" t="s">
        <v>677</v>
      </c>
      <c r="C365" t="s">
        <v>706</v>
      </c>
      <c r="D365" t="s">
        <v>707</v>
      </c>
      <c r="E365">
        <v>1</v>
      </c>
      <c r="F365">
        <v>29990</v>
      </c>
      <c r="G365">
        <v>5000</v>
      </c>
    </row>
    <row r="366" spans="1:7" x14ac:dyDescent="0.3">
      <c r="A366" s="80">
        <v>45684.549884259257</v>
      </c>
      <c r="B366" t="s">
        <v>677</v>
      </c>
      <c r="C366" t="s">
        <v>706</v>
      </c>
      <c r="D366" t="s">
        <v>707</v>
      </c>
      <c r="E366">
        <v>1</v>
      </c>
      <c r="F366">
        <v>29990</v>
      </c>
      <c r="G366">
        <v>5000</v>
      </c>
    </row>
    <row r="367" spans="1:7" x14ac:dyDescent="0.3">
      <c r="A367" s="80">
        <v>45684.596956018519</v>
      </c>
      <c r="B367" t="s">
        <v>677</v>
      </c>
      <c r="C367" t="s">
        <v>706</v>
      </c>
      <c r="D367" t="s">
        <v>707</v>
      </c>
      <c r="E367">
        <v>1</v>
      </c>
      <c r="F367">
        <v>29990</v>
      </c>
      <c r="G367">
        <v>5000</v>
      </c>
    </row>
    <row r="368" spans="1:7" x14ac:dyDescent="0.3">
      <c r="A368" s="80">
        <v>45684.604328703703</v>
      </c>
      <c r="B368" t="s">
        <v>677</v>
      </c>
      <c r="C368" t="s">
        <v>706</v>
      </c>
      <c r="D368" t="s">
        <v>707</v>
      </c>
      <c r="E368">
        <v>1</v>
      </c>
      <c r="F368">
        <v>32990</v>
      </c>
      <c r="G368">
        <v>5000</v>
      </c>
    </row>
    <row r="369" spans="1:7" x14ac:dyDescent="0.3">
      <c r="A369" s="80">
        <v>45684.618622685193</v>
      </c>
      <c r="B369" t="s">
        <v>677</v>
      </c>
      <c r="C369" t="s">
        <v>706</v>
      </c>
      <c r="D369" t="s">
        <v>707</v>
      </c>
      <c r="E369">
        <v>1</v>
      </c>
      <c r="F369">
        <v>29990</v>
      </c>
      <c r="G369">
        <v>5000</v>
      </c>
    </row>
    <row r="370" spans="1:7" x14ac:dyDescent="0.3">
      <c r="A370" s="80">
        <v>45684.722870370373</v>
      </c>
      <c r="B370" t="s">
        <v>677</v>
      </c>
      <c r="C370" t="s">
        <v>706</v>
      </c>
      <c r="D370" t="s">
        <v>707</v>
      </c>
      <c r="E370">
        <v>1</v>
      </c>
      <c r="F370">
        <v>29990</v>
      </c>
      <c r="G370">
        <v>5000</v>
      </c>
    </row>
    <row r="371" spans="1:7" x14ac:dyDescent="0.3">
      <c r="A371" s="80">
        <v>45685.287060185183</v>
      </c>
      <c r="B371" t="s">
        <v>677</v>
      </c>
      <c r="C371" t="s">
        <v>706</v>
      </c>
      <c r="D371" t="s">
        <v>707</v>
      </c>
      <c r="E371">
        <v>1</v>
      </c>
      <c r="F371">
        <v>29990</v>
      </c>
      <c r="G371">
        <v>5000</v>
      </c>
    </row>
    <row r="372" spans="1:7" x14ac:dyDescent="0.3">
      <c r="A372" s="80">
        <v>45685.381655092591</v>
      </c>
      <c r="B372" t="s">
        <v>719</v>
      </c>
      <c r="C372" t="s">
        <v>720</v>
      </c>
      <c r="D372" t="s">
        <v>721</v>
      </c>
      <c r="E372">
        <v>1</v>
      </c>
      <c r="F372">
        <v>29990</v>
      </c>
      <c r="G372">
        <v>5000</v>
      </c>
    </row>
    <row r="373" spans="1:7" x14ac:dyDescent="0.3">
      <c r="A373" s="80">
        <v>45685.431990740741</v>
      </c>
      <c r="B373" t="s">
        <v>677</v>
      </c>
      <c r="C373" t="s">
        <v>706</v>
      </c>
      <c r="D373" t="s">
        <v>707</v>
      </c>
      <c r="E373">
        <v>1</v>
      </c>
      <c r="F373">
        <v>29990</v>
      </c>
      <c r="G373">
        <v>5000</v>
      </c>
    </row>
    <row r="374" spans="1:7" x14ac:dyDescent="0.3">
      <c r="A374" s="80">
        <v>45685.445196759261</v>
      </c>
      <c r="B374" t="s">
        <v>677</v>
      </c>
      <c r="C374" t="s">
        <v>706</v>
      </c>
      <c r="D374" t="s">
        <v>707</v>
      </c>
      <c r="E374">
        <v>1</v>
      </c>
      <c r="F374">
        <v>29990</v>
      </c>
      <c r="G374">
        <v>5000</v>
      </c>
    </row>
    <row r="375" spans="1:7" x14ac:dyDescent="0.3">
      <c r="A375" s="80">
        <v>45685.469930555562</v>
      </c>
      <c r="B375" t="s">
        <v>677</v>
      </c>
      <c r="C375" t="s">
        <v>706</v>
      </c>
      <c r="D375" t="s">
        <v>707</v>
      </c>
      <c r="E375">
        <v>1</v>
      </c>
      <c r="F375">
        <v>29990</v>
      </c>
      <c r="G375">
        <v>5000</v>
      </c>
    </row>
    <row r="376" spans="1:7" x14ac:dyDescent="0.3">
      <c r="A376" s="80">
        <v>45685.606585648151</v>
      </c>
      <c r="B376" t="s">
        <v>677</v>
      </c>
      <c r="C376" t="s">
        <v>706</v>
      </c>
      <c r="D376" t="s">
        <v>707</v>
      </c>
      <c r="E376">
        <v>1</v>
      </c>
      <c r="F376">
        <v>29990</v>
      </c>
      <c r="G376">
        <v>5000</v>
      </c>
    </row>
    <row r="377" spans="1:7" x14ac:dyDescent="0.3">
      <c r="A377" s="80">
        <v>45685.697418981479</v>
      </c>
      <c r="B377" t="s">
        <v>677</v>
      </c>
      <c r="C377" t="s">
        <v>706</v>
      </c>
      <c r="D377" t="s">
        <v>707</v>
      </c>
      <c r="E377">
        <v>1</v>
      </c>
      <c r="F377">
        <v>29990</v>
      </c>
      <c r="G377">
        <v>5000</v>
      </c>
    </row>
    <row r="378" spans="1:7" x14ac:dyDescent="0.3">
      <c r="A378" s="80">
        <v>45685.785810185182</v>
      </c>
      <c r="B378" t="s">
        <v>677</v>
      </c>
      <c r="C378" t="s">
        <v>706</v>
      </c>
      <c r="D378" t="s">
        <v>707</v>
      </c>
      <c r="E378">
        <v>1</v>
      </c>
      <c r="F378">
        <v>32990</v>
      </c>
      <c r="G378">
        <v>5000</v>
      </c>
    </row>
    <row r="379" spans="1:7" x14ac:dyDescent="0.3">
      <c r="A379" s="80">
        <v>45686.36681712963</v>
      </c>
      <c r="B379" t="s">
        <v>677</v>
      </c>
      <c r="C379" t="s">
        <v>706</v>
      </c>
      <c r="D379" t="s">
        <v>707</v>
      </c>
      <c r="E379">
        <v>1</v>
      </c>
      <c r="F379">
        <v>26991</v>
      </c>
      <c r="G379">
        <v>5000</v>
      </c>
    </row>
    <row r="380" spans="1:7" x14ac:dyDescent="0.3">
      <c r="A380" s="80">
        <v>45686.405914351853</v>
      </c>
      <c r="B380" t="s">
        <v>677</v>
      </c>
      <c r="C380" t="s">
        <v>706</v>
      </c>
      <c r="D380" t="s">
        <v>707</v>
      </c>
      <c r="E380">
        <v>1</v>
      </c>
      <c r="F380">
        <v>29990</v>
      </c>
      <c r="G380">
        <v>5000</v>
      </c>
    </row>
    <row r="381" spans="1:7" x14ac:dyDescent="0.3">
      <c r="A381" s="80">
        <v>45686.460439814808</v>
      </c>
      <c r="B381" t="s">
        <v>677</v>
      </c>
      <c r="C381" t="s">
        <v>706</v>
      </c>
      <c r="D381" t="s">
        <v>707</v>
      </c>
      <c r="E381">
        <v>1</v>
      </c>
      <c r="F381">
        <v>29990</v>
      </c>
      <c r="G381">
        <v>5000</v>
      </c>
    </row>
    <row r="382" spans="1:7" x14ac:dyDescent="0.3">
      <c r="A382" s="80">
        <v>45686.47929398148</v>
      </c>
      <c r="B382" t="s">
        <v>677</v>
      </c>
      <c r="C382" t="s">
        <v>706</v>
      </c>
      <c r="D382" t="s">
        <v>707</v>
      </c>
      <c r="E382">
        <v>1</v>
      </c>
      <c r="F382">
        <v>29990</v>
      </c>
      <c r="G382">
        <v>5000</v>
      </c>
    </row>
    <row r="383" spans="1:7" x14ac:dyDescent="0.3">
      <c r="A383" s="80">
        <v>45686.499803240738</v>
      </c>
      <c r="B383" t="s">
        <v>677</v>
      </c>
      <c r="C383" t="s">
        <v>706</v>
      </c>
      <c r="D383" t="s">
        <v>707</v>
      </c>
      <c r="E383">
        <v>1</v>
      </c>
      <c r="F383">
        <v>29990</v>
      </c>
      <c r="G383">
        <v>5000</v>
      </c>
    </row>
    <row r="384" spans="1:7" x14ac:dyDescent="0.3">
      <c r="A384" s="80">
        <v>45686.586388888893</v>
      </c>
      <c r="B384" t="s">
        <v>677</v>
      </c>
      <c r="C384" t="s">
        <v>706</v>
      </c>
      <c r="D384" t="s">
        <v>707</v>
      </c>
      <c r="E384">
        <v>1</v>
      </c>
      <c r="F384">
        <v>29990</v>
      </c>
      <c r="G384">
        <v>5000</v>
      </c>
    </row>
    <row r="385" spans="1:7" x14ac:dyDescent="0.3">
      <c r="A385" s="80">
        <v>45686.626481481479</v>
      </c>
      <c r="B385" t="s">
        <v>677</v>
      </c>
      <c r="C385" t="s">
        <v>706</v>
      </c>
      <c r="D385" t="s">
        <v>707</v>
      </c>
      <c r="E385">
        <v>1</v>
      </c>
      <c r="F385">
        <v>29990</v>
      </c>
      <c r="G385">
        <v>5000</v>
      </c>
    </row>
    <row r="386" spans="1:7" x14ac:dyDescent="0.3">
      <c r="A386" s="80">
        <v>45686.696898148148</v>
      </c>
      <c r="B386" t="s">
        <v>677</v>
      </c>
      <c r="C386" t="s">
        <v>706</v>
      </c>
      <c r="D386" t="s">
        <v>707</v>
      </c>
      <c r="E386">
        <v>1</v>
      </c>
      <c r="F386">
        <v>29990</v>
      </c>
      <c r="G386">
        <v>5000</v>
      </c>
    </row>
    <row r="387" spans="1:7" x14ac:dyDescent="0.3">
      <c r="A387" s="80">
        <v>45686.699976851851</v>
      </c>
      <c r="B387" t="s">
        <v>677</v>
      </c>
      <c r="C387" t="s">
        <v>706</v>
      </c>
      <c r="D387" t="s">
        <v>707</v>
      </c>
      <c r="E387">
        <v>1</v>
      </c>
      <c r="F387">
        <v>26991</v>
      </c>
      <c r="G387">
        <v>5000</v>
      </c>
    </row>
    <row r="388" spans="1:7" x14ac:dyDescent="0.3">
      <c r="A388" s="80">
        <v>45686.802569444437</v>
      </c>
      <c r="B388" t="s">
        <v>677</v>
      </c>
      <c r="C388" t="s">
        <v>706</v>
      </c>
      <c r="D388" t="s">
        <v>707</v>
      </c>
      <c r="E388">
        <v>1</v>
      </c>
      <c r="F388">
        <v>29990</v>
      </c>
      <c r="G388">
        <v>5000</v>
      </c>
    </row>
    <row r="389" spans="1:7" x14ac:dyDescent="0.3">
      <c r="A389" s="80">
        <v>45686.875127314823</v>
      </c>
      <c r="B389" t="s">
        <v>677</v>
      </c>
      <c r="C389" t="s">
        <v>706</v>
      </c>
      <c r="D389" t="s">
        <v>707</v>
      </c>
      <c r="E389">
        <v>1</v>
      </c>
      <c r="F389">
        <v>29990</v>
      </c>
      <c r="G389">
        <v>5000</v>
      </c>
    </row>
    <row r="390" spans="1:7" x14ac:dyDescent="0.3">
      <c r="A390" s="80">
        <v>45686.919004629628</v>
      </c>
      <c r="B390" t="s">
        <v>677</v>
      </c>
      <c r="C390" t="s">
        <v>706</v>
      </c>
      <c r="D390" t="s">
        <v>707</v>
      </c>
      <c r="E390">
        <v>2</v>
      </c>
      <c r="F390">
        <v>53982</v>
      </c>
      <c r="G390">
        <v>10000</v>
      </c>
    </row>
    <row r="391" spans="1:7" x14ac:dyDescent="0.3">
      <c r="A391" s="80">
        <v>45687.046041666668</v>
      </c>
      <c r="B391" t="s">
        <v>677</v>
      </c>
      <c r="C391" t="s">
        <v>706</v>
      </c>
      <c r="D391" t="s">
        <v>707</v>
      </c>
      <c r="E391">
        <v>1</v>
      </c>
      <c r="F391">
        <v>29990</v>
      </c>
      <c r="G391">
        <v>5000</v>
      </c>
    </row>
    <row r="392" spans="1:7" x14ac:dyDescent="0.3">
      <c r="A392" s="80">
        <v>45687.374328703707</v>
      </c>
      <c r="B392" t="s">
        <v>677</v>
      </c>
      <c r="C392" t="s">
        <v>706</v>
      </c>
      <c r="D392" t="s">
        <v>707</v>
      </c>
      <c r="E392">
        <v>1</v>
      </c>
      <c r="F392">
        <v>29990</v>
      </c>
      <c r="G392">
        <v>5000</v>
      </c>
    </row>
    <row r="393" spans="1:7" x14ac:dyDescent="0.3">
      <c r="A393" s="80">
        <v>45687.414814814823</v>
      </c>
      <c r="B393" t="s">
        <v>677</v>
      </c>
      <c r="C393" t="s">
        <v>706</v>
      </c>
      <c r="D393" t="s">
        <v>707</v>
      </c>
      <c r="E393">
        <v>1</v>
      </c>
      <c r="F393">
        <v>32990</v>
      </c>
      <c r="G393">
        <v>5000</v>
      </c>
    </row>
    <row r="394" spans="1:7" x14ac:dyDescent="0.3">
      <c r="A394" s="80">
        <v>45687.43</v>
      </c>
      <c r="B394" t="s">
        <v>677</v>
      </c>
      <c r="C394" t="s">
        <v>706</v>
      </c>
      <c r="D394" t="s">
        <v>707</v>
      </c>
      <c r="E394">
        <v>1</v>
      </c>
      <c r="F394">
        <v>29990</v>
      </c>
      <c r="G394">
        <v>5000</v>
      </c>
    </row>
    <row r="395" spans="1:7" x14ac:dyDescent="0.3">
      <c r="A395" s="80">
        <v>45687.471747685187</v>
      </c>
      <c r="B395" t="s">
        <v>677</v>
      </c>
      <c r="C395" t="s">
        <v>706</v>
      </c>
      <c r="D395" t="s">
        <v>707</v>
      </c>
      <c r="E395">
        <v>1</v>
      </c>
      <c r="F395">
        <v>29990</v>
      </c>
      <c r="G395">
        <v>5000</v>
      </c>
    </row>
    <row r="396" spans="1:7" x14ac:dyDescent="0.3">
      <c r="A396" s="80">
        <v>45687.55736111111</v>
      </c>
      <c r="B396" t="s">
        <v>722</v>
      </c>
      <c r="C396" t="s">
        <v>723</v>
      </c>
      <c r="D396" t="s">
        <v>724</v>
      </c>
      <c r="E396">
        <v>1</v>
      </c>
      <c r="F396">
        <v>21740</v>
      </c>
      <c r="G396">
        <v>8769</v>
      </c>
    </row>
    <row r="397" spans="1:7" x14ac:dyDescent="0.3">
      <c r="A397" s="80">
        <v>45687.636053240742</v>
      </c>
      <c r="B397" t="s">
        <v>722</v>
      </c>
      <c r="C397" t="s">
        <v>723</v>
      </c>
      <c r="D397" t="s">
        <v>724</v>
      </c>
      <c r="E397">
        <v>1</v>
      </c>
      <c r="F397">
        <v>21740</v>
      </c>
      <c r="G397">
        <v>8769</v>
      </c>
    </row>
    <row r="398" spans="1:7" x14ac:dyDescent="0.3">
      <c r="A398" s="80">
        <v>45687.652638888889</v>
      </c>
      <c r="B398" t="s">
        <v>722</v>
      </c>
      <c r="C398" t="s">
        <v>723</v>
      </c>
      <c r="D398" t="s">
        <v>724</v>
      </c>
      <c r="E398">
        <v>1</v>
      </c>
      <c r="F398">
        <v>21740</v>
      </c>
      <c r="G398">
        <v>8769</v>
      </c>
    </row>
    <row r="399" spans="1:7" x14ac:dyDescent="0.3">
      <c r="A399" s="80">
        <v>45687.652638888889</v>
      </c>
      <c r="B399" t="s">
        <v>677</v>
      </c>
      <c r="C399" t="s">
        <v>706</v>
      </c>
      <c r="D399" t="s">
        <v>707</v>
      </c>
      <c r="E399">
        <v>1</v>
      </c>
      <c r="F399">
        <v>29990</v>
      </c>
      <c r="G399">
        <v>5000</v>
      </c>
    </row>
    <row r="400" spans="1:7" x14ac:dyDescent="0.3">
      <c r="A400" s="80">
        <v>45687.652638888889</v>
      </c>
      <c r="B400" t="s">
        <v>719</v>
      </c>
      <c r="C400" t="s">
        <v>720</v>
      </c>
      <c r="D400" t="s">
        <v>721</v>
      </c>
      <c r="E400">
        <v>1</v>
      </c>
      <c r="F400">
        <v>29990</v>
      </c>
      <c r="G400">
        <v>5000</v>
      </c>
    </row>
    <row r="401" spans="1:7" x14ac:dyDescent="0.3">
      <c r="A401" s="80">
        <v>45687.664606481478</v>
      </c>
      <c r="B401" t="s">
        <v>677</v>
      </c>
      <c r="C401" t="s">
        <v>706</v>
      </c>
      <c r="D401" t="s">
        <v>707</v>
      </c>
      <c r="E401">
        <v>1</v>
      </c>
      <c r="F401">
        <v>32990</v>
      </c>
      <c r="G401">
        <v>5000</v>
      </c>
    </row>
    <row r="402" spans="1:7" x14ac:dyDescent="0.3">
      <c r="A402" s="80">
        <v>45687.682164351849</v>
      </c>
      <c r="B402" t="s">
        <v>722</v>
      </c>
      <c r="C402" t="s">
        <v>723</v>
      </c>
      <c r="D402" t="s">
        <v>724</v>
      </c>
      <c r="E402">
        <v>1</v>
      </c>
      <c r="F402">
        <v>21740</v>
      </c>
      <c r="G402">
        <v>8769</v>
      </c>
    </row>
    <row r="403" spans="1:7" x14ac:dyDescent="0.3">
      <c r="A403" s="80">
        <v>45687.72347222222</v>
      </c>
      <c r="B403" t="s">
        <v>722</v>
      </c>
      <c r="C403" t="s">
        <v>723</v>
      </c>
      <c r="D403" t="s">
        <v>724</v>
      </c>
      <c r="E403">
        <v>1</v>
      </c>
      <c r="F403">
        <v>21740</v>
      </c>
      <c r="G403">
        <v>8769</v>
      </c>
    </row>
    <row r="404" spans="1:7" x14ac:dyDescent="0.3">
      <c r="A404" s="80">
        <v>45687.727534722217</v>
      </c>
      <c r="B404" t="s">
        <v>677</v>
      </c>
      <c r="C404" t="s">
        <v>706</v>
      </c>
      <c r="D404" t="s">
        <v>707</v>
      </c>
      <c r="E404">
        <v>1</v>
      </c>
      <c r="F404">
        <v>29990</v>
      </c>
      <c r="G404">
        <v>5000</v>
      </c>
    </row>
    <row r="405" spans="1:7" x14ac:dyDescent="0.3">
      <c r="A405" s="80">
        <v>45687.738263888888</v>
      </c>
      <c r="B405" t="s">
        <v>677</v>
      </c>
      <c r="C405" t="s">
        <v>706</v>
      </c>
      <c r="D405" t="s">
        <v>707</v>
      </c>
      <c r="E405">
        <v>1</v>
      </c>
      <c r="F405">
        <v>29990</v>
      </c>
      <c r="G405">
        <v>5000</v>
      </c>
    </row>
    <row r="406" spans="1:7" x14ac:dyDescent="0.3">
      <c r="A406" s="80">
        <v>45687.843356481477</v>
      </c>
      <c r="B406" t="s">
        <v>722</v>
      </c>
      <c r="C406" t="s">
        <v>723</v>
      </c>
      <c r="D406" t="s">
        <v>724</v>
      </c>
      <c r="E406">
        <v>1</v>
      </c>
      <c r="F406">
        <v>21740</v>
      </c>
      <c r="G406">
        <v>8769</v>
      </c>
    </row>
    <row r="407" spans="1:7" x14ac:dyDescent="0.3">
      <c r="A407" s="80">
        <v>45687.988530092603</v>
      </c>
      <c r="B407" t="s">
        <v>677</v>
      </c>
      <c r="C407" t="s">
        <v>706</v>
      </c>
      <c r="D407" t="s">
        <v>707</v>
      </c>
      <c r="E407">
        <v>1</v>
      </c>
      <c r="F407">
        <v>29990</v>
      </c>
      <c r="G407">
        <v>5000</v>
      </c>
    </row>
    <row r="408" spans="1:7" x14ac:dyDescent="0.3">
      <c r="A408" s="80">
        <v>45688.299745370372</v>
      </c>
      <c r="B408" t="s">
        <v>677</v>
      </c>
      <c r="C408" t="s">
        <v>706</v>
      </c>
      <c r="D408" t="s">
        <v>707</v>
      </c>
      <c r="E408">
        <v>1</v>
      </c>
      <c r="F408">
        <v>29990</v>
      </c>
      <c r="G408">
        <v>5000</v>
      </c>
    </row>
    <row r="409" spans="1:7" x14ac:dyDescent="0.3">
      <c r="A409" s="80">
        <v>45688.373854166668</v>
      </c>
      <c r="B409" t="s">
        <v>677</v>
      </c>
      <c r="C409" t="s">
        <v>706</v>
      </c>
      <c r="D409" t="s">
        <v>707</v>
      </c>
      <c r="E409">
        <v>1</v>
      </c>
      <c r="F409">
        <v>29990</v>
      </c>
      <c r="G409">
        <v>5000</v>
      </c>
    </row>
    <row r="410" spans="1:7" x14ac:dyDescent="0.3">
      <c r="A410" s="80">
        <v>45688.373854166668</v>
      </c>
      <c r="B410" t="s">
        <v>722</v>
      </c>
      <c r="C410" t="s">
        <v>723</v>
      </c>
      <c r="D410" t="s">
        <v>724</v>
      </c>
      <c r="E410">
        <v>1</v>
      </c>
      <c r="F410">
        <v>21740</v>
      </c>
      <c r="G410">
        <v>8769</v>
      </c>
    </row>
    <row r="411" spans="1:7" x14ac:dyDescent="0.3">
      <c r="A411" s="80">
        <v>45688.507731481477</v>
      </c>
      <c r="B411" t="s">
        <v>677</v>
      </c>
      <c r="C411" t="s">
        <v>706</v>
      </c>
      <c r="D411" t="s">
        <v>707</v>
      </c>
      <c r="E411">
        <v>1</v>
      </c>
      <c r="F411">
        <v>29990</v>
      </c>
      <c r="G411">
        <v>5000</v>
      </c>
    </row>
    <row r="412" spans="1:7" x14ac:dyDescent="0.3">
      <c r="A412" s="80">
        <v>45688.737650462957</v>
      </c>
      <c r="B412" t="s">
        <v>677</v>
      </c>
      <c r="C412" t="s">
        <v>706</v>
      </c>
      <c r="D412" t="s">
        <v>707</v>
      </c>
      <c r="E412">
        <v>1</v>
      </c>
      <c r="F412">
        <v>29990</v>
      </c>
      <c r="G412">
        <v>5000</v>
      </c>
    </row>
    <row r="413" spans="1:7" x14ac:dyDescent="0.3">
      <c r="A413" s="80">
        <v>45688.908935185187</v>
      </c>
      <c r="B413" t="s">
        <v>677</v>
      </c>
      <c r="C413" t="s">
        <v>706</v>
      </c>
      <c r="D413" t="s">
        <v>707</v>
      </c>
      <c r="E413">
        <v>2</v>
      </c>
      <c r="F413">
        <v>59980</v>
      </c>
      <c r="G413">
        <v>10000</v>
      </c>
    </row>
    <row r="414" spans="1:7" x14ac:dyDescent="0.3">
      <c r="A414" s="80">
        <v>45689.340891203698</v>
      </c>
      <c r="B414" t="s">
        <v>677</v>
      </c>
      <c r="C414" t="s">
        <v>706</v>
      </c>
      <c r="D414" t="s">
        <v>707</v>
      </c>
      <c r="E414">
        <v>1</v>
      </c>
      <c r="F414">
        <v>29990</v>
      </c>
      <c r="G414">
        <v>5000</v>
      </c>
    </row>
    <row r="415" spans="1:7" x14ac:dyDescent="0.3">
      <c r="A415" s="80">
        <v>45689.461469907408</v>
      </c>
      <c r="B415" t="s">
        <v>677</v>
      </c>
      <c r="C415" t="s">
        <v>706</v>
      </c>
      <c r="D415" t="s">
        <v>707</v>
      </c>
      <c r="E415">
        <v>1</v>
      </c>
      <c r="F415">
        <v>29990</v>
      </c>
      <c r="G415">
        <v>5000</v>
      </c>
    </row>
    <row r="416" spans="1:7" x14ac:dyDescent="0.3">
      <c r="A416" s="80">
        <v>45689.666342592587</v>
      </c>
      <c r="B416" t="s">
        <v>722</v>
      </c>
      <c r="C416" t="s">
        <v>723</v>
      </c>
      <c r="D416" t="s">
        <v>724</v>
      </c>
      <c r="E416">
        <v>1</v>
      </c>
      <c r="F416">
        <v>21740</v>
      </c>
      <c r="G416">
        <v>8769</v>
      </c>
    </row>
    <row r="417" spans="1:7" x14ac:dyDescent="0.3">
      <c r="A417" s="80">
        <v>45689.738668981481</v>
      </c>
      <c r="B417" t="s">
        <v>677</v>
      </c>
      <c r="C417" t="s">
        <v>706</v>
      </c>
      <c r="D417" t="s">
        <v>707</v>
      </c>
      <c r="E417">
        <v>1</v>
      </c>
      <c r="F417">
        <v>32990</v>
      </c>
      <c r="G417">
        <v>5000</v>
      </c>
    </row>
    <row r="418" spans="1:7" x14ac:dyDescent="0.3">
      <c r="A418" s="80">
        <v>45689.767685185187</v>
      </c>
      <c r="B418" t="s">
        <v>677</v>
      </c>
      <c r="C418" t="s">
        <v>706</v>
      </c>
      <c r="D418" t="s">
        <v>707</v>
      </c>
      <c r="E418">
        <v>1</v>
      </c>
      <c r="F418">
        <v>29990</v>
      </c>
      <c r="G418">
        <v>5000</v>
      </c>
    </row>
    <row r="419" spans="1:7" x14ac:dyDescent="0.3">
      <c r="A419" s="80">
        <v>45689.847060185188</v>
      </c>
      <c r="B419" t="s">
        <v>677</v>
      </c>
      <c r="C419" t="s">
        <v>706</v>
      </c>
      <c r="D419" t="s">
        <v>707</v>
      </c>
      <c r="E419">
        <v>1</v>
      </c>
      <c r="F419">
        <v>32990</v>
      </c>
      <c r="G419">
        <v>5000</v>
      </c>
    </row>
    <row r="420" spans="1:7" x14ac:dyDescent="0.3">
      <c r="A420" s="80">
        <v>45690.074293981481</v>
      </c>
      <c r="B420" t="s">
        <v>677</v>
      </c>
      <c r="C420" t="s">
        <v>706</v>
      </c>
      <c r="D420" t="s">
        <v>707</v>
      </c>
      <c r="E420">
        <v>1</v>
      </c>
      <c r="F420">
        <v>32990</v>
      </c>
      <c r="G420">
        <v>5000</v>
      </c>
    </row>
    <row r="421" spans="1:7" x14ac:dyDescent="0.3">
      <c r="A421" s="80">
        <v>45690.383761574078</v>
      </c>
      <c r="B421" t="s">
        <v>719</v>
      </c>
      <c r="C421" t="s">
        <v>720</v>
      </c>
      <c r="D421" t="s">
        <v>721</v>
      </c>
      <c r="E421">
        <v>1</v>
      </c>
      <c r="F421">
        <v>29990</v>
      </c>
      <c r="G421">
        <v>5000</v>
      </c>
    </row>
    <row r="422" spans="1:7" x14ac:dyDescent="0.3">
      <c r="A422" s="80">
        <v>45690.383761574078</v>
      </c>
      <c r="B422" t="s">
        <v>677</v>
      </c>
      <c r="C422" t="s">
        <v>706</v>
      </c>
      <c r="D422" t="s">
        <v>707</v>
      </c>
      <c r="E422">
        <v>1</v>
      </c>
      <c r="F422">
        <v>29990</v>
      </c>
      <c r="G422">
        <v>5000</v>
      </c>
    </row>
    <row r="423" spans="1:7" x14ac:dyDescent="0.3">
      <c r="A423" s="80">
        <v>45690.425266203703</v>
      </c>
      <c r="B423" t="s">
        <v>722</v>
      </c>
      <c r="C423" t="s">
        <v>723</v>
      </c>
      <c r="D423" t="s">
        <v>724</v>
      </c>
      <c r="E423">
        <v>1</v>
      </c>
      <c r="F423">
        <v>21740</v>
      </c>
      <c r="G423">
        <v>8769</v>
      </c>
    </row>
    <row r="424" spans="1:7" x14ac:dyDescent="0.3">
      <c r="A424" s="80">
        <v>45690.425266203703</v>
      </c>
      <c r="B424" t="s">
        <v>719</v>
      </c>
      <c r="C424" t="s">
        <v>720</v>
      </c>
      <c r="D424" t="s">
        <v>721</v>
      </c>
      <c r="E424">
        <v>1</v>
      </c>
      <c r="F424">
        <v>29990</v>
      </c>
      <c r="G424">
        <v>5000</v>
      </c>
    </row>
    <row r="425" spans="1:7" x14ac:dyDescent="0.3">
      <c r="A425" s="80">
        <v>45690.425266203703</v>
      </c>
      <c r="B425" t="s">
        <v>717</v>
      </c>
      <c r="C425" t="s">
        <v>704</v>
      </c>
      <c r="D425" t="s">
        <v>718</v>
      </c>
      <c r="E425">
        <v>1</v>
      </c>
      <c r="F425">
        <v>9990</v>
      </c>
      <c r="G425">
        <v>2630</v>
      </c>
    </row>
    <row r="426" spans="1:7" x14ac:dyDescent="0.3">
      <c r="A426" s="80">
        <v>45690.425266203703</v>
      </c>
      <c r="B426" t="s">
        <v>677</v>
      </c>
      <c r="C426" t="s">
        <v>706</v>
      </c>
      <c r="D426" t="s">
        <v>707</v>
      </c>
      <c r="E426">
        <v>2</v>
      </c>
      <c r="F426">
        <v>59980</v>
      </c>
      <c r="G426">
        <v>10000</v>
      </c>
    </row>
    <row r="427" spans="1:7" x14ac:dyDescent="0.3">
      <c r="A427" s="80">
        <v>45690.427986111114</v>
      </c>
      <c r="B427" t="s">
        <v>719</v>
      </c>
      <c r="C427" t="s">
        <v>720</v>
      </c>
      <c r="D427" t="s">
        <v>721</v>
      </c>
      <c r="E427">
        <v>1</v>
      </c>
      <c r="F427">
        <v>29990</v>
      </c>
      <c r="G427">
        <v>5000</v>
      </c>
    </row>
    <row r="428" spans="1:7" x14ac:dyDescent="0.3">
      <c r="A428" s="80">
        <v>45690.441701388889</v>
      </c>
      <c r="B428" t="s">
        <v>677</v>
      </c>
      <c r="C428" t="s">
        <v>706</v>
      </c>
      <c r="D428" t="s">
        <v>707</v>
      </c>
      <c r="E428">
        <v>1</v>
      </c>
      <c r="F428">
        <v>29990</v>
      </c>
      <c r="G428">
        <v>5000</v>
      </c>
    </row>
    <row r="429" spans="1:7" x14ac:dyDescent="0.3">
      <c r="A429" s="80">
        <v>45690.477627314824</v>
      </c>
      <c r="B429" t="s">
        <v>677</v>
      </c>
      <c r="C429" t="s">
        <v>706</v>
      </c>
      <c r="D429" t="s">
        <v>707</v>
      </c>
      <c r="E429">
        <v>1</v>
      </c>
      <c r="F429">
        <v>29990</v>
      </c>
      <c r="G429">
        <v>5000</v>
      </c>
    </row>
    <row r="430" spans="1:7" x14ac:dyDescent="0.3">
      <c r="A430" s="80">
        <v>45690.551932870367</v>
      </c>
      <c r="B430" t="s">
        <v>677</v>
      </c>
      <c r="C430" t="s">
        <v>706</v>
      </c>
      <c r="D430" t="s">
        <v>707</v>
      </c>
      <c r="E430">
        <v>1</v>
      </c>
      <c r="F430">
        <v>29990</v>
      </c>
      <c r="G430">
        <v>5000</v>
      </c>
    </row>
    <row r="431" spans="1:7" x14ac:dyDescent="0.3">
      <c r="A431" s="80">
        <v>45690.552384259259</v>
      </c>
      <c r="B431" t="s">
        <v>677</v>
      </c>
      <c r="C431" t="s">
        <v>706</v>
      </c>
      <c r="D431" t="s">
        <v>707</v>
      </c>
      <c r="E431">
        <v>1</v>
      </c>
      <c r="F431">
        <v>29990</v>
      </c>
      <c r="G431">
        <v>5000</v>
      </c>
    </row>
    <row r="432" spans="1:7" x14ac:dyDescent="0.3">
      <c r="A432" s="80">
        <v>45690.675706018519</v>
      </c>
      <c r="B432" t="s">
        <v>677</v>
      </c>
      <c r="C432" t="s">
        <v>706</v>
      </c>
      <c r="D432" t="s">
        <v>707</v>
      </c>
      <c r="E432">
        <v>1</v>
      </c>
      <c r="F432">
        <v>32990</v>
      </c>
      <c r="G432">
        <v>5000</v>
      </c>
    </row>
    <row r="433" spans="1:7" x14ac:dyDescent="0.3">
      <c r="A433" s="80">
        <v>45690.764270833337</v>
      </c>
      <c r="B433" t="s">
        <v>677</v>
      </c>
      <c r="C433" t="s">
        <v>706</v>
      </c>
      <c r="D433" t="s">
        <v>707</v>
      </c>
      <c r="E433">
        <v>1</v>
      </c>
      <c r="F433">
        <v>29990</v>
      </c>
      <c r="G433">
        <v>5000</v>
      </c>
    </row>
    <row r="434" spans="1:7" x14ac:dyDescent="0.3">
      <c r="A434" s="80">
        <v>45690.782673611109</v>
      </c>
      <c r="B434" t="s">
        <v>677</v>
      </c>
      <c r="C434" t="s">
        <v>706</v>
      </c>
      <c r="D434" t="s">
        <v>707</v>
      </c>
      <c r="E434">
        <v>1</v>
      </c>
      <c r="F434">
        <v>29990</v>
      </c>
      <c r="G434">
        <v>5000</v>
      </c>
    </row>
    <row r="435" spans="1:7" x14ac:dyDescent="0.3">
      <c r="A435" s="80">
        <v>45690.786539351851</v>
      </c>
      <c r="B435" t="s">
        <v>677</v>
      </c>
      <c r="C435" t="s">
        <v>706</v>
      </c>
      <c r="D435" t="s">
        <v>707</v>
      </c>
      <c r="E435">
        <v>1</v>
      </c>
      <c r="F435">
        <v>29990</v>
      </c>
      <c r="G435">
        <v>5000</v>
      </c>
    </row>
    <row r="436" spans="1:7" x14ac:dyDescent="0.3">
      <c r="A436" s="80">
        <v>45690.80028935185</v>
      </c>
      <c r="B436" t="s">
        <v>677</v>
      </c>
      <c r="C436" t="s">
        <v>706</v>
      </c>
      <c r="D436" t="s">
        <v>707</v>
      </c>
      <c r="E436">
        <v>1</v>
      </c>
      <c r="F436">
        <v>29990</v>
      </c>
      <c r="G436">
        <v>5000</v>
      </c>
    </row>
    <row r="437" spans="1:7" x14ac:dyDescent="0.3">
      <c r="A437" s="80">
        <v>45690.802824074082</v>
      </c>
      <c r="B437" t="s">
        <v>677</v>
      </c>
      <c r="C437" t="s">
        <v>706</v>
      </c>
      <c r="D437" t="s">
        <v>707</v>
      </c>
      <c r="E437">
        <v>1</v>
      </c>
      <c r="F437">
        <v>29990</v>
      </c>
      <c r="G437">
        <v>5000</v>
      </c>
    </row>
    <row r="438" spans="1:7" x14ac:dyDescent="0.3">
      <c r="A438" s="80">
        <v>45690.810960648138</v>
      </c>
      <c r="B438" t="s">
        <v>677</v>
      </c>
      <c r="C438" t="s">
        <v>706</v>
      </c>
      <c r="D438" t="s">
        <v>707</v>
      </c>
      <c r="E438">
        <v>1</v>
      </c>
      <c r="F438">
        <v>29990</v>
      </c>
      <c r="G438">
        <v>5000</v>
      </c>
    </row>
    <row r="439" spans="1:7" x14ac:dyDescent="0.3">
      <c r="A439" s="80">
        <v>45690.873877314807</v>
      </c>
      <c r="B439" t="s">
        <v>722</v>
      </c>
      <c r="C439" t="s">
        <v>723</v>
      </c>
      <c r="D439" t="s">
        <v>724</v>
      </c>
      <c r="E439">
        <v>1</v>
      </c>
      <c r="F439">
        <v>21740</v>
      </c>
      <c r="G439">
        <v>8769</v>
      </c>
    </row>
    <row r="440" spans="1:7" x14ac:dyDescent="0.3">
      <c r="A440" s="80">
        <v>45690.887430555558</v>
      </c>
      <c r="B440" t="s">
        <v>677</v>
      </c>
      <c r="C440" t="s">
        <v>706</v>
      </c>
      <c r="D440" t="s">
        <v>707</v>
      </c>
      <c r="E440">
        <v>1</v>
      </c>
      <c r="F440">
        <v>32990</v>
      </c>
      <c r="G440">
        <v>5000</v>
      </c>
    </row>
    <row r="441" spans="1:7" x14ac:dyDescent="0.3">
      <c r="A441" s="80">
        <v>45690.981469907398</v>
      </c>
      <c r="B441" t="s">
        <v>677</v>
      </c>
      <c r="C441" t="s">
        <v>706</v>
      </c>
      <c r="D441" t="s">
        <v>707</v>
      </c>
      <c r="E441">
        <v>1</v>
      </c>
      <c r="F441">
        <v>29990</v>
      </c>
      <c r="G441">
        <v>5000</v>
      </c>
    </row>
    <row r="442" spans="1:7" x14ac:dyDescent="0.3">
      <c r="A442" s="80">
        <v>45691.386562500003</v>
      </c>
      <c r="B442" t="s">
        <v>719</v>
      </c>
      <c r="C442" t="s">
        <v>720</v>
      </c>
      <c r="D442" t="s">
        <v>721</v>
      </c>
      <c r="E442">
        <v>1</v>
      </c>
      <c r="F442">
        <v>29990</v>
      </c>
      <c r="G442">
        <v>5000</v>
      </c>
    </row>
    <row r="443" spans="1:7" x14ac:dyDescent="0.3">
      <c r="A443" s="80">
        <v>45691.503668981481</v>
      </c>
      <c r="B443" t="s">
        <v>722</v>
      </c>
      <c r="C443" t="s">
        <v>723</v>
      </c>
      <c r="D443" t="s">
        <v>724</v>
      </c>
      <c r="E443">
        <v>1</v>
      </c>
      <c r="F443">
        <v>21740</v>
      </c>
      <c r="G443">
        <v>8769</v>
      </c>
    </row>
    <row r="444" spans="1:7" x14ac:dyDescent="0.3">
      <c r="A444" s="80">
        <v>45691.807627314818</v>
      </c>
      <c r="B444" t="s">
        <v>722</v>
      </c>
      <c r="C444" t="s">
        <v>723</v>
      </c>
      <c r="D444" t="s">
        <v>724</v>
      </c>
      <c r="E444">
        <v>1</v>
      </c>
      <c r="F444">
        <v>21740</v>
      </c>
      <c r="G444">
        <v>8769</v>
      </c>
    </row>
    <row r="445" spans="1:7" x14ac:dyDescent="0.3">
      <c r="A445" s="80">
        <v>45691.807627314818</v>
      </c>
      <c r="B445" t="s">
        <v>677</v>
      </c>
      <c r="C445" t="s">
        <v>706</v>
      </c>
      <c r="D445" t="s">
        <v>707</v>
      </c>
      <c r="E445">
        <v>1</v>
      </c>
      <c r="F445">
        <v>29990</v>
      </c>
      <c r="G445">
        <v>5000</v>
      </c>
    </row>
    <row r="446" spans="1:7" x14ac:dyDescent="0.3">
      <c r="A446" s="80">
        <v>45691.933287037027</v>
      </c>
      <c r="B446" t="s">
        <v>677</v>
      </c>
      <c r="C446" t="s">
        <v>706</v>
      </c>
      <c r="D446" t="s">
        <v>707</v>
      </c>
      <c r="E446">
        <v>1</v>
      </c>
      <c r="F446">
        <v>29990</v>
      </c>
      <c r="G446">
        <v>5000</v>
      </c>
    </row>
    <row r="447" spans="1:7" x14ac:dyDescent="0.3">
      <c r="A447" s="80">
        <v>45691.968530092592</v>
      </c>
      <c r="B447" t="s">
        <v>722</v>
      </c>
      <c r="C447" t="s">
        <v>723</v>
      </c>
      <c r="D447" t="s">
        <v>724</v>
      </c>
      <c r="E447">
        <v>1</v>
      </c>
      <c r="F447">
        <v>21740</v>
      </c>
      <c r="G447">
        <v>8769</v>
      </c>
    </row>
    <row r="448" spans="1:7" x14ac:dyDescent="0.3">
      <c r="A448" s="80">
        <v>45692.03292824074</v>
      </c>
      <c r="B448" t="s">
        <v>677</v>
      </c>
      <c r="C448" t="s">
        <v>706</v>
      </c>
      <c r="D448" t="s">
        <v>707</v>
      </c>
      <c r="E448">
        <v>1</v>
      </c>
      <c r="F448">
        <v>29990</v>
      </c>
      <c r="G448">
        <v>5000</v>
      </c>
    </row>
    <row r="449" spans="1:7" x14ac:dyDescent="0.3">
      <c r="A449" s="80">
        <v>45692.350763888891</v>
      </c>
      <c r="B449" t="s">
        <v>677</v>
      </c>
      <c r="C449" t="s">
        <v>706</v>
      </c>
      <c r="D449" t="s">
        <v>707</v>
      </c>
      <c r="E449">
        <v>1</v>
      </c>
      <c r="F449">
        <v>29990</v>
      </c>
      <c r="G449">
        <v>5000</v>
      </c>
    </row>
    <row r="450" spans="1:7" x14ac:dyDescent="0.3">
      <c r="A450" s="80">
        <v>45692.379432870373</v>
      </c>
      <c r="B450" t="s">
        <v>677</v>
      </c>
      <c r="C450" t="s">
        <v>706</v>
      </c>
      <c r="D450" t="s">
        <v>707</v>
      </c>
      <c r="E450">
        <v>1</v>
      </c>
      <c r="F450">
        <v>29990</v>
      </c>
      <c r="G450">
        <v>5000</v>
      </c>
    </row>
    <row r="451" spans="1:7" x14ac:dyDescent="0.3">
      <c r="A451" s="80">
        <v>45692.425729166673</v>
      </c>
      <c r="B451" t="s">
        <v>677</v>
      </c>
      <c r="C451" t="s">
        <v>706</v>
      </c>
      <c r="D451" t="s">
        <v>707</v>
      </c>
      <c r="E451">
        <v>1</v>
      </c>
      <c r="F451">
        <v>26991</v>
      </c>
      <c r="G451">
        <v>5000</v>
      </c>
    </row>
    <row r="452" spans="1:7" x14ac:dyDescent="0.3">
      <c r="A452" s="80">
        <v>45692.510300925933</v>
      </c>
      <c r="B452" t="s">
        <v>677</v>
      </c>
      <c r="C452" t="s">
        <v>706</v>
      </c>
      <c r="D452" t="s">
        <v>707</v>
      </c>
      <c r="E452">
        <v>1</v>
      </c>
      <c r="F452">
        <v>29990</v>
      </c>
      <c r="G452">
        <v>5000</v>
      </c>
    </row>
    <row r="453" spans="1:7" x14ac:dyDescent="0.3">
      <c r="A453" s="80">
        <v>45692.553738425922</v>
      </c>
      <c r="B453" t="s">
        <v>722</v>
      </c>
      <c r="C453" t="s">
        <v>723</v>
      </c>
      <c r="D453" t="s">
        <v>724</v>
      </c>
      <c r="E453">
        <v>1</v>
      </c>
      <c r="F453">
        <v>21740</v>
      </c>
      <c r="G453">
        <v>8769</v>
      </c>
    </row>
    <row r="454" spans="1:7" x14ac:dyDescent="0.3">
      <c r="A454" s="80">
        <v>45692.732314814813</v>
      </c>
      <c r="B454" t="s">
        <v>722</v>
      </c>
      <c r="C454" t="s">
        <v>723</v>
      </c>
      <c r="D454" t="s">
        <v>724</v>
      </c>
      <c r="E454">
        <v>1</v>
      </c>
      <c r="F454">
        <v>21740</v>
      </c>
      <c r="G454">
        <v>8769</v>
      </c>
    </row>
    <row r="455" spans="1:7" x14ac:dyDescent="0.3">
      <c r="A455" s="80">
        <v>45692.766261574077</v>
      </c>
      <c r="B455" t="s">
        <v>722</v>
      </c>
      <c r="C455" t="s">
        <v>723</v>
      </c>
      <c r="D455" t="s">
        <v>724</v>
      </c>
      <c r="E455">
        <v>1</v>
      </c>
      <c r="F455">
        <v>21740</v>
      </c>
      <c r="G455">
        <v>8769</v>
      </c>
    </row>
    <row r="456" spans="1:7" x14ac:dyDescent="0.3">
      <c r="A456" s="80">
        <v>45693.319085648152</v>
      </c>
      <c r="B456" t="s">
        <v>722</v>
      </c>
      <c r="C456" t="s">
        <v>723</v>
      </c>
      <c r="D456" t="s">
        <v>724</v>
      </c>
      <c r="E456">
        <v>1</v>
      </c>
      <c r="F456">
        <v>21740</v>
      </c>
      <c r="G456">
        <v>8769</v>
      </c>
    </row>
    <row r="457" spans="1:7" x14ac:dyDescent="0.3">
      <c r="A457" s="80">
        <v>45693.355219907397</v>
      </c>
      <c r="B457" t="s">
        <v>677</v>
      </c>
      <c r="C457" t="s">
        <v>706</v>
      </c>
      <c r="D457" t="s">
        <v>707</v>
      </c>
      <c r="E457">
        <v>1</v>
      </c>
      <c r="F457">
        <v>29990</v>
      </c>
      <c r="G457">
        <v>5000</v>
      </c>
    </row>
    <row r="458" spans="1:7" x14ac:dyDescent="0.3">
      <c r="A458" s="80">
        <v>45693.401736111111</v>
      </c>
      <c r="B458" t="s">
        <v>677</v>
      </c>
      <c r="C458" t="s">
        <v>706</v>
      </c>
      <c r="D458" t="s">
        <v>707</v>
      </c>
      <c r="E458">
        <v>1</v>
      </c>
      <c r="F458">
        <v>29990</v>
      </c>
      <c r="G458">
        <v>5000</v>
      </c>
    </row>
    <row r="459" spans="1:7" x14ac:dyDescent="0.3">
      <c r="A459" s="80">
        <v>45693.482291666667</v>
      </c>
      <c r="B459" t="s">
        <v>677</v>
      </c>
      <c r="C459" t="s">
        <v>706</v>
      </c>
      <c r="D459" t="s">
        <v>707</v>
      </c>
      <c r="E459">
        <v>1</v>
      </c>
      <c r="F459">
        <v>29990</v>
      </c>
      <c r="G459">
        <v>5000</v>
      </c>
    </row>
    <row r="460" spans="1:7" x14ac:dyDescent="0.3">
      <c r="A460" s="80">
        <v>45693.529456018521</v>
      </c>
      <c r="B460" t="s">
        <v>677</v>
      </c>
      <c r="C460" t="s">
        <v>706</v>
      </c>
      <c r="D460" t="s">
        <v>707</v>
      </c>
      <c r="E460">
        <v>1</v>
      </c>
      <c r="F460">
        <v>29990</v>
      </c>
      <c r="G460">
        <v>5000</v>
      </c>
    </row>
    <row r="461" spans="1:7" x14ac:dyDescent="0.3">
      <c r="A461" s="80">
        <v>45693.547997685193</v>
      </c>
      <c r="B461" t="s">
        <v>722</v>
      </c>
      <c r="C461" t="s">
        <v>723</v>
      </c>
      <c r="D461" t="s">
        <v>724</v>
      </c>
      <c r="E461">
        <v>1</v>
      </c>
      <c r="F461">
        <v>21740</v>
      </c>
      <c r="G461">
        <v>8769</v>
      </c>
    </row>
    <row r="462" spans="1:7" x14ac:dyDescent="0.3">
      <c r="A462" s="80">
        <v>45693.785775462973</v>
      </c>
      <c r="B462" t="s">
        <v>722</v>
      </c>
      <c r="C462" t="s">
        <v>723</v>
      </c>
      <c r="D462" t="s">
        <v>724</v>
      </c>
      <c r="E462">
        <v>1</v>
      </c>
      <c r="F462">
        <v>21740</v>
      </c>
      <c r="G462">
        <v>8769</v>
      </c>
    </row>
    <row r="463" spans="1:7" x14ac:dyDescent="0.3">
      <c r="A463" s="80">
        <v>45693.846284722233</v>
      </c>
      <c r="B463" t="s">
        <v>722</v>
      </c>
      <c r="C463" t="s">
        <v>723</v>
      </c>
      <c r="D463" t="s">
        <v>724</v>
      </c>
      <c r="E463">
        <v>1</v>
      </c>
      <c r="F463">
        <v>21740</v>
      </c>
      <c r="G463">
        <v>8769</v>
      </c>
    </row>
    <row r="464" spans="1:7" x14ac:dyDescent="0.3">
      <c r="A464" s="80">
        <v>45693.917557870373</v>
      </c>
      <c r="B464" t="s">
        <v>677</v>
      </c>
      <c r="C464" t="s">
        <v>706</v>
      </c>
      <c r="D464" t="s">
        <v>707</v>
      </c>
      <c r="E464">
        <v>1</v>
      </c>
      <c r="F464">
        <v>29990</v>
      </c>
      <c r="G464">
        <v>5000</v>
      </c>
    </row>
    <row r="465" spans="1:7" x14ac:dyDescent="0.3">
      <c r="A465" s="80">
        <v>45693.921365740738</v>
      </c>
      <c r="B465" t="s">
        <v>677</v>
      </c>
      <c r="C465" t="s">
        <v>706</v>
      </c>
      <c r="D465" t="s">
        <v>707</v>
      </c>
      <c r="E465">
        <v>1</v>
      </c>
      <c r="F465">
        <v>29990</v>
      </c>
      <c r="G465">
        <v>5000</v>
      </c>
    </row>
    <row r="466" spans="1:7" x14ac:dyDescent="0.3">
      <c r="A466" s="80">
        <v>45693.96365740741</v>
      </c>
      <c r="B466" t="s">
        <v>677</v>
      </c>
      <c r="C466" t="s">
        <v>706</v>
      </c>
      <c r="D466" t="s">
        <v>707</v>
      </c>
      <c r="E466">
        <v>1</v>
      </c>
      <c r="F466">
        <v>29990</v>
      </c>
      <c r="G466">
        <v>5000</v>
      </c>
    </row>
    <row r="467" spans="1:7" x14ac:dyDescent="0.3">
      <c r="A467" s="80">
        <v>45694.052129629628</v>
      </c>
      <c r="B467" t="s">
        <v>677</v>
      </c>
      <c r="C467" t="s">
        <v>706</v>
      </c>
      <c r="D467" t="s">
        <v>707</v>
      </c>
      <c r="E467">
        <v>1</v>
      </c>
      <c r="F467">
        <v>29990</v>
      </c>
      <c r="G467">
        <v>5000</v>
      </c>
    </row>
    <row r="468" spans="1:7" x14ac:dyDescent="0.3">
      <c r="A468" s="80">
        <v>45694.421747685177</v>
      </c>
      <c r="B468" t="s">
        <v>722</v>
      </c>
      <c r="C468" t="s">
        <v>723</v>
      </c>
      <c r="D468" t="s">
        <v>724</v>
      </c>
      <c r="E468">
        <v>2</v>
      </c>
      <c r="F468">
        <v>43480</v>
      </c>
      <c r="G468">
        <v>17538</v>
      </c>
    </row>
    <row r="469" spans="1:7" x14ac:dyDescent="0.3">
      <c r="A469" s="80">
        <v>45694.421747685177</v>
      </c>
      <c r="B469" t="s">
        <v>677</v>
      </c>
      <c r="C469" t="s">
        <v>706</v>
      </c>
      <c r="D469" t="s">
        <v>707</v>
      </c>
      <c r="E469">
        <v>1</v>
      </c>
      <c r="F469">
        <v>29990</v>
      </c>
      <c r="G469">
        <v>5000</v>
      </c>
    </row>
    <row r="470" spans="1:7" x14ac:dyDescent="0.3">
      <c r="A470" s="80">
        <v>45694.421747685177</v>
      </c>
      <c r="B470" t="s">
        <v>719</v>
      </c>
      <c r="C470" t="s">
        <v>720</v>
      </c>
      <c r="D470" t="s">
        <v>721</v>
      </c>
      <c r="E470">
        <v>1</v>
      </c>
      <c r="F470">
        <v>29990</v>
      </c>
      <c r="G470">
        <v>5000</v>
      </c>
    </row>
    <row r="471" spans="1:7" x14ac:dyDescent="0.3">
      <c r="A471" s="80">
        <v>45694.426377314812</v>
      </c>
      <c r="B471" t="s">
        <v>677</v>
      </c>
      <c r="C471" t="s">
        <v>706</v>
      </c>
      <c r="D471" t="s">
        <v>707</v>
      </c>
      <c r="E471">
        <v>1</v>
      </c>
      <c r="F471">
        <v>29990</v>
      </c>
      <c r="G471">
        <v>5000</v>
      </c>
    </row>
    <row r="472" spans="1:7" x14ac:dyDescent="0.3">
      <c r="A472" s="80">
        <v>45694.577048611107</v>
      </c>
      <c r="B472" t="s">
        <v>703</v>
      </c>
      <c r="C472" t="s">
        <v>704</v>
      </c>
      <c r="D472" t="s">
        <v>705</v>
      </c>
      <c r="E472">
        <v>1</v>
      </c>
      <c r="F472">
        <v>9990</v>
      </c>
      <c r="G472">
        <v>500</v>
      </c>
    </row>
    <row r="473" spans="1:7" x14ac:dyDescent="0.3">
      <c r="A473" s="80">
        <v>45694.686030092591</v>
      </c>
      <c r="B473" t="s">
        <v>677</v>
      </c>
      <c r="C473" t="s">
        <v>706</v>
      </c>
      <c r="D473" t="s">
        <v>707</v>
      </c>
      <c r="E473">
        <v>1</v>
      </c>
      <c r="F473">
        <v>29990</v>
      </c>
      <c r="G473">
        <v>5000</v>
      </c>
    </row>
    <row r="474" spans="1:7" x14ac:dyDescent="0.3">
      <c r="A474" s="80">
        <v>45694.788252314807</v>
      </c>
      <c r="B474" t="s">
        <v>722</v>
      </c>
      <c r="C474" t="s">
        <v>723</v>
      </c>
      <c r="D474" t="s">
        <v>724</v>
      </c>
      <c r="E474">
        <v>1</v>
      </c>
      <c r="F474">
        <v>21740</v>
      </c>
      <c r="G474">
        <v>8769</v>
      </c>
    </row>
    <row r="475" spans="1:7" x14ac:dyDescent="0.3">
      <c r="A475" s="80">
        <v>45694.819826388892</v>
      </c>
      <c r="B475" t="s">
        <v>677</v>
      </c>
      <c r="C475" t="s">
        <v>706</v>
      </c>
      <c r="D475" t="s">
        <v>707</v>
      </c>
      <c r="E475">
        <v>1</v>
      </c>
      <c r="F475">
        <v>29990</v>
      </c>
      <c r="G475">
        <v>5000</v>
      </c>
    </row>
    <row r="476" spans="1:7" x14ac:dyDescent="0.3">
      <c r="A476" s="80">
        <v>45694.829189814824</v>
      </c>
      <c r="B476" t="s">
        <v>677</v>
      </c>
      <c r="C476" t="s">
        <v>706</v>
      </c>
      <c r="D476" t="s">
        <v>707</v>
      </c>
      <c r="E476">
        <v>1</v>
      </c>
      <c r="F476">
        <v>29990</v>
      </c>
      <c r="G476">
        <v>5000</v>
      </c>
    </row>
    <row r="477" spans="1:7" x14ac:dyDescent="0.3">
      <c r="A477" s="80">
        <v>45694.8434837963</v>
      </c>
      <c r="B477" t="s">
        <v>677</v>
      </c>
      <c r="C477" t="s">
        <v>706</v>
      </c>
      <c r="D477" t="s">
        <v>707</v>
      </c>
      <c r="E477">
        <v>1</v>
      </c>
      <c r="F477">
        <v>29990</v>
      </c>
      <c r="G477">
        <v>5000</v>
      </c>
    </row>
    <row r="478" spans="1:7" x14ac:dyDescent="0.3">
      <c r="A478" s="80">
        <v>45695.392245370371</v>
      </c>
      <c r="B478" t="s">
        <v>677</v>
      </c>
      <c r="C478" t="s">
        <v>706</v>
      </c>
      <c r="D478" t="s">
        <v>707</v>
      </c>
      <c r="E478">
        <v>1</v>
      </c>
      <c r="F478">
        <v>29990</v>
      </c>
      <c r="G478">
        <v>5000</v>
      </c>
    </row>
    <row r="479" spans="1:7" x14ac:dyDescent="0.3">
      <c r="A479" s="80">
        <v>45695.463171296287</v>
      </c>
      <c r="B479" t="s">
        <v>677</v>
      </c>
      <c r="C479" t="s">
        <v>706</v>
      </c>
      <c r="D479" t="s">
        <v>707</v>
      </c>
      <c r="E479">
        <v>1</v>
      </c>
      <c r="F479">
        <v>29990</v>
      </c>
      <c r="G479">
        <v>5000</v>
      </c>
    </row>
    <row r="480" spans="1:7" x14ac:dyDescent="0.3">
      <c r="A480" s="80">
        <v>45695.476527777777</v>
      </c>
      <c r="B480" t="s">
        <v>677</v>
      </c>
      <c r="C480" t="s">
        <v>706</v>
      </c>
      <c r="D480" t="s">
        <v>707</v>
      </c>
      <c r="E480">
        <v>1</v>
      </c>
      <c r="F480">
        <v>29990</v>
      </c>
      <c r="G480">
        <v>5000</v>
      </c>
    </row>
    <row r="481" spans="1:7" x14ac:dyDescent="0.3">
      <c r="A481" s="80">
        <v>45695.510231481479</v>
      </c>
      <c r="B481" t="s">
        <v>677</v>
      </c>
      <c r="C481" t="s">
        <v>706</v>
      </c>
      <c r="D481" t="s">
        <v>707</v>
      </c>
      <c r="E481">
        <v>1</v>
      </c>
      <c r="F481">
        <v>29990</v>
      </c>
      <c r="G481">
        <v>5000</v>
      </c>
    </row>
    <row r="482" spans="1:7" x14ac:dyDescent="0.3">
      <c r="A482" s="80">
        <v>45695.665543981479</v>
      </c>
      <c r="B482" t="s">
        <v>677</v>
      </c>
      <c r="C482" t="s">
        <v>706</v>
      </c>
      <c r="D482" t="s">
        <v>707</v>
      </c>
      <c r="E482">
        <v>1</v>
      </c>
      <c r="F482">
        <v>29990</v>
      </c>
      <c r="G482">
        <v>5000</v>
      </c>
    </row>
    <row r="483" spans="1:7" x14ac:dyDescent="0.3">
      <c r="A483" s="80">
        <v>45695.753067129634</v>
      </c>
      <c r="B483" t="s">
        <v>677</v>
      </c>
      <c r="C483" t="s">
        <v>706</v>
      </c>
      <c r="D483" t="s">
        <v>707</v>
      </c>
      <c r="E483">
        <v>1</v>
      </c>
      <c r="F483">
        <v>29990</v>
      </c>
      <c r="G483">
        <v>5000</v>
      </c>
    </row>
    <row r="484" spans="1:7" x14ac:dyDescent="0.3">
      <c r="A484" s="80">
        <v>45696.008900462963</v>
      </c>
      <c r="B484" t="s">
        <v>677</v>
      </c>
      <c r="C484" t="s">
        <v>706</v>
      </c>
      <c r="D484" t="s">
        <v>707</v>
      </c>
      <c r="E484">
        <v>1</v>
      </c>
      <c r="F484">
        <v>29990</v>
      </c>
      <c r="G484">
        <v>5000</v>
      </c>
    </row>
    <row r="485" spans="1:7" x14ac:dyDescent="0.3">
      <c r="A485" s="80">
        <v>45696.341122685182</v>
      </c>
      <c r="B485" t="s">
        <v>722</v>
      </c>
      <c r="C485" t="s">
        <v>723</v>
      </c>
      <c r="D485" t="s">
        <v>724</v>
      </c>
      <c r="E485">
        <v>1</v>
      </c>
      <c r="F485">
        <v>21740</v>
      </c>
      <c r="G485">
        <v>8769</v>
      </c>
    </row>
    <row r="486" spans="1:7" x14ac:dyDescent="0.3">
      <c r="A486" s="80">
        <v>45696.451388888891</v>
      </c>
      <c r="B486" t="s">
        <v>677</v>
      </c>
      <c r="C486" t="s">
        <v>706</v>
      </c>
      <c r="D486" t="s">
        <v>707</v>
      </c>
      <c r="E486">
        <v>1</v>
      </c>
      <c r="F486">
        <v>29990</v>
      </c>
      <c r="G486">
        <v>5000</v>
      </c>
    </row>
    <row r="487" spans="1:7" x14ac:dyDescent="0.3">
      <c r="A487" s="80">
        <v>45696.54996527778</v>
      </c>
      <c r="B487" t="s">
        <v>677</v>
      </c>
      <c r="C487" t="s">
        <v>706</v>
      </c>
      <c r="D487" t="s">
        <v>707</v>
      </c>
      <c r="E487">
        <v>1</v>
      </c>
      <c r="F487">
        <v>29990</v>
      </c>
      <c r="G487">
        <v>5000</v>
      </c>
    </row>
    <row r="488" spans="1:7" x14ac:dyDescent="0.3">
      <c r="A488" s="80">
        <v>45696.54996527778</v>
      </c>
      <c r="B488" t="s">
        <v>708</v>
      </c>
      <c r="C488" t="s">
        <v>709</v>
      </c>
      <c r="D488" t="s">
        <v>710</v>
      </c>
      <c r="E488">
        <v>1</v>
      </c>
      <c r="F488">
        <v>18990</v>
      </c>
      <c r="G488">
        <v>6400</v>
      </c>
    </row>
    <row r="489" spans="1:7" x14ac:dyDescent="0.3">
      <c r="A489" s="80">
        <v>45697.906481481477</v>
      </c>
      <c r="B489" t="s">
        <v>722</v>
      </c>
      <c r="C489" t="s">
        <v>723</v>
      </c>
      <c r="D489" t="s">
        <v>724</v>
      </c>
      <c r="E489">
        <v>1</v>
      </c>
      <c r="F489">
        <v>21740</v>
      </c>
      <c r="G489">
        <v>8769</v>
      </c>
    </row>
    <row r="490" spans="1:7" x14ac:dyDescent="0.3">
      <c r="A490" s="80">
        <v>45697.906481481477</v>
      </c>
      <c r="B490" t="s">
        <v>677</v>
      </c>
      <c r="C490" t="s">
        <v>706</v>
      </c>
      <c r="D490" t="s">
        <v>707</v>
      </c>
      <c r="E490">
        <v>1</v>
      </c>
      <c r="F490">
        <v>29990</v>
      </c>
      <c r="G490">
        <v>5000</v>
      </c>
    </row>
    <row r="491" spans="1:7" x14ac:dyDescent="0.3">
      <c r="A491" s="80">
        <v>45698.047835648147</v>
      </c>
      <c r="B491" t="s">
        <v>722</v>
      </c>
      <c r="C491" t="s">
        <v>723</v>
      </c>
      <c r="D491" t="s">
        <v>724</v>
      </c>
      <c r="E491">
        <v>1</v>
      </c>
      <c r="F491">
        <v>21740</v>
      </c>
      <c r="G491">
        <v>8769</v>
      </c>
    </row>
    <row r="492" spans="1:7" x14ac:dyDescent="0.3">
      <c r="A492" s="80">
        <v>45698.047835648147</v>
      </c>
      <c r="B492" t="s">
        <v>708</v>
      </c>
      <c r="C492" t="s">
        <v>709</v>
      </c>
      <c r="D492" t="s">
        <v>710</v>
      </c>
      <c r="E492">
        <v>1</v>
      </c>
      <c r="F492">
        <v>18990</v>
      </c>
      <c r="G492">
        <v>6400</v>
      </c>
    </row>
    <row r="493" spans="1:7" x14ac:dyDescent="0.3">
      <c r="A493" s="80">
        <v>45698.538148148153</v>
      </c>
      <c r="B493" t="s">
        <v>722</v>
      </c>
      <c r="C493" t="s">
        <v>723</v>
      </c>
      <c r="D493" t="s">
        <v>724</v>
      </c>
      <c r="E493">
        <v>1</v>
      </c>
      <c r="F493">
        <v>21740</v>
      </c>
      <c r="G493">
        <v>8769</v>
      </c>
    </row>
    <row r="494" spans="1:7" x14ac:dyDescent="0.3">
      <c r="A494" s="80">
        <v>45698.713692129633</v>
      </c>
      <c r="B494" t="s">
        <v>722</v>
      </c>
      <c r="C494" t="s">
        <v>723</v>
      </c>
      <c r="D494" t="s">
        <v>724</v>
      </c>
      <c r="E494">
        <v>1</v>
      </c>
      <c r="F494">
        <v>21740</v>
      </c>
      <c r="G494">
        <v>8769</v>
      </c>
    </row>
    <row r="495" spans="1:7" x14ac:dyDescent="0.3">
      <c r="A495" s="80">
        <v>45698.754803240743</v>
      </c>
      <c r="B495" t="s">
        <v>708</v>
      </c>
      <c r="C495" t="s">
        <v>709</v>
      </c>
      <c r="D495" t="s">
        <v>710</v>
      </c>
      <c r="E495">
        <v>1</v>
      </c>
      <c r="F495">
        <v>18990</v>
      </c>
      <c r="G495">
        <v>6400</v>
      </c>
    </row>
    <row r="496" spans="1:7" x14ac:dyDescent="0.3">
      <c r="A496" s="80">
        <v>45698.850532407407</v>
      </c>
      <c r="B496" t="s">
        <v>722</v>
      </c>
      <c r="C496" t="s">
        <v>723</v>
      </c>
      <c r="D496" t="s">
        <v>724</v>
      </c>
      <c r="E496">
        <v>1</v>
      </c>
      <c r="F496">
        <v>21740</v>
      </c>
      <c r="G496">
        <v>8769</v>
      </c>
    </row>
    <row r="497" spans="1:7" x14ac:dyDescent="0.3">
      <c r="A497" s="80">
        <v>45699.425763888888</v>
      </c>
      <c r="B497" t="s">
        <v>717</v>
      </c>
      <c r="C497" t="s">
        <v>704</v>
      </c>
      <c r="D497" t="s">
        <v>718</v>
      </c>
      <c r="E497">
        <v>1</v>
      </c>
      <c r="F497">
        <v>9990</v>
      </c>
      <c r="G497">
        <v>2630</v>
      </c>
    </row>
    <row r="498" spans="1:7" x14ac:dyDescent="0.3">
      <c r="A498" s="80">
        <v>45699.425763888888</v>
      </c>
      <c r="B498" t="s">
        <v>722</v>
      </c>
      <c r="C498" t="s">
        <v>723</v>
      </c>
      <c r="D498" t="s">
        <v>724</v>
      </c>
      <c r="E498">
        <v>1</v>
      </c>
      <c r="F498">
        <v>21740</v>
      </c>
      <c r="G498">
        <v>8769</v>
      </c>
    </row>
    <row r="499" spans="1:7" x14ac:dyDescent="0.3">
      <c r="A499" s="80">
        <v>45699.573819444442</v>
      </c>
      <c r="B499" t="s">
        <v>722</v>
      </c>
      <c r="C499" t="s">
        <v>723</v>
      </c>
      <c r="D499" t="s">
        <v>724</v>
      </c>
      <c r="E499">
        <v>1</v>
      </c>
      <c r="F499">
        <v>21740</v>
      </c>
      <c r="G499">
        <v>8769</v>
      </c>
    </row>
    <row r="500" spans="1:7" x14ac:dyDescent="0.3">
      <c r="A500" s="80">
        <v>45699.709027777782</v>
      </c>
      <c r="B500" t="s">
        <v>677</v>
      </c>
      <c r="C500" t="s">
        <v>706</v>
      </c>
      <c r="D500" t="s">
        <v>707</v>
      </c>
      <c r="E500">
        <v>1</v>
      </c>
      <c r="F500">
        <v>29990</v>
      </c>
      <c r="G500">
        <v>5000</v>
      </c>
    </row>
    <row r="501" spans="1:7" x14ac:dyDescent="0.3">
      <c r="A501" s="80">
        <v>45701.423078703701</v>
      </c>
      <c r="B501" t="s">
        <v>722</v>
      </c>
      <c r="C501" t="s">
        <v>723</v>
      </c>
      <c r="D501" t="s">
        <v>724</v>
      </c>
      <c r="E501">
        <v>1</v>
      </c>
      <c r="F501">
        <v>21740</v>
      </c>
      <c r="G501">
        <v>8769</v>
      </c>
    </row>
    <row r="502" spans="1:7" x14ac:dyDescent="0.3">
      <c r="A502" s="80">
        <v>45701.675486111111</v>
      </c>
      <c r="B502" t="s">
        <v>722</v>
      </c>
      <c r="C502" t="s">
        <v>723</v>
      </c>
      <c r="D502" t="s">
        <v>724</v>
      </c>
      <c r="E502">
        <v>1</v>
      </c>
      <c r="F502">
        <v>21740</v>
      </c>
      <c r="G502">
        <v>8769</v>
      </c>
    </row>
    <row r="503" spans="1:7" x14ac:dyDescent="0.3">
      <c r="A503" s="80">
        <v>45701.676122685189</v>
      </c>
      <c r="B503" t="s">
        <v>722</v>
      </c>
      <c r="C503" t="s">
        <v>723</v>
      </c>
      <c r="D503" t="s">
        <v>724</v>
      </c>
      <c r="E503">
        <v>1</v>
      </c>
      <c r="F503">
        <v>21740</v>
      </c>
      <c r="G503">
        <v>8769</v>
      </c>
    </row>
    <row r="504" spans="1:7" x14ac:dyDescent="0.3">
      <c r="A504" s="80">
        <v>45702.396516203713</v>
      </c>
      <c r="B504" t="s">
        <v>722</v>
      </c>
      <c r="C504" t="s">
        <v>723</v>
      </c>
      <c r="D504" t="s">
        <v>724</v>
      </c>
      <c r="E504">
        <v>1</v>
      </c>
      <c r="F504">
        <v>24990</v>
      </c>
      <c r="G504">
        <v>8769</v>
      </c>
    </row>
    <row r="505" spans="1:7" x14ac:dyDescent="0.3">
      <c r="A505" s="80">
        <v>45702.539583333331</v>
      </c>
      <c r="B505" t="s">
        <v>719</v>
      </c>
      <c r="C505" t="s">
        <v>720</v>
      </c>
      <c r="D505" t="s">
        <v>721</v>
      </c>
      <c r="E505">
        <v>1</v>
      </c>
      <c r="F505">
        <v>29990</v>
      </c>
      <c r="G505">
        <v>5000</v>
      </c>
    </row>
    <row r="506" spans="1:7" x14ac:dyDescent="0.3">
      <c r="A506" s="80">
        <v>45703.371898148151</v>
      </c>
      <c r="B506" t="s">
        <v>677</v>
      </c>
      <c r="C506" t="s">
        <v>706</v>
      </c>
      <c r="D506" t="s">
        <v>707</v>
      </c>
      <c r="E506">
        <v>1</v>
      </c>
      <c r="F506">
        <v>29990</v>
      </c>
      <c r="G506">
        <v>5000</v>
      </c>
    </row>
    <row r="507" spans="1:7" x14ac:dyDescent="0.3">
      <c r="A507" s="80">
        <v>45703.504120370373</v>
      </c>
      <c r="B507" t="s">
        <v>677</v>
      </c>
      <c r="C507" t="s">
        <v>706</v>
      </c>
      <c r="D507" t="s">
        <v>707</v>
      </c>
      <c r="E507">
        <v>1</v>
      </c>
      <c r="F507">
        <v>29990</v>
      </c>
      <c r="G507">
        <v>5000</v>
      </c>
    </row>
    <row r="508" spans="1:7" x14ac:dyDescent="0.3">
      <c r="A508" s="80">
        <v>45703.747511574067</v>
      </c>
      <c r="B508" t="s">
        <v>677</v>
      </c>
      <c r="C508" t="s">
        <v>706</v>
      </c>
      <c r="D508" t="s">
        <v>707</v>
      </c>
      <c r="E508">
        <v>1</v>
      </c>
      <c r="F508">
        <v>29990</v>
      </c>
      <c r="G508">
        <v>5000</v>
      </c>
    </row>
    <row r="509" spans="1:7" x14ac:dyDescent="0.3">
      <c r="A509" s="80">
        <v>45703.992592592593</v>
      </c>
      <c r="B509" t="s">
        <v>722</v>
      </c>
      <c r="C509" t="s">
        <v>723</v>
      </c>
      <c r="D509" t="s">
        <v>724</v>
      </c>
      <c r="E509">
        <v>1</v>
      </c>
      <c r="F509">
        <v>21990</v>
      </c>
      <c r="G509">
        <v>8769</v>
      </c>
    </row>
    <row r="510" spans="1:7" x14ac:dyDescent="0.3">
      <c r="A510" s="80">
        <v>45704.002511574072</v>
      </c>
      <c r="B510" t="s">
        <v>677</v>
      </c>
      <c r="C510" t="s">
        <v>706</v>
      </c>
      <c r="D510" t="s">
        <v>707</v>
      </c>
      <c r="E510">
        <v>1</v>
      </c>
      <c r="F510">
        <v>29990</v>
      </c>
      <c r="G510">
        <v>5000</v>
      </c>
    </row>
    <row r="511" spans="1:7" x14ac:dyDescent="0.3">
      <c r="A511" s="80">
        <v>45704.492280092592</v>
      </c>
      <c r="B511" t="s">
        <v>722</v>
      </c>
      <c r="C511" t="s">
        <v>723</v>
      </c>
      <c r="D511" t="s">
        <v>724</v>
      </c>
      <c r="E511">
        <v>1</v>
      </c>
      <c r="F511">
        <v>24990</v>
      </c>
      <c r="G511">
        <v>8769</v>
      </c>
    </row>
    <row r="512" spans="1:7" x14ac:dyDescent="0.3">
      <c r="A512" s="80">
        <v>45704.690451388888</v>
      </c>
      <c r="B512" t="s">
        <v>722</v>
      </c>
      <c r="C512" t="s">
        <v>723</v>
      </c>
      <c r="D512" t="s">
        <v>724</v>
      </c>
      <c r="E512">
        <v>1</v>
      </c>
      <c r="F512">
        <v>21990</v>
      </c>
      <c r="G512">
        <v>8769</v>
      </c>
    </row>
    <row r="513" spans="1:7" x14ac:dyDescent="0.3">
      <c r="A513" s="80">
        <v>45705.036064814813</v>
      </c>
      <c r="B513" t="s">
        <v>722</v>
      </c>
      <c r="C513" t="s">
        <v>723</v>
      </c>
      <c r="D513" t="s">
        <v>724</v>
      </c>
      <c r="E513">
        <v>1</v>
      </c>
      <c r="F513">
        <v>21990</v>
      </c>
      <c r="G513">
        <v>8769</v>
      </c>
    </row>
    <row r="514" spans="1:7" x14ac:dyDescent="0.3">
      <c r="A514" s="80">
        <v>45705.445486111108</v>
      </c>
      <c r="B514" t="s">
        <v>719</v>
      </c>
      <c r="C514" t="s">
        <v>720</v>
      </c>
      <c r="D514" t="s">
        <v>721</v>
      </c>
      <c r="E514">
        <v>1</v>
      </c>
      <c r="F514">
        <v>29990</v>
      </c>
      <c r="G514">
        <v>5000</v>
      </c>
    </row>
    <row r="515" spans="1:7" x14ac:dyDescent="0.3">
      <c r="A515" s="80">
        <v>45705.649687500001</v>
      </c>
      <c r="B515" t="s">
        <v>722</v>
      </c>
      <c r="C515" t="s">
        <v>723</v>
      </c>
      <c r="D515" t="s">
        <v>724</v>
      </c>
      <c r="E515">
        <v>1</v>
      </c>
      <c r="F515">
        <v>21990</v>
      </c>
      <c r="G515">
        <v>8769</v>
      </c>
    </row>
    <row r="516" spans="1:7" x14ac:dyDescent="0.3">
      <c r="A516" s="80">
        <v>45707.44189814815</v>
      </c>
      <c r="B516" t="s">
        <v>722</v>
      </c>
      <c r="C516" t="s">
        <v>723</v>
      </c>
      <c r="D516" t="s">
        <v>724</v>
      </c>
      <c r="E516">
        <v>1</v>
      </c>
      <c r="F516">
        <v>21990</v>
      </c>
      <c r="G516">
        <v>8769</v>
      </c>
    </row>
    <row r="517" spans="1:7" x14ac:dyDescent="0.3">
      <c r="A517" s="80">
        <v>45708.442453703698</v>
      </c>
      <c r="B517" t="s">
        <v>722</v>
      </c>
      <c r="C517" t="s">
        <v>723</v>
      </c>
      <c r="D517" t="s">
        <v>724</v>
      </c>
      <c r="E517">
        <v>1</v>
      </c>
      <c r="F517">
        <v>24990</v>
      </c>
      <c r="G517">
        <v>8769</v>
      </c>
    </row>
    <row r="518" spans="1:7" x14ac:dyDescent="0.3">
      <c r="A518" s="80">
        <v>45708.442453703698</v>
      </c>
      <c r="B518" t="s">
        <v>719</v>
      </c>
      <c r="C518" t="s">
        <v>720</v>
      </c>
      <c r="D518" t="s">
        <v>721</v>
      </c>
      <c r="E518">
        <v>1</v>
      </c>
      <c r="F518">
        <v>29990</v>
      </c>
      <c r="G518">
        <v>5000</v>
      </c>
    </row>
    <row r="519" spans="1:7" x14ac:dyDescent="0.3">
      <c r="A519" s="80">
        <v>45708.551215277781</v>
      </c>
      <c r="B519" t="s">
        <v>677</v>
      </c>
      <c r="C519" t="s">
        <v>706</v>
      </c>
      <c r="D519" t="s">
        <v>707</v>
      </c>
      <c r="E519">
        <v>1</v>
      </c>
      <c r="F519">
        <v>29990</v>
      </c>
      <c r="G519">
        <v>5000</v>
      </c>
    </row>
    <row r="520" spans="1:7" x14ac:dyDescent="0.3">
      <c r="A520" s="80">
        <v>45708.752638888887</v>
      </c>
      <c r="B520" t="s">
        <v>722</v>
      </c>
      <c r="C520" t="s">
        <v>723</v>
      </c>
      <c r="D520" t="s">
        <v>724</v>
      </c>
      <c r="E520">
        <v>1</v>
      </c>
      <c r="F520">
        <v>21990</v>
      </c>
      <c r="G520">
        <v>8769</v>
      </c>
    </row>
    <row r="521" spans="1:7" x14ac:dyDescent="0.3">
      <c r="A521" s="80">
        <v>45708.783159722218</v>
      </c>
      <c r="B521" t="s">
        <v>677</v>
      </c>
      <c r="C521" t="s">
        <v>706</v>
      </c>
      <c r="D521" t="s">
        <v>707</v>
      </c>
      <c r="E521">
        <v>1</v>
      </c>
      <c r="F521">
        <v>29990</v>
      </c>
      <c r="G521">
        <v>5000</v>
      </c>
    </row>
    <row r="522" spans="1:7" x14ac:dyDescent="0.3">
      <c r="A522" s="80">
        <v>45708.808310185188</v>
      </c>
      <c r="B522" t="s">
        <v>677</v>
      </c>
      <c r="C522" t="s">
        <v>706</v>
      </c>
      <c r="D522" t="s">
        <v>707</v>
      </c>
      <c r="E522">
        <v>1</v>
      </c>
      <c r="F522">
        <v>29990</v>
      </c>
      <c r="G522">
        <v>5000</v>
      </c>
    </row>
    <row r="523" spans="1:7" x14ac:dyDescent="0.3">
      <c r="A523" s="80">
        <v>45708.843333333331</v>
      </c>
      <c r="B523" t="s">
        <v>677</v>
      </c>
      <c r="C523" t="s">
        <v>706</v>
      </c>
      <c r="D523" t="s">
        <v>707</v>
      </c>
      <c r="E523">
        <v>1</v>
      </c>
      <c r="F523">
        <v>29990</v>
      </c>
      <c r="G523">
        <v>5000</v>
      </c>
    </row>
    <row r="524" spans="1:7" x14ac:dyDescent="0.3">
      <c r="A524" s="80">
        <v>45709.005173611113</v>
      </c>
      <c r="B524" t="s">
        <v>677</v>
      </c>
      <c r="C524" t="s">
        <v>706</v>
      </c>
      <c r="D524" t="s">
        <v>707</v>
      </c>
      <c r="E524">
        <v>1</v>
      </c>
      <c r="F524">
        <v>29990</v>
      </c>
      <c r="G524">
        <v>5000</v>
      </c>
    </row>
    <row r="525" spans="1:7" x14ac:dyDescent="0.3">
      <c r="A525" s="80">
        <v>45709.064259259263</v>
      </c>
      <c r="B525" t="s">
        <v>677</v>
      </c>
      <c r="C525" t="s">
        <v>706</v>
      </c>
      <c r="D525" t="s">
        <v>707</v>
      </c>
      <c r="E525">
        <v>1</v>
      </c>
      <c r="F525">
        <v>29990</v>
      </c>
      <c r="G525">
        <v>5000</v>
      </c>
    </row>
    <row r="526" spans="1:7" x14ac:dyDescent="0.3">
      <c r="A526" s="80">
        <v>45709.345856481479</v>
      </c>
      <c r="B526" t="s">
        <v>677</v>
      </c>
      <c r="C526" t="s">
        <v>706</v>
      </c>
      <c r="D526" t="s">
        <v>707</v>
      </c>
      <c r="E526">
        <v>1</v>
      </c>
      <c r="F526">
        <v>29990</v>
      </c>
      <c r="G526">
        <v>5000</v>
      </c>
    </row>
    <row r="527" spans="1:7" x14ac:dyDescent="0.3">
      <c r="A527" s="80">
        <v>45709.457881944443</v>
      </c>
      <c r="B527" t="s">
        <v>719</v>
      </c>
      <c r="C527" t="s">
        <v>720</v>
      </c>
      <c r="D527" t="s">
        <v>721</v>
      </c>
      <c r="E527">
        <v>1</v>
      </c>
      <c r="F527">
        <v>29990</v>
      </c>
      <c r="G527">
        <v>5000</v>
      </c>
    </row>
    <row r="528" spans="1:7" x14ac:dyDescent="0.3">
      <c r="A528" s="80">
        <v>45709.457881944443</v>
      </c>
      <c r="B528" t="s">
        <v>677</v>
      </c>
      <c r="C528" t="s">
        <v>706</v>
      </c>
      <c r="D528" t="s">
        <v>707</v>
      </c>
      <c r="E528">
        <v>1</v>
      </c>
      <c r="F528">
        <v>29990</v>
      </c>
      <c r="G528">
        <v>5000</v>
      </c>
    </row>
    <row r="529" spans="1:7" x14ac:dyDescent="0.3">
      <c r="A529" s="80">
        <v>45709.579016203701</v>
      </c>
      <c r="B529" t="s">
        <v>677</v>
      </c>
      <c r="C529" t="s">
        <v>706</v>
      </c>
      <c r="D529" t="s">
        <v>707</v>
      </c>
      <c r="E529">
        <v>1</v>
      </c>
      <c r="F529">
        <v>29990</v>
      </c>
      <c r="G529">
        <v>5000</v>
      </c>
    </row>
    <row r="530" spans="1:7" x14ac:dyDescent="0.3">
      <c r="A530" s="80">
        <v>45709.590601851851</v>
      </c>
      <c r="B530" t="s">
        <v>677</v>
      </c>
      <c r="C530" t="s">
        <v>706</v>
      </c>
      <c r="D530" t="s">
        <v>707</v>
      </c>
      <c r="E530">
        <v>1</v>
      </c>
      <c r="F530">
        <v>29990</v>
      </c>
      <c r="G530">
        <v>5000</v>
      </c>
    </row>
    <row r="531" spans="1:7" x14ac:dyDescent="0.3">
      <c r="A531" s="80">
        <v>45709.686331018522</v>
      </c>
      <c r="B531" t="s">
        <v>677</v>
      </c>
      <c r="C531" t="s">
        <v>706</v>
      </c>
      <c r="D531" t="s">
        <v>707</v>
      </c>
      <c r="E531">
        <v>1</v>
      </c>
      <c r="F531">
        <v>29990</v>
      </c>
      <c r="G531">
        <v>5000</v>
      </c>
    </row>
    <row r="532" spans="1:7" x14ac:dyDescent="0.3">
      <c r="A532" s="80">
        <v>45709.691724537042</v>
      </c>
      <c r="B532" t="s">
        <v>677</v>
      </c>
      <c r="C532" t="s">
        <v>706</v>
      </c>
      <c r="D532" t="s">
        <v>707</v>
      </c>
      <c r="E532">
        <v>1</v>
      </c>
      <c r="F532">
        <v>29990</v>
      </c>
      <c r="G532">
        <v>5000</v>
      </c>
    </row>
    <row r="533" spans="1:7" x14ac:dyDescent="0.3">
      <c r="A533" s="80">
        <v>45709.755937499998</v>
      </c>
      <c r="B533" t="s">
        <v>711</v>
      </c>
      <c r="C533" t="s">
        <v>712</v>
      </c>
      <c r="D533" t="s">
        <v>713</v>
      </c>
      <c r="E533">
        <v>1</v>
      </c>
      <c r="F533">
        <v>9990</v>
      </c>
      <c r="G533">
        <v>3000</v>
      </c>
    </row>
    <row r="534" spans="1:7" x14ac:dyDescent="0.3">
      <c r="A534" s="80">
        <v>45709.755937499998</v>
      </c>
      <c r="B534" t="s">
        <v>719</v>
      </c>
      <c r="C534" t="s">
        <v>720</v>
      </c>
      <c r="D534" t="s">
        <v>721</v>
      </c>
      <c r="E534">
        <v>1</v>
      </c>
      <c r="F534">
        <v>29990</v>
      </c>
      <c r="G534">
        <v>5000</v>
      </c>
    </row>
    <row r="535" spans="1:7" x14ac:dyDescent="0.3">
      <c r="A535" s="80">
        <v>45709.993773148148</v>
      </c>
      <c r="B535" t="s">
        <v>677</v>
      </c>
      <c r="C535" t="s">
        <v>706</v>
      </c>
      <c r="D535" t="s">
        <v>707</v>
      </c>
      <c r="E535">
        <v>1</v>
      </c>
      <c r="F535">
        <v>29990</v>
      </c>
      <c r="G535">
        <v>5000</v>
      </c>
    </row>
    <row r="536" spans="1:7" x14ac:dyDescent="0.3">
      <c r="A536" s="80">
        <v>45710.05914351852</v>
      </c>
      <c r="B536" t="s">
        <v>677</v>
      </c>
      <c r="C536" t="s">
        <v>706</v>
      </c>
      <c r="D536" t="s">
        <v>707</v>
      </c>
      <c r="E536">
        <v>1</v>
      </c>
      <c r="F536">
        <v>29990</v>
      </c>
      <c r="G536">
        <v>5000</v>
      </c>
    </row>
    <row r="537" spans="1:7" x14ac:dyDescent="0.3">
      <c r="A537" s="80">
        <v>45710.321840277778</v>
      </c>
      <c r="B537" t="s">
        <v>677</v>
      </c>
      <c r="C537" t="s">
        <v>706</v>
      </c>
      <c r="D537" t="s">
        <v>707</v>
      </c>
      <c r="E537">
        <v>1</v>
      </c>
      <c r="F537">
        <v>26991</v>
      </c>
      <c r="G537">
        <v>5000</v>
      </c>
    </row>
    <row r="538" spans="1:7" x14ac:dyDescent="0.3">
      <c r="A538" s="80">
        <v>45710.40625</v>
      </c>
      <c r="B538" t="s">
        <v>682</v>
      </c>
      <c r="C538" t="s">
        <v>701</v>
      </c>
      <c r="D538" t="s">
        <v>702</v>
      </c>
      <c r="E538">
        <v>1</v>
      </c>
      <c r="F538">
        <v>29990</v>
      </c>
      <c r="G538">
        <v>4500</v>
      </c>
    </row>
    <row r="539" spans="1:7" x14ac:dyDescent="0.3">
      <c r="A539" s="80">
        <v>45710.431921296287</v>
      </c>
      <c r="B539" t="s">
        <v>677</v>
      </c>
      <c r="C539" t="s">
        <v>706</v>
      </c>
      <c r="D539" t="s">
        <v>707</v>
      </c>
      <c r="E539">
        <v>1</v>
      </c>
      <c r="F539">
        <v>29990</v>
      </c>
      <c r="G539">
        <v>5000</v>
      </c>
    </row>
    <row r="540" spans="1:7" x14ac:dyDescent="0.3">
      <c r="A540" s="80">
        <v>45710.574756944443</v>
      </c>
      <c r="B540" t="s">
        <v>677</v>
      </c>
      <c r="C540" t="s">
        <v>706</v>
      </c>
      <c r="D540" t="s">
        <v>707</v>
      </c>
      <c r="E540">
        <v>1</v>
      </c>
      <c r="F540">
        <v>29990</v>
      </c>
      <c r="G540">
        <v>5000</v>
      </c>
    </row>
    <row r="541" spans="1:7" x14ac:dyDescent="0.3">
      <c r="A541" s="80">
        <v>45710.581076388888</v>
      </c>
      <c r="B541" t="s">
        <v>677</v>
      </c>
      <c r="C541" t="s">
        <v>706</v>
      </c>
      <c r="D541" t="s">
        <v>707</v>
      </c>
      <c r="E541">
        <v>1</v>
      </c>
      <c r="F541">
        <v>29990</v>
      </c>
      <c r="G541">
        <v>5000</v>
      </c>
    </row>
    <row r="542" spans="1:7" x14ac:dyDescent="0.3">
      <c r="A542" s="80">
        <v>45710.638090277767</v>
      </c>
      <c r="B542" t="s">
        <v>677</v>
      </c>
      <c r="C542" t="s">
        <v>706</v>
      </c>
      <c r="D542" t="s">
        <v>707</v>
      </c>
      <c r="E542">
        <v>1</v>
      </c>
      <c r="F542">
        <v>29990</v>
      </c>
      <c r="G542">
        <v>5000</v>
      </c>
    </row>
    <row r="543" spans="1:7" x14ac:dyDescent="0.3">
      <c r="A543" s="80">
        <v>45710.859988425917</v>
      </c>
      <c r="B543" t="s">
        <v>677</v>
      </c>
      <c r="C543" t="s">
        <v>706</v>
      </c>
      <c r="D543" t="s">
        <v>707</v>
      </c>
      <c r="E543">
        <v>1</v>
      </c>
      <c r="F543">
        <v>29990</v>
      </c>
      <c r="G543">
        <v>5000</v>
      </c>
    </row>
    <row r="544" spans="1:7" x14ac:dyDescent="0.3">
      <c r="A544" s="80">
        <v>45710.899513888893</v>
      </c>
      <c r="B544" t="s">
        <v>677</v>
      </c>
      <c r="C544" t="s">
        <v>706</v>
      </c>
      <c r="D544" t="s">
        <v>707</v>
      </c>
      <c r="E544">
        <v>1</v>
      </c>
      <c r="F544">
        <v>29990</v>
      </c>
      <c r="G544">
        <v>5000</v>
      </c>
    </row>
    <row r="545" spans="1:7" x14ac:dyDescent="0.3">
      <c r="A545" s="80">
        <v>45710.947847222233</v>
      </c>
      <c r="B545" t="s">
        <v>677</v>
      </c>
      <c r="C545" t="s">
        <v>706</v>
      </c>
      <c r="D545" t="s">
        <v>707</v>
      </c>
      <c r="E545">
        <v>1</v>
      </c>
      <c r="F545">
        <v>29990</v>
      </c>
      <c r="G545">
        <v>5000</v>
      </c>
    </row>
    <row r="546" spans="1:7" x14ac:dyDescent="0.3">
      <c r="A546" s="80">
        <v>45711.499479166669</v>
      </c>
      <c r="B546" t="s">
        <v>677</v>
      </c>
      <c r="C546" t="s">
        <v>706</v>
      </c>
      <c r="D546" t="s">
        <v>707</v>
      </c>
      <c r="E546">
        <v>1</v>
      </c>
      <c r="F546">
        <v>29990</v>
      </c>
      <c r="G546">
        <v>5000</v>
      </c>
    </row>
    <row r="547" spans="1:7" x14ac:dyDescent="0.3">
      <c r="A547" s="80">
        <v>45711.68172453704</v>
      </c>
      <c r="B547" t="s">
        <v>677</v>
      </c>
      <c r="C547" t="s">
        <v>706</v>
      </c>
      <c r="D547" t="s">
        <v>707</v>
      </c>
      <c r="E547">
        <v>1</v>
      </c>
      <c r="F547">
        <v>29990</v>
      </c>
      <c r="G547">
        <v>5000</v>
      </c>
    </row>
    <row r="548" spans="1:7" x14ac:dyDescent="0.3">
      <c r="A548" s="80">
        <v>45712.470231481479</v>
      </c>
      <c r="B548" t="s">
        <v>677</v>
      </c>
      <c r="C548" t="s">
        <v>706</v>
      </c>
      <c r="D548" t="s">
        <v>707</v>
      </c>
      <c r="E548">
        <v>1</v>
      </c>
      <c r="F548">
        <v>29990</v>
      </c>
      <c r="G548">
        <v>5000</v>
      </c>
    </row>
    <row r="549" spans="1:7" x14ac:dyDescent="0.3">
      <c r="A549" s="80">
        <v>45712.548888888887</v>
      </c>
      <c r="B549" t="s">
        <v>722</v>
      </c>
      <c r="C549" t="s">
        <v>723</v>
      </c>
      <c r="D549" t="s">
        <v>724</v>
      </c>
      <c r="E549">
        <v>1</v>
      </c>
      <c r="F549">
        <v>21990</v>
      </c>
      <c r="G549">
        <v>8769</v>
      </c>
    </row>
    <row r="550" spans="1:7" x14ac:dyDescent="0.3">
      <c r="A550" s="80">
        <v>45712.622743055559</v>
      </c>
      <c r="B550" t="s">
        <v>677</v>
      </c>
      <c r="C550" t="s">
        <v>706</v>
      </c>
      <c r="D550" t="s">
        <v>707</v>
      </c>
      <c r="E550">
        <v>1</v>
      </c>
      <c r="F550">
        <v>26991</v>
      </c>
      <c r="G550">
        <v>5000</v>
      </c>
    </row>
    <row r="551" spans="1:7" x14ac:dyDescent="0.3">
      <c r="A551" s="80">
        <v>45712.634641203702</v>
      </c>
      <c r="B551" t="s">
        <v>677</v>
      </c>
      <c r="C551" t="s">
        <v>706</v>
      </c>
      <c r="D551" t="s">
        <v>707</v>
      </c>
      <c r="E551">
        <v>1</v>
      </c>
      <c r="F551">
        <v>29990</v>
      </c>
      <c r="G551">
        <v>5000</v>
      </c>
    </row>
    <row r="552" spans="1:7" x14ac:dyDescent="0.3">
      <c r="A552" s="80">
        <v>45712.82949074074</v>
      </c>
      <c r="B552" t="s">
        <v>677</v>
      </c>
      <c r="C552" t="s">
        <v>706</v>
      </c>
      <c r="D552" t="s">
        <v>707</v>
      </c>
      <c r="E552">
        <v>1</v>
      </c>
      <c r="F552">
        <v>29990</v>
      </c>
      <c r="G552">
        <v>5000</v>
      </c>
    </row>
    <row r="553" spans="1:7" x14ac:dyDescent="0.3">
      <c r="A553" s="80">
        <v>45713.053298611107</v>
      </c>
      <c r="B553" t="s">
        <v>677</v>
      </c>
      <c r="C553" t="s">
        <v>706</v>
      </c>
      <c r="D553" t="s">
        <v>707</v>
      </c>
      <c r="E553">
        <v>1</v>
      </c>
      <c r="F553">
        <v>29990</v>
      </c>
      <c r="G553">
        <v>5000</v>
      </c>
    </row>
    <row r="554" spans="1:7" x14ac:dyDescent="0.3">
      <c r="A554" s="80">
        <v>45713.526817129627</v>
      </c>
      <c r="B554" t="s">
        <v>677</v>
      </c>
      <c r="C554" t="s">
        <v>706</v>
      </c>
      <c r="D554" t="s">
        <v>707</v>
      </c>
      <c r="E554">
        <v>1</v>
      </c>
      <c r="F554">
        <v>29990</v>
      </c>
      <c r="G554">
        <v>5000</v>
      </c>
    </row>
    <row r="555" spans="1:7" x14ac:dyDescent="0.3">
      <c r="A555" s="80">
        <v>45713.727754629632</v>
      </c>
      <c r="B555" t="s">
        <v>677</v>
      </c>
      <c r="C555" t="s">
        <v>706</v>
      </c>
      <c r="D555" t="s">
        <v>707</v>
      </c>
      <c r="E555">
        <v>1</v>
      </c>
      <c r="F555">
        <v>29990</v>
      </c>
      <c r="G555">
        <v>5000</v>
      </c>
    </row>
    <row r="556" spans="1:7" x14ac:dyDescent="0.3">
      <c r="A556" s="80">
        <v>45713.949826388889</v>
      </c>
      <c r="B556" t="s">
        <v>677</v>
      </c>
      <c r="C556" t="s">
        <v>706</v>
      </c>
      <c r="D556" t="s">
        <v>707</v>
      </c>
      <c r="E556">
        <v>1</v>
      </c>
      <c r="F556">
        <v>29990</v>
      </c>
      <c r="G556">
        <v>5000</v>
      </c>
    </row>
    <row r="557" spans="1:7" x14ac:dyDescent="0.3">
      <c r="A557" s="80">
        <v>45714.001134259262</v>
      </c>
      <c r="B557" t="s">
        <v>677</v>
      </c>
      <c r="C557" t="s">
        <v>706</v>
      </c>
      <c r="D557" t="s">
        <v>707</v>
      </c>
      <c r="E557">
        <v>1</v>
      </c>
      <c r="F557">
        <v>29990</v>
      </c>
      <c r="G557">
        <v>5000</v>
      </c>
    </row>
    <row r="558" spans="1:7" x14ac:dyDescent="0.3">
      <c r="A558" s="80">
        <v>45714.464085648149</v>
      </c>
      <c r="B558" t="s">
        <v>677</v>
      </c>
      <c r="C558" t="s">
        <v>706</v>
      </c>
      <c r="D558" t="s">
        <v>707</v>
      </c>
      <c r="E558">
        <v>1</v>
      </c>
      <c r="F558">
        <v>29990</v>
      </c>
      <c r="G558">
        <v>5000</v>
      </c>
    </row>
    <row r="559" spans="1:7" x14ac:dyDescent="0.3">
      <c r="A559" s="80">
        <v>45714.474999999999</v>
      </c>
      <c r="B559" t="s">
        <v>703</v>
      </c>
      <c r="C559" t="s">
        <v>704</v>
      </c>
      <c r="D559" t="s">
        <v>705</v>
      </c>
      <c r="E559">
        <v>1</v>
      </c>
      <c r="F559">
        <v>9990</v>
      </c>
      <c r="G559">
        <v>500</v>
      </c>
    </row>
    <row r="560" spans="1:7" x14ac:dyDescent="0.3">
      <c r="A560" s="80">
        <v>45714.727256944447</v>
      </c>
      <c r="B560" t="s">
        <v>677</v>
      </c>
      <c r="C560" t="s">
        <v>706</v>
      </c>
      <c r="D560" t="s">
        <v>707</v>
      </c>
      <c r="E560">
        <v>1</v>
      </c>
      <c r="F560">
        <v>29990</v>
      </c>
      <c r="G560">
        <v>5000</v>
      </c>
    </row>
    <row r="561" spans="1:7" x14ac:dyDescent="0.3">
      <c r="A561" s="80">
        <v>45715.412974537037</v>
      </c>
      <c r="B561" t="s">
        <v>677</v>
      </c>
      <c r="C561" t="s">
        <v>706</v>
      </c>
      <c r="D561" t="s">
        <v>707</v>
      </c>
      <c r="E561">
        <v>1</v>
      </c>
      <c r="F561">
        <v>29990</v>
      </c>
      <c r="G561">
        <v>5000</v>
      </c>
    </row>
    <row r="562" spans="1:7" x14ac:dyDescent="0.3">
      <c r="A562" s="80">
        <v>45715.445648148147</v>
      </c>
      <c r="B562" t="s">
        <v>677</v>
      </c>
      <c r="C562" t="s">
        <v>706</v>
      </c>
      <c r="D562" t="s">
        <v>707</v>
      </c>
      <c r="E562">
        <v>1</v>
      </c>
      <c r="F562">
        <v>29990</v>
      </c>
      <c r="G562">
        <v>5000</v>
      </c>
    </row>
    <row r="563" spans="1:7" x14ac:dyDescent="0.3">
      <c r="A563" s="80">
        <v>45715.661041666674</v>
      </c>
      <c r="B563" t="s">
        <v>677</v>
      </c>
      <c r="C563" t="s">
        <v>706</v>
      </c>
      <c r="D563" t="s">
        <v>707</v>
      </c>
      <c r="E563">
        <v>1</v>
      </c>
      <c r="F563">
        <v>29990</v>
      </c>
      <c r="G563">
        <v>5000</v>
      </c>
    </row>
    <row r="564" spans="1:7" x14ac:dyDescent="0.3">
      <c r="A564" s="80">
        <v>45715.988043981481</v>
      </c>
      <c r="B564" t="s">
        <v>722</v>
      </c>
      <c r="C564" t="s">
        <v>723</v>
      </c>
      <c r="D564" t="s">
        <v>724</v>
      </c>
      <c r="E564">
        <v>1</v>
      </c>
      <c r="F564">
        <v>21740</v>
      </c>
      <c r="G564">
        <v>8769</v>
      </c>
    </row>
    <row r="565" spans="1:7" x14ac:dyDescent="0.3">
      <c r="A565" s="80">
        <v>45716.272893518522</v>
      </c>
      <c r="B565" t="s">
        <v>677</v>
      </c>
      <c r="C565" t="s">
        <v>706</v>
      </c>
      <c r="D565" t="s">
        <v>707</v>
      </c>
      <c r="E565">
        <v>1</v>
      </c>
      <c r="F565">
        <v>29990</v>
      </c>
      <c r="G565">
        <v>5000</v>
      </c>
    </row>
    <row r="566" spans="1:7" x14ac:dyDescent="0.3">
      <c r="A566" s="80">
        <v>45716.375335648147</v>
      </c>
      <c r="B566" t="s">
        <v>677</v>
      </c>
      <c r="C566" t="s">
        <v>706</v>
      </c>
      <c r="D566" t="s">
        <v>707</v>
      </c>
      <c r="E566">
        <v>1</v>
      </c>
      <c r="F566">
        <v>29990</v>
      </c>
      <c r="G566">
        <v>5000</v>
      </c>
    </row>
    <row r="567" spans="1:7" x14ac:dyDescent="0.3">
      <c r="A567" s="80">
        <v>45716.424212962957</v>
      </c>
      <c r="B567" t="s">
        <v>703</v>
      </c>
      <c r="C567" t="s">
        <v>704</v>
      </c>
      <c r="D567" t="s">
        <v>705</v>
      </c>
      <c r="E567">
        <v>1</v>
      </c>
      <c r="F567">
        <v>9990</v>
      </c>
      <c r="G567">
        <v>500</v>
      </c>
    </row>
    <row r="568" spans="1:7" x14ac:dyDescent="0.3">
      <c r="A568" s="80">
        <v>45716.468148148153</v>
      </c>
      <c r="B568" t="s">
        <v>677</v>
      </c>
      <c r="C568" t="s">
        <v>706</v>
      </c>
      <c r="D568" t="s">
        <v>707</v>
      </c>
      <c r="E568">
        <v>1</v>
      </c>
      <c r="F568">
        <v>29990</v>
      </c>
      <c r="G568">
        <v>5000</v>
      </c>
    </row>
    <row r="569" spans="1:7" x14ac:dyDescent="0.3">
      <c r="A569" s="80">
        <v>45716.703194444453</v>
      </c>
      <c r="B569" t="s">
        <v>677</v>
      </c>
      <c r="C569" t="s">
        <v>706</v>
      </c>
      <c r="D569" t="s">
        <v>707</v>
      </c>
      <c r="E569">
        <v>1</v>
      </c>
      <c r="F569">
        <v>29990</v>
      </c>
      <c r="G569">
        <v>5000</v>
      </c>
    </row>
    <row r="570" spans="1:7" x14ac:dyDescent="0.3">
      <c r="A570" s="80">
        <v>45716.803460648152</v>
      </c>
      <c r="B570" t="s">
        <v>722</v>
      </c>
      <c r="C570" t="s">
        <v>723</v>
      </c>
      <c r="D570" t="s">
        <v>724</v>
      </c>
      <c r="E570">
        <v>1</v>
      </c>
      <c r="F570">
        <v>21740</v>
      </c>
      <c r="G570">
        <v>8769</v>
      </c>
    </row>
    <row r="571" spans="1:7" x14ac:dyDescent="0.3">
      <c r="A571" s="80">
        <v>45716.807951388888</v>
      </c>
      <c r="B571" t="s">
        <v>719</v>
      </c>
      <c r="C571" t="s">
        <v>720</v>
      </c>
      <c r="D571" t="s">
        <v>721</v>
      </c>
      <c r="E571">
        <v>1</v>
      </c>
      <c r="F571">
        <v>29990</v>
      </c>
      <c r="G571">
        <v>5000</v>
      </c>
    </row>
    <row r="572" spans="1:7" x14ac:dyDescent="0.3">
      <c r="A572" s="80">
        <v>45716.937847222223</v>
      </c>
      <c r="B572" t="s">
        <v>677</v>
      </c>
      <c r="C572" t="s">
        <v>706</v>
      </c>
      <c r="D572" t="s">
        <v>707</v>
      </c>
      <c r="E572">
        <v>1</v>
      </c>
      <c r="F572">
        <v>29990</v>
      </c>
      <c r="G572">
        <v>5000</v>
      </c>
    </row>
    <row r="573" spans="1:7" x14ac:dyDescent="0.3">
      <c r="A573" s="80">
        <v>45717.065428240741</v>
      </c>
      <c r="B573" t="s">
        <v>719</v>
      </c>
      <c r="C573" t="s">
        <v>720</v>
      </c>
      <c r="D573" t="s">
        <v>721</v>
      </c>
      <c r="E573">
        <v>1</v>
      </c>
      <c r="F573">
        <v>29990</v>
      </c>
      <c r="G573">
        <v>5000</v>
      </c>
    </row>
    <row r="574" spans="1:7" x14ac:dyDescent="0.3">
      <c r="A574" s="80">
        <v>45717.375127314823</v>
      </c>
      <c r="B574" t="s">
        <v>677</v>
      </c>
      <c r="C574" t="s">
        <v>706</v>
      </c>
      <c r="D574" t="s">
        <v>707</v>
      </c>
      <c r="E574">
        <v>1</v>
      </c>
      <c r="F574">
        <v>29990</v>
      </c>
      <c r="G574">
        <v>5000</v>
      </c>
    </row>
    <row r="575" spans="1:7" x14ac:dyDescent="0.3">
      <c r="A575" s="80">
        <v>45717.475763888891</v>
      </c>
      <c r="B575" t="s">
        <v>677</v>
      </c>
      <c r="C575" t="s">
        <v>706</v>
      </c>
      <c r="D575" t="s">
        <v>707</v>
      </c>
      <c r="E575">
        <v>1</v>
      </c>
      <c r="F575">
        <v>29990</v>
      </c>
      <c r="G575">
        <v>5000</v>
      </c>
    </row>
    <row r="576" spans="1:7" x14ac:dyDescent="0.3">
      <c r="A576" s="80">
        <v>45717.512523148151</v>
      </c>
      <c r="B576" t="s">
        <v>677</v>
      </c>
      <c r="C576" t="s">
        <v>706</v>
      </c>
      <c r="D576" t="s">
        <v>707</v>
      </c>
      <c r="E576">
        <v>1</v>
      </c>
      <c r="F576">
        <v>29990</v>
      </c>
      <c r="G576">
        <v>5000</v>
      </c>
    </row>
    <row r="577" spans="1:7" x14ac:dyDescent="0.3">
      <c r="A577" s="80">
        <v>45717.532546296286</v>
      </c>
      <c r="B577" t="s">
        <v>677</v>
      </c>
      <c r="C577" t="s">
        <v>706</v>
      </c>
      <c r="D577" t="s">
        <v>707</v>
      </c>
      <c r="E577">
        <v>1</v>
      </c>
      <c r="F577">
        <v>29990</v>
      </c>
      <c r="G577">
        <v>5000</v>
      </c>
    </row>
    <row r="578" spans="1:7" x14ac:dyDescent="0.3">
      <c r="A578" s="80">
        <v>45717.619212962964</v>
      </c>
      <c r="B578" t="s">
        <v>677</v>
      </c>
      <c r="C578" t="s">
        <v>706</v>
      </c>
      <c r="D578" t="s">
        <v>707</v>
      </c>
      <c r="E578">
        <v>1</v>
      </c>
      <c r="F578">
        <v>29990</v>
      </c>
      <c r="G578">
        <v>5000</v>
      </c>
    </row>
    <row r="579" spans="1:7" x14ac:dyDescent="0.3">
      <c r="A579" s="80">
        <v>45717.777199074073</v>
      </c>
      <c r="B579" t="s">
        <v>677</v>
      </c>
      <c r="C579" t="s">
        <v>706</v>
      </c>
      <c r="D579" t="s">
        <v>707</v>
      </c>
      <c r="E579">
        <v>1</v>
      </c>
      <c r="F579">
        <v>29990</v>
      </c>
      <c r="G579">
        <v>5000</v>
      </c>
    </row>
    <row r="580" spans="1:7" x14ac:dyDescent="0.3">
      <c r="A580" s="80">
        <v>45717.781412037039</v>
      </c>
      <c r="B580" t="s">
        <v>677</v>
      </c>
      <c r="C580" t="s">
        <v>706</v>
      </c>
      <c r="D580" t="s">
        <v>707</v>
      </c>
      <c r="E580">
        <v>1</v>
      </c>
      <c r="F580">
        <v>29990</v>
      </c>
      <c r="G580">
        <v>5000</v>
      </c>
    </row>
    <row r="581" spans="1:7" x14ac:dyDescent="0.3">
      <c r="A581" s="80">
        <v>45718.005960648137</v>
      </c>
      <c r="B581" t="s">
        <v>717</v>
      </c>
      <c r="C581" t="s">
        <v>704</v>
      </c>
      <c r="D581" t="s">
        <v>718</v>
      </c>
      <c r="E581">
        <v>1</v>
      </c>
      <c r="F581">
        <v>8991</v>
      </c>
      <c r="G581">
        <v>2630</v>
      </c>
    </row>
    <row r="582" spans="1:7" x14ac:dyDescent="0.3">
      <c r="A582" s="80">
        <v>45718.005960648137</v>
      </c>
      <c r="B582" t="s">
        <v>677</v>
      </c>
      <c r="C582" t="s">
        <v>706</v>
      </c>
      <c r="D582" t="s">
        <v>707</v>
      </c>
      <c r="E582">
        <v>1</v>
      </c>
      <c r="F582">
        <v>26991</v>
      </c>
      <c r="G582">
        <v>5000</v>
      </c>
    </row>
    <row r="583" spans="1:7" x14ac:dyDescent="0.3">
      <c r="A583" s="80">
        <v>45718.067766203712</v>
      </c>
      <c r="B583" t="s">
        <v>677</v>
      </c>
      <c r="C583" t="s">
        <v>706</v>
      </c>
      <c r="D583" t="s">
        <v>707</v>
      </c>
      <c r="E583">
        <v>1</v>
      </c>
      <c r="F583">
        <v>29990</v>
      </c>
      <c r="G583">
        <v>5000</v>
      </c>
    </row>
    <row r="584" spans="1:7" x14ac:dyDescent="0.3">
      <c r="A584" s="80">
        <v>45718.137280092589</v>
      </c>
      <c r="B584" t="s">
        <v>722</v>
      </c>
      <c r="C584" t="s">
        <v>723</v>
      </c>
      <c r="D584" t="s">
        <v>724</v>
      </c>
      <c r="E584">
        <v>1</v>
      </c>
      <c r="F584">
        <v>21740</v>
      </c>
      <c r="G584">
        <v>8769</v>
      </c>
    </row>
    <row r="585" spans="1:7" x14ac:dyDescent="0.3">
      <c r="A585" s="80">
        <v>45718.375185185178</v>
      </c>
      <c r="B585" t="s">
        <v>677</v>
      </c>
      <c r="C585" t="s">
        <v>706</v>
      </c>
      <c r="D585" t="s">
        <v>707</v>
      </c>
      <c r="E585">
        <v>1</v>
      </c>
      <c r="F585">
        <v>29990</v>
      </c>
      <c r="G585">
        <v>5000</v>
      </c>
    </row>
    <row r="586" spans="1:7" x14ac:dyDescent="0.3">
      <c r="A586" s="80">
        <v>45718.51734953704</v>
      </c>
      <c r="B586" t="s">
        <v>677</v>
      </c>
      <c r="C586" t="s">
        <v>706</v>
      </c>
      <c r="D586" t="s">
        <v>707</v>
      </c>
      <c r="E586">
        <v>1</v>
      </c>
      <c r="F586">
        <v>29990</v>
      </c>
      <c r="G586">
        <v>5000</v>
      </c>
    </row>
    <row r="587" spans="1:7" x14ac:dyDescent="0.3">
      <c r="A587" s="80">
        <v>45718.531608796293</v>
      </c>
      <c r="B587" t="s">
        <v>722</v>
      </c>
      <c r="C587" t="s">
        <v>723</v>
      </c>
      <c r="D587" t="s">
        <v>724</v>
      </c>
      <c r="E587">
        <v>1</v>
      </c>
      <c r="F587">
        <v>21740</v>
      </c>
      <c r="G587">
        <v>8769</v>
      </c>
    </row>
    <row r="588" spans="1:7" x14ac:dyDescent="0.3">
      <c r="A588" s="80">
        <v>45718.734942129631</v>
      </c>
      <c r="B588" t="s">
        <v>677</v>
      </c>
      <c r="C588" t="s">
        <v>706</v>
      </c>
      <c r="D588" t="s">
        <v>707</v>
      </c>
      <c r="E588">
        <v>1</v>
      </c>
      <c r="F588">
        <v>29990</v>
      </c>
      <c r="G588">
        <v>5000</v>
      </c>
    </row>
    <row r="589" spans="1:7" x14ac:dyDescent="0.3">
      <c r="A589" s="80">
        <v>45718.748842592591</v>
      </c>
      <c r="B589" t="s">
        <v>677</v>
      </c>
      <c r="C589" t="s">
        <v>706</v>
      </c>
      <c r="D589" t="s">
        <v>707</v>
      </c>
      <c r="E589">
        <v>1</v>
      </c>
      <c r="F589">
        <v>29990</v>
      </c>
      <c r="G589">
        <v>5000</v>
      </c>
    </row>
    <row r="590" spans="1:7" x14ac:dyDescent="0.3">
      <c r="A590" s="80">
        <v>45718.784305555557</v>
      </c>
      <c r="B590" t="s">
        <v>677</v>
      </c>
      <c r="C590" t="s">
        <v>706</v>
      </c>
      <c r="D590" t="s">
        <v>707</v>
      </c>
      <c r="E590">
        <v>1</v>
      </c>
      <c r="F590">
        <v>29990</v>
      </c>
      <c r="G590">
        <v>5000</v>
      </c>
    </row>
    <row r="591" spans="1:7" x14ac:dyDescent="0.3">
      <c r="A591" s="80">
        <v>45719.526331018518</v>
      </c>
      <c r="B591" t="s">
        <v>677</v>
      </c>
      <c r="C591" t="s">
        <v>706</v>
      </c>
      <c r="D591" t="s">
        <v>707</v>
      </c>
      <c r="E591">
        <v>1</v>
      </c>
      <c r="F591">
        <v>29990</v>
      </c>
      <c r="G591">
        <v>5000</v>
      </c>
    </row>
    <row r="592" spans="1:7" x14ac:dyDescent="0.3">
      <c r="A592" s="80">
        <v>45719.558842592603</v>
      </c>
      <c r="B592" t="s">
        <v>677</v>
      </c>
      <c r="C592" t="s">
        <v>706</v>
      </c>
      <c r="D592" t="s">
        <v>707</v>
      </c>
      <c r="E592">
        <v>1</v>
      </c>
      <c r="F592">
        <v>29990</v>
      </c>
      <c r="G592">
        <v>5000</v>
      </c>
    </row>
    <row r="593" spans="1:7" x14ac:dyDescent="0.3">
      <c r="A593" s="80">
        <v>45719.806018518517</v>
      </c>
      <c r="B593" t="s">
        <v>677</v>
      </c>
      <c r="C593" t="s">
        <v>706</v>
      </c>
      <c r="D593" t="s">
        <v>707</v>
      </c>
      <c r="E593">
        <v>2</v>
      </c>
      <c r="F593">
        <v>59980</v>
      </c>
      <c r="G593">
        <v>10000</v>
      </c>
    </row>
    <row r="594" spans="1:7" x14ac:dyDescent="0.3">
      <c r="A594" s="80">
        <v>45719.842743055553</v>
      </c>
      <c r="B594" t="s">
        <v>677</v>
      </c>
      <c r="C594" t="s">
        <v>706</v>
      </c>
      <c r="D594" t="s">
        <v>707</v>
      </c>
      <c r="E594">
        <v>1</v>
      </c>
      <c r="F594">
        <v>29990</v>
      </c>
      <c r="G594">
        <v>5000</v>
      </c>
    </row>
    <row r="595" spans="1:7" x14ac:dyDescent="0.3">
      <c r="A595" s="80">
        <v>45720.053784722222</v>
      </c>
      <c r="B595" t="s">
        <v>677</v>
      </c>
      <c r="C595" t="s">
        <v>706</v>
      </c>
      <c r="D595" t="s">
        <v>707</v>
      </c>
      <c r="E595">
        <v>1</v>
      </c>
      <c r="F595">
        <v>29990</v>
      </c>
      <c r="G595">
        <v>5000</v>
      </c>
    </row>
    <row r="596" spans="1:7" x14ac:dyDescent="0.3">
      <c r="A596" s="80">
        <v>45720.505659722221</v>
      </c>
      <c r="B596" t="s">
        <v>722</v>
      </c>
      <c r="C596" t="s">
        <v>723</v>
      </c>
      <c r="D596" t="s">
        <v>724</v>
      </c>
      <c r="E596">
        <v>1</v>
      </c>
      <c r="F596">
        <v>21740</v>
      </c>
      <c r="G596">
        <v>8769</v>
      </c>
    </row>
    <row r="597" spans="1:7" x14ac:dyDescent="0.3">
      <c r="A597" s="80">
        <v>45720.632986111108</v>
      </c>
      <c r="B597" t="s">
        <v>677</v>
      </c>
      <c r="C597" t="s">
        <v>706</v>
      </c>
      <c r="D597" t="s">
        <v>707</v>
      </c>
      <c r="E597">
        <v>1</v>
      </c>
      <c r="F597">
        <v>29990</v>
      </c>
      <c r="G597">
        <v>5000</v>
      </c>
    </row>
    <row r="598" spans="1:7" x14ac:dyDescent="0.3">
      <c r="A598" s="80">
        <v>45720.984895833331</v>
      </c>
      <c r="B598" t="s">
        <v>719</v>
      </c>
      <c r="C598" t="s">
        <v>720</v>
      </c>
      <c r="D598" t="s">
        <v>721</v>
      </c>
      <c r="E598">
        <v>1</v>
      </c>
      <c r="F598">
        <v>29990</v>
      </c>
      <c r="G598">
        <v>5000</v>
      </c>
    </row>
    <row r="599" spans="1:7" x14ac:dyDescent="0.3">
      <c r="A599" s="80">
        <v>45721.402094907397</v>
      </c>
      <c r="B599" t="s">
        <v>719</v>
      </c>
      <c r="C599" t="s">
        <v>720</v>
      </c>
      <c r="D599" t="s">
        <v>721</v>
      </c>
      <c r="E599">
        <v>1</v>
      </c>
      <c r="F599">
        <v>29990</v>
      </c>
      <c r="G599">
        <v>5000</v>
      </c>
    </row>
    <row r="600" spans="1:7" x14ac:dyDescent="0.3">
      <c r="A600" s="80">
        <v>45721.833877314813</v>
      </c>
      <c r="B600" t="s">
        <v>677</v>
      </c>
      <c r="C600" t="s">
        <v>706</v>
      </c>
      <c r="D600" t="s">
        <v>707</v>
      </c>
      <c r="E600">
        <v>1</v>
      </c>
      <c r="F600">
        <v>29990</v>
      </c>
      <c r="G600">
        <v>5000</v>
      </c>
    </row>
    <row r="601" spans="1:7" x14ac:dyDescent="0.3">
      <c r="A601" s="80">
        <v>45721.902777777781</v>
      </c>
      <c r="B601" t="s">
        <v>677</v>
      </c>
      <c r="C601" t="s">
        <v>706</v>
      </c>
      <c r="D601" t="s">
        <v>707</v>
      </c>
      <c r="E601">
        <v>1</v>
      </c>
      <c r="F601">
        <v>29990</v>
      </c>
      <c r="G601">
        <v>5000</v>
      </c>
    </row>
    <row r="602" spans="1:7" x14ac:dyDescent="0.3">
      <c r="A602" s="80">
        <v>45722.3750462963</v>
      </c>
      <c r="B602" t="s">
        <v>677</v>
      </c>
      <c r="C602" t="s">
        <v>706</v>
      </c>
      <c r="D602" t="s">
        <v>707</v>
      </c>
      <c r="E602">
        <v>1</v>
      </c>
      <c r="F602">
        <v>29990</v>
      </c>
      <c r="G602">
        <v>5000</v>
      </c>
    </row>
    <row r="603" spans="1:7" x14ac:dyDescent="0.3">
      <c r="A603" s="80">
        <v>45722.462488425917</v>
      </c>
      <c r="B603" t="s">
        <v>677</v>
      </c>
      <c r="C603" t="s">
        <v>706</v>
      </c>
      <c r="D603" t="s">
        <v>707</v>
      </c>
      <c r="E603">
        <v>1</v>
      </c>
      <c r="F603">
        <v>29990</v>
      </c>
      <c r="G603">
        <v>5000</v>
      </c>
    </row>
    <row r="604" spans="1:7" x14ac:dyDescent="0.3">
      <c r="A604" s="80">
        <v>45722.721701388888</v>
      </c>
      <c r="B604" t="s">
        <v>677</v>
      </c>
      <c r="C604" t="s">
        <v>706</v>
      </c>
      <c r="D604" t="s">
        <v>707</v>
      </c>
      <c r="E604">
        <v>1</v>
      </c>
      <c r="F604">
        <v>29990</v>
      </c>
      <c r="G604">
        <v>5000</v>
      </c>
    </row>
    <row r="605" spans="1:7" x14ac:dyDescent="0.3">
      <c r="A605" s="80">
        <v>45722.985324074078</v>
      </c>
      <c r="B605" t="s">
        <v>677</v>
      </c>
      <c r="C605" t="s">
        <v>706</v>
      </c>
      <c r="D605" t="s">
        <v>707</v>
      </c>
      <c r="E605">
        <v>1</v>
      </c>
      <c r="F605">
        <v>29990</v>
      </c>
      <c r="G605">
        <v>5000</v>
      </c>
    </row>
    <row r="606" spans="1:7" x14ac:dyDescent="0.3">
      <c r="A606" s="80">
        <v>45723.375914351847</v>
      </c>
      <c r="B606" t="s">
        <v>677</v>
      </c>
      <c r="C606" t="s">
        <v>706</v>
      </c>
      <c r="D606" t="s">
        <v>707</v>
      </c>
      <c r="E606">
        <v>1</v>
      </c>
      <c r="F606">
        <v>29990</v>
      </c>
      <c r="G606">
        <v>5000</v>
      </c>
    </row>
    <row r="607" spans="1:7" x14ac:dyDescent="0.3">
      <c r="A607" s="80">
        <v>45723.384467592587</v>
      </c>
      <c r="B607" t="s">
        <v>677</v>
      </c>
      <c r="C607" t="s">
        <v>706</v>
      </c>
      <c r="D607" t="s">
        <v>707</v>
      </c>
      <c r="E607">
        <v>1</v>
      </c>
      <c r="F607">
        <v>29990</v>
      </c>
      <c r="G607">
        <v>5000</v>
      </c>
    </row>
    <row r="608" spans="1:7" x14ac:dyDescent="0.3">
      <c r="A608" s="80">
        <v>45723.618738425917</v>
      </c>
      <c r="B608" t="s">
        <v>677</v>
      </c>
      <c r="C608" t="s">
        <v>706</v>
      </c>
      <c r="D608" t="s">
        <v>707</v>
      </c>
      <c r="E608">
        <v>1</v>
      </c>
      <c r="F608">
        <v>26991</v>
      </c>
      <c r="G608">
        <v>5000</v>
      </c>
    </row>
    <row r="609" spans="1:7" x14ac:dyDescent="0.3">
      <c r="A609" s="80">
        <v>45723.638703703713</v>
      </c>
      <c r="B609" t="s">
        <v>677</v>
      </c>
      <c r="C609" t="s">
        <v>706</v>
      </c>
      <c r="D609" t="s">
        <v>707</v>
      </c>
      <c r="E609">
        <v>1</v>
      </c>
      <c r="F609">
        <v>29990</v>
      </c>
      <c r="G609">
        <v>5000</v>
      </c>
    </row>
    <row r="610" spans="1:7" x14ac:dyDescent="0.3">
      <c r="A610" s="80">
        <v>45724.720381944448</v>
      </c>
      <c r="B610" t="s">
        <v>677</v>
      </c>
      <c r="C610" t="s">
        <v>706</v>
      </c>
      <c r="D610" t="s">
        <v>707</v>
      </c>
      <c r="E610">
        <v>1</v>
      </c>
      <c r="F610">
        <v>29990</v>
      </c>
      <c r="G610">
        <v>5000</v>
      </c>
    </row>
    <row r="611" spans="1:7" x14ac:dyDescent="0.3">
      <c r="A611" s="80">
        <v>45724.754560185182</v>
      </c>
      <c r="B611" t="s">
        <v>677</v>
      </c>
      <c r="C611" t="s">
        <v>706</v>
      </c>
      <c r="D611" t="s">
        <v>707</v>
      </c>
      <c r="E611">
        <v>1</v>
      </c>
      <c r="F611">
        <v>29990</v>
      </c>
      <c r="G611">
        <v>5000</v>
      </c>
    </row>
    <row r="612" spans="1:7" x14ac:dyDescent="0.3">
      <c r="A612" s="80">
        <v>45725.034166666657</v>
      </c>
      <c r="B612" t="s">
        <v>677</v>
      </c>
      <c r="C612" t="s">
        <v>706</v>
      </c>
      <c r="D612" t="s">
        <v>707</v>
      </c>
      <c r="E612">
        <v>1</v>
      </c>
      <c r="F612">
        <v>29990</v>
      </c>
      <c r="G612">
        <v>5000</v>
      </c>
    </row>
    <row r="613" spans="1:7" x14ac:dyDescent="0.3">
      <c r="A613" s="80">
        <v>45725.470532407409</v>
      </c>
      <c r="B613" t="s">
        <v>677</v>
      </c>
      <c r="C613" t="s">
        <v>706</v>
      </c>
      <c r="D613" t="s">
        <v>707</v>
      </c>
      <c r="E613">
        <v>1</v>
      </c>
      <c r="F613">
        <v>29990</v>
      </c>
      <c r="G613">
        <v>5000</v>
      </c>
    </row>
    <row r="614" spans="1:7" x14ac:dyDescent="0.3">
      <c r="A614" s="80">
        <v>45725.53329861111</v>
      </c>
      <c r="B614" t="s">
        <v>677</v>
      </c>
      <c r="C614" t="s">
        <v>706</v>
      </c>
      <c r="D614" t="s">
        <v>707</v>
      </c>
      <c r="E614">
        <v>1</v>
      </c>
      <c r="F614">
        <v>29990</v>
      </c>
      <c r="G614">
        <v>5000</v>
      </c>
    </row>
    <row r="615" spans="1:7" x14ac:dyDescent="0.3">
      <c r="A615" s="80">
        <v>45725.643842592603</v>
      </c>
      <c r="B615" t="s">
        <v>719</v>
      </c>
      <c r="C615" t="s">
        <v>720</v>
      </c>
      <c r="D615" t="s">
        <v>721</v>
      </c>
      <c r="E615">
        <v>1</v>
      </c>
      <c r="F615">
        <v>29990</v>
      </c>
      <c r="G615">
        <v>5000</v>
      </c>
    </row>
    <row r="616" spans="1:7" x14ac:dyDescent="0.3">
      <c r="A616" s="80">
        <v>45725.643842592603</v>
      </c>
      <c r="B616" t="s">
        <v>677</v>
      </c>
      <c r="C616" t="s">
        <v>706</v>
      </c>
      <c r="D616" t="s">
        <v>707</v>
      </c>
      <c r="E616">
        <v>1</v>
      </c>
      <c r="F616">
        <v>29990</v>
      </c>
      <c r="G616">
        <v>5000</v>
      </c>
    </row>
    <row r="617" spans="1:7" x14ac:dyDescent="0.3">
      <c r="A617" s="80">
        <v>45725.713888888888</v>
      </c>
      <c r="B617" t="s">
        <v>717</v>
      </c>
      <c r="C617" t="s">
        <v>704</v>
      </c>
      <c r="D617" t="s">
        <v>718</v>
      </c>
      <c r="E617">
        <v>1</v>
      </c>
      <c r="F617">
        <v>9990</v>
      </c>
      <c r="G617">
        <v>2630</v>
      </c>
    </row>
    <row r="618" spans="1:7" x14ac:dyDescent="0.3">
      <c r="A618" s="80">
        <v>45725.713888888888</v>
      </c>
      <c r="B618" t="s">
        <v>677</v>
      </c>
      <c r="C618" t="s">
        <v>706</v>
      </c>
      <c r="D618" t="s">
        <v>707</v>
      </c>
      <c r="E618">
        <v>1</v>
      </c>
      <c r="F618">
        <v>29990</v>
      </c>
      <c r="G618">
        <v>5000</v>
      </c>
    </row>
    <row r="619" spans="1:7" x14ac:dyDescent="0.3">
      <c r="A619" s="80">
        <v>45725.764814814807</v>
      </c>
      <c r="B619" t="s">
        <v>719</v>
      </c>
      <c r="C619" t="s">
        <v>720</v>
      </c>
      <c r="D619" t="s">
        <v>721</v>
      </c>
      <c r="E619">
        <v>1</v>
      </c>
      <c r="F619">
        <v>29990</v>
      </c>
      <c r="G619">
        <v>5000</v>
      </c>
    </row>
    <row r="620" spans="1:7" x14ac:dyDescent="0.3">
      <c r="A620" s="80">
        <v>45725.764814814807</v>
      </c>
      <c r="B620" t="s">
        <v>677</v>
      </c>
      <c r="C620" t="s">
        <v>706</v>
      </c>
      <c r="D620" t="s">
        <v>707</v>
      </c>
      <c r="E620">
        <v>1</v>
      </c>
      <c r="F620">
        <v>29990</v>
      </c>
      <c r="G620">
        <v>5000</v>
      </c>
    </row>
    <row r="621" spans="1:7" x14ac:dyDescent="0.3">
      <c r="A621" s="80">
        <v>45725.810729166667</v>
      </c>
      <c r="B621" t="s">
        <v>677</v>
      </c>
      <c r="C621" t="s">
        <v>706</v>
      </c>
      <c r="D621" t="s">
        <v>707</v>
      </c>
      <c r="E621">
        <v>1</v>
      </c>
      <c r="F621">
        <v>29990</v>
      </c>
      <c r="G621">
        <v>5000</v>
      </c>
    </row>
    <row r="622" spans="1:7" x14ac:dyDescent="0.3">
      <c r="A622" s="80">
        <v>45726.510277777779</v>
      </c>
      <c r="B622" t="s">
        <v>677</v>
      </c>
      <c r="C622" t="s">
        <v>706</v>
      </c>
      <c r="D622" t="s">
        <v>707</v>
      </c>
      <c r="E622">
        <v>1</v>
      </c>
      <c r="F622">
        <v>29990</v>
      </c>
      <c r="G622">
        <v>5000</v>
      </c>
    </row>
    <row r="623" spans="1:7" x14ac:dyDescent="0.3">
      <c r="A623" s="80">
        <v>45726.728032407409</v>
      </c>
      <c r="B623" t="s">
        <v>677</v>
      </c>
      <c r="C623" t="s">
        <v>706</v>
      </c>
      <c r="D623" t="s">
        <v>707</v>
      </c>
      <c r="E623">
        <v>1</v>
      </c>
      <c r="F623">
        <v>29990</v>
      </c>
      <c r="G623">
        <v>5000</v>
      </c>
    </row>
    <row r="624" spans="1:7" x14ac:dyDescent="0.3">
      <c r="A624" s="80">
        <v>45726.76662037037</v>
      </c>
      <c r="B624" t="s">
        <v>677</v>
      </c>
      <c r="C624" t="s">
        <v>706</v>
      </c>
      <c r="D624" t="s">
        <v>707</v>
      </c>
      <c r="E624">
        <v>1</v>
      </c>
      <c r="F624">
        <v>29990</v>
      </c>
      <c r="G624">
        <v>5000</v>
      </c>
    </row>
    <row r="625" spans="1:7" x14ac:dyDescent="0.3">
      <c r="A625" s="80">
        <v>45726.796261574083</v>
      </c>
      <c r="B625" t="s">
        <v>719</v>
      </c>
      <c r="C625" t="s">
        <v>720</v>
      </c>
      <c r="D625" t="s">
        <v>721</v>
      </c>
      <c r="E625">
        <v>1</v>
      </c>
      <c r="F625">
        <v>29990</v>
      </c>
      <c r="G625">
        <v>5000</v>
      </c>
    </row>
    <row r="626" spans="1:7" x14ac:dyDescent="0.3">
      <c r="A626" s="80">
        <v>45726.968506944453</v>
      </c>
      <c r="B626" t="s">
        <v>722</v>
      </c>
      <c r="C626" t="s">
        <v>723</v>
      </c>
      <c r="D626" t="s">
        <v>724</v>
      </c>
      <c r="E626">
        <v>1</v>
      </c>
      <c r="F626">
        <v>21740</v>
      </c>
      <c r="G626">
        <v>8769</v>
      </c>
    </row>
    <row r="627" spans="1:7" x14ac:dyDescent="0.3">
      <c r="A627" s="80">
        <v>45727.363865740743</v>
      </c>
      <c r="B627" t="s">
        <v>677</v>
      </c>
      <c r="C627" t="s">
        <v>706</v>
      </c>
      <c r="D627" t="s">
        <v>707</v>
      </c>
      <c r="E627">
        <v>2</v>
      </c>
      <c r="F627">
        <v>59980</v>
      </c>
      <c r="G627">
        <v>10000</v>
      </c>
    </row>
    <row r="628" spans="1:7" x14ac:dyDescent="0.3">
      <c r="A628" s="80">
        <v>45727.462789351863</v>
      </c>
      <c r="B628" t="s">
        <v>677</v>
      </c>
      <c r="C628" t="s">
        <v>706</v>
      </c>
      <c r="D628" t="s">
        <v>707</v>
      </c>
      <c r="E628">
        <v>1</v>
      </c>
      <c r="F628">
        <v>26991</v>
      </c>
      <c r="G628">
        <v>5000</v>
      </c>
    </row>
    <row r="629" spans="1:7" x14ac:dyDescent="0.3">
      <c r="A629" s="80">
        <v>45727.49181712963</v>
      </c>
      <c r="B629" t="s">
        <v>722</v>
      </c>
      <c r="C629" t="s">
        <v>723</v>
      </c>
      <c r="D629" t="s">
        <v>724</v>
      </c>
      <c r="E629">
        <v>2</v>
      </c>
      <c r="F629">
        <v>43480</v>
      </c>
      <c r="G629">
        <v>17538</v>
      </c>
    </row>
    <row r="630" spans="1:7" x14ac:dyDescent="0.3">
      <c r="A630" s="80">
        <v>45727.751192129632</v>
      </c>
      <c r="B630" t="s">
        <v>677</v>
      </c>
      <c r="C630" t="s">
        <v>706</v>
      </c>
      <c r="D630" t="s">
        <v>707</v>
      </c>
      <c r="E630">
        <v>1</v>
      </c>
      <c r="F630">
        <v>26991</v>
      </c>
      <c r="G630">
        <v>5000</v>
      </c>
    </row>
    <row r="631" spans="1:7" x14ac:dyDescent="0.3">
      <c r="A631" s="80">
        <v>45727.756736111107</v>
      </c>
      <c r="B631" t="s">
        <v>677</v>
      </c>
      <c r="C631" t="s">
        <v>706</v>
      </c>
      <c r="D631" t="s">
        <v>707</v>
      </c>
      <c r="E631">
        <v>1</v>
      </c>
      <c r="F631">
        <v>26991</v>
      </c>
      <c r="G631">
        <v>5000</v>
      </c>
    </row>
    <row r="632" spans="1:7" x14ac:dyDescent="0.3">
      <c r="A632" s="80">
        <v>45728.070763888893</v>
      </c>
      <c r="B632" t="s">
        <v>677</v>
      </c>
      <c r="C632" t="s">
        <v>706</v>
      </c>
      <c r="D632" t="s">
        <v>707</v>
      </c>
      <c r="E632">
        <v>1</v>
      </c>
      <c r="F632">
        <v>29990</v>
      </c>
      <c r="G632">
        <v>5000</v>
      </c>
    </row>
    <row r="633" spans="1:7" x14ac:dyDescent="0.3">
      <c r="A633" s="80">
        <v>45728.990439814806</v>
      </c>
      <c r="B633" t="s">
        <v>677</v>
      </c>
      <c r="C633" t="s">
        <v>706</v>
      </c>
      <c r="D633" t="s">
        <v>707</v>
      </c>
      <c r="E633">
        <v>1</v>
      </c>
      <c r="F633">
        <v>29990</v>
      </c>
      <c r="G633">
        <v>5000</v>
      </c>
    </row>
    <row r="634" spans="1:7" x14ac:dyDescent="0.3">
      <c r="A634" s="80">
        <v>45729.403240740743</v>
      </c>
      <c r="B634" t="s">
        <v>677</v>
      </c>
      <c r="C634" t="s">
        <v>706</v>
      </c>
      <c r="D634" t="s">
        <v>707</v>
      </c>
      <c r="E634">
        <v>1</v>
      </c>
      <c r="F634">
        <v>29990</v>
      </c>
      <c r="G634">
        <v>5000</v>
      </c>
    </row>
    <row r="635" spans="1:7" x14ac:dyDescent="0.3">
      <c r="A635" s="80">
        <v>45730.075127314813</v>
      </c>
      <c r="B635" t="s">
        <v>677</v>
      </c>
      <c r="C635" t="s">
        <v>706</v>
      </c>
      <c r="D635" t="s">
        <v>707</v>
      </c>
      <c r="E635">
        <v>1</v>
      </c>
      <c r="F635">
        <v>29990</v>
      </c>
      <c r="G635">
        <v>5000</v>
      </c>
    </row>
    <row r="636" spans="1:7" x14ac:dyDescent="0.3">
      <c r="A636" s="80">
        <v>45730.410497685189</v>
      </c>
      <c r="B636" t="s">
        <v>677</v>
      </c>
      <c r="C636" t="s">
        <v>706</v>
      </c>
      <c r="D636" t="s">
        <v>707</v>
      </c>
      <c r="E636">
        <v>1</v>
      </c>
      <c r="F636">
        <v>26991</v>
      </c>
      <c r="G636">
        <v>5000</v>
      </c>
    </row>
    <row r="637" spans="1:7" x14ac:dyDescent="0.3">
      <c r="A637" s="80">
        <v>45730.69803240741</v>
      </c>
      <c r="B637" t="s">
        <v>677</v>
      </c>
      <c r="C637" t="s">
        <v>706</v>
      </c>
      <c r="D637" t="s">
        <v>707</v>
      </c>
      <c r="E637">
        <v>1</v>
      </c>
      <c r="F637">
        <v>29990</v>
      </c>
      <c r="G637">
        <v>5000</v>
      </c>
    </row>
    <row r="638" spans="1:7" x14ac:dyDescent="0.3">
      <c r="A638" s="80">
        <v>45731.375173611108</v>
      </c>
      <c r="B638" t="s">
        <v>677</v>
      </c>
      <c r="C638" t="s">
        <v>706</v>
      </c>
      <c r="D638" t="s">
        <v>707</v>
      </c>
      <c r="E638">
        <v>1</v>
      </c>
      <c r="F638">
        <v>29990</v>
      </c>
      <c r="G638">
        <v>5000</v>
      </c>
    </row>
    <row r="639" spans="1:7" x14ac:dyDescent="0.3">
      <c r="A639" s="80">
        <v>45731.385023148148</v>
      </c>
      <c r="B639" t="s">
        <v>717</v>
      </c>
      <c r="C639" t="s">
        <v>704</v>
      </c>
      <c r="D639" t="s">
        <v>718</v>
      </c>
      <c r="E639">
        <v>1</v>
      </c>
      <c r="F639">
        <v>8991</v>
      </c>
      <c r="G639">
        <v>2630</v>
      </c>
    </row>
    <row r="640" spans="1:7" x14ac:dyDescent="0.3">
      <c r="A640" s="80">
        <v>45731.385023148148</v>
      </c>
      <c r="B640" t="s">
        <v>677</v>
      </c>
      <c r="C640" t="s">
        <v>706</v>
      </c>
      <c r="D640" t="s">
        <v>707</v>
      </c>
      <c r="E640">
        <v>1</v>
      </c>
      <c r="F640">
        <v>26991</v>
      </c>
      <c r="G640">
        <v>5000</v>
      </c>
    </row>
    <row r="641" spans="1:7" x14ac:dyDescent="0.3">
      <c r="A641" s="80">
        <v>45732.918576388889</v>
      </c>
      <c r="B641" t="s">
        <v>719</v>
      </c>
      <c r="C641" t="s">
        <v>720</v>
      </c>
      <c r="D641" t="s">
        <v>721</v>
      </c>
      <c r="E641">
        <v>1</v>
      </c>
      <c r="F641">
        <v>29990</v>
      </c>
      <c r="G641">
        <v>5000</v>
      </c>
    </row>
    <row r="642" spans="1:7" x14ac:dyDescent="0.3">
      <c r="A642" s="80">
        <v>45732.920185185183</v>
      </c>
      <c r="B642" t="s">
        <v>677</v>
      </c>
      <c r="C642" t="s">
        <v>706</v>
      </c>
      <c r="D642" t="s">
        <v>707</v>
      </c>
      <c r="E642">
        <v>1</v>
      </c>
      <c r="F642">
        <v>29990</v>
      </c>
      <c r="G642">
        <v>5000</v>
      </c>
    </row>
    <row r="643" spans="1:7" x14ac:dyDescent="0.3">
      <c r="A643" s="80">
        <v>45733.092638888891</v>
      </c>
      <c r="B643" t="s">
        <v>677</v>
      </c>
      <c r="C643" t="s">
        <v>706</v>
      </c>
      <c r="D643" t="s">
        <v>707</v>
      </c>
      <c r="E643">
        <v>1</v>
      </c>
      <c r="F643">
        <v>29990</v>
      </c>
      <c r="G643">
        <v>5000</v>
      </c>
    </row>
    <row r="644" spans="1:7" x14ac:dyDescent="0.3">
      <c r="A644" s="80">
        <v>45733.402175925927</v>
      </c>
      <c r="B644" t="s">
        <v>677</v>
      </c>
      <c r="C644" t="s">
        <v>706</v>
      </c>
      <c r="D644" t="s">
        <v>707</v>
      </c>
      <c r="E644">
        <v>1</v>
      </c>
      <c r="F644">
        <v>29990</v>
      </c>
      <c r="G644">
        <v>5000</v>
      </c>
    </row>
    <row r="645" spans="1:7" x14ac:dyDescent="0.3">
      <c r="A645" s="80">
        <v>45733.47314814815</v>
      </c>
      <c r="B645" t="s">
        <v>677</v>
      </c>
      <c r="C645" t="s">
        <v>706</v>
      </c>
      <c r="D645" t="s">
        <v>707</v>
      </c>
      <c r="E645">
        <v>1</v>
      </c>
      <c r="F645">
        <v>29990</v>
      </c>
      <c r="G645">
        <v>5000</v>
      </c>
    </row>
    <row r="646" spans="1:7" x14ac:dyDescent="0.3">
      <c r="A646" s="80">
        <v>45733.514479166668</v>
      </c>
      <c r="B646" t="s">
        <v>677</v>
      </c>
      <c r="C646" t="s">
        <v>706</v>
      </c>
      <c r="D646" t="s">
        <v>707</v>
      </c>
      <c r="E646">
        <v>1</v>
      </c>
      <c r="F646">
        <v>26991</v>
      </c>
      <c r="G646">
        <v>5000</v>
      </c>
    </row>
    <row r="647" spans="1:7" x14ac:dyDescent="0.3">
      <c r="A647" s="80">
        <v>45733.730497685188</v>
      </c>
      <c r="B647" t="s">
        <v>677</v>
      </c>
      <c r="C647" t="s">
        <v>706</v>
      </c>
      <c r="D647" t="s">
        <v>707</v>
      </c>
      <c r="E647">
        <v>1</v>
      </c>
      <c r="F647">
        <v>29990</v>
      </c>
      <c r="G647">
        <v>5000</v>
      </c>
    </row>
    <row r="648" spans="1:7" x14ac:dyDescent="0.3">
      <c r="A648" s="80">
        <v>45733.733946759261</v>
      </c>
      <c r="B648" t="s">
        <v>677</v>
      </c>
      <c r="C648" t="s">
        <v>706</v>
      </c>
      <c r="D648" t="s">
        <v>707</v>
      </c>
      <c r="E648">
        <v>1</v>
      </c>
      <c r="F648">
        <v>29990</v>
      </c>
      <c r="G648">
        <v>5000</v>
      </c>
    </row>
    <row r="649" spans="1:7" x14ac:dyDescent="0.3">
      <c r="A649" s="80">
        <v>45733.913703703707</v>
      </c>
      <c r="B649" t="s">
        <v>719</v>
      </c>
      <c r="C649" t="s">
        <v>720</v>
      </c>
      <c r="D649" t="s">
        <v>721</v>
      </c>
      <c r="E649">
        <v>1</v>
      </c>
      <c r="F649">
        <v>29990</v>
      </c>
      <c r="G649">
        <v>5000</v>
      </c>
    </row>
    <row r="650" spans="1:7" x14ac:dyDescent="0.3">
      <c r="A650" s="80">
        <v>45733.9533912037</v>
      </c>
      <c r="B650" t="s">
        <v>677</v>
      </c>
      <c r="C650" t="s">
        <v>706</v>
      </c>
      <c r="D650" t="s">
        <v>707</v>
      </c>
      <c r="E650">
        <v>1</v>
      </c>
      <c r="F650">
        <v>29990</v>
      </c>
      <c r="G650">
        <v>5000</v>
      </c>
    </row>
    <row r="651" spans="1:7" x14ac:dyDescent="0.3">
      <c r="A651" s="80">
        <v>45734.010312500002</v>
      </c>
      <c r="B651" t="s">
        <v>677</v>
      </c>
      <c r="C651" t="s">
        <v>706</v>
      </c>
      <c r="D651" t="s">
        <v>707</v>
      </c>
      <c r="E651">
        <v>1</v>
      </c>
      <c r="F651">
        <v>29990</v>
      </c>
      <c r="G651">
        <v>5000</v>
      </c>
    </row>
    <row r="652" spans="1:7" x14ac:dyDescent="0.3">
      <c r="A652" s="80">
        <v>45734.342673611107</v>
      </c>
      <c r="B652" t="s">
        <v>719</v>
      </c>
      <c r="C652" t="s">
        <v>720</v>
      </c>
      <c r="D652" t="s">
        <v>721</v>
      </c>
      <c r="E652">
        <v>1</v>
      </c>
      <c r="F652">
        <v>29990</v>
      </c>
      <c r="G652">
        <v>5000</v>
      </c>
    </row>
    <row r="653" spans="1:7" x14ac:dyDescent="0.3">
      <c r="A653" s="80">
        <v>45734.342673611107</v>
      </c>
      <c r="B653" t="s">
        <v>677</v>
      </c>
      <c r="C653" t="s">
        <v>706</v>
      </c>
      <c r="D653" t="s">
        <v>707</v>
      </c>
      <c r="E653">
        <v>1</v>
      </c>
      <c r="F653">
        <v>29990</v>
      </c>
      <c r="G653">
        <v>5000</v>
      </c>
    </row>
    <row r="654" spans="1:7" x14ac:dyDescent="0.3">
      <c r="A654" s="80">
        <v>45734.514386574083</v>
      </c>
      <c r="B654" t="s">
        <v>677</v>
      </c>
      <c r="C654" t="s">
        <v>706</v>
      </c>
      <c r="D654" t="s">
        <v>707</v>
      </c>
      <c r="E654">
        <v>1</v>
      </c>
      <c r="F654">
        <v>26991</v>
      </c>
      <c r="G654">
        <v>5000</v>
      </c>
    </row>
    <row r="655" spans="1:7" x14ac:dyDescent="0.3">
      <c r="A655" s="80">
        <v>45734.720590277779</v>
      </c>
      <c r="B655" t="s">
        <v>722</v>
      </c>
      <c r="C655" t="s">
        <v>723</v>
      </c>
      <c r="D655" t="s">
        <v>724</v>
      </c>
      <c r="E655">
        <v>1</v>
      </c>
      <c r="F655">
        <v>21740</v>
      </c>
      <c r="G655">
        <v>8769</v>
      </c>
    </row>
    <row r="656" spans="1:7" x14ac:dyDescent="0.3">
      <c r="A656" s="80">
        <v>45735.007824074077</v>
      </c>
      <c r="B656" t="s">
        <v>677</v>
      </c>
      <c r="C656" t="s">
        <v>706</v>
      </c>
      <c r="D656" t="s">
        <v>707</v>
      </c>
      <c r="E656">
        <v>1</v>
      </c>
      <c r="F656">
        <v>29990</v>
      </c>
      <c r="G656">
        <v>5000</v>
      </c>
    </row>
    <row r="657" spans="1:7" x14ac:dyDescent="0.3">
      <c r="A657" s="80">
        <v>45735.53502314815</v>
      </c>
      <c r="B657" t="s">
        <v>677</v>
      </c>
      <c r="C657" t="s">
        <v>706</v>
      </c>
      <c r="D657" t="s">
        <v>707</v>
      </c>
      <c r="E657">
        <v>1</v>
      </c>
      <c r="F657">
        <v>29990</v>
      </c>
      <c r="G657">
        <v>5000</v>
      </c>
    </row>
    <row r="658" spans="1:7" x14ac:dyDescent="0.3">
      <c r="A658" s="80">
        <v>45735.721006944441</v>
      </c>
      <c r="B658" t="s">
        <v>677</v>
      </c>
      <c r="C658" t="s">
        <v>706</v>
      </c>
      <c r="D658" t="s">
        <v>707</v>
      </c>
      <c r="E658">
        <v>1</v>
      </c>
      <c r="F658">
        <v>29990</v>
      </c>
      <c r="G658">
        <v>5000</v>
      </c>
    </row>
    <row r="659" spans="1:7" x14ac:dyDescent="0.3">
      <c r="A659" s="80">
        <v>45736.080706018518</v>
      </c>
      <c r="B659" t="s">
        <v>677</v>
      </c>
      <c r="C659" t="s">
        <v>706</v>
      </c>
      <c r="D659" t="s">
        <v>707</v>
      </c>
      <c r="E659">
        <v>1</v>
      </c>
      <c r="F659">
        <v>29990</v>
      </c>
      <c r="G659">
        <v>5000</v>
      </c>
    </row>
    <row r="660" spans="1:7" x14ac:dyDescent="0.3">
      <c r="A660" s="80">
        <v>45736.66605324074</v>
      </c>
      <c r="B660" t="s">
        <v>677</v>
      </c>
      <c r="C660" t="s">
        <v>706</v>
      </c>
      <c r="D660" t="s">
        <v>707</v>
      </c>
      <c r="E660">
        <v>1</v>
      </c>
      <c r="F660">
        <v>29990</v>
      </c>
      <c r="G660">
        <v>5000</v>
      </c>
    </row>
    <row r="661" spans="1:7" x14ac:dyDescent="0.3">
      <c r="A661" s="80">
        <v>45736.700949074067</v>
      </c>
      <c r="B661" t="s">
        <v>677</v>
      </c>
      <c r="C661" t="s">
        <v>706</v>
      </c>
      <c r="D661" t="s">
        <v>707</v>
      </c>
      <c r="E661">
        <v>1</v>
      </c>
      <c r="F661">
        <v>29990</v>
      </c>
      <c r="G661">
        <v>5000</v>
      </c>
    </row>
    <row r="662" spans="1:7" x14ac:dyDescent="0.3">
      <c r="A662" s="80">
        <v>45736.810023148151</v>
      </c>
      <c r="B662" t="s">
        <v>719</v>
      </c>
      <c r="C662" t="s">
        <v>720</v>
      </c>
      <c r="D662" t="s">
        <v>721</v>
      </c>
      <c r="E662">
        <v>1</v>
      </c>
      <c r="F662">
        <v>29990</v>
      </c>
      <c r="G662">
        <v>5000</v>
      </c>
    </row>
    <row r="663" spans="1:7" x14ac:dyDescent="0.3">
      <c r="A663" s="80">
        <v>45736.990671296298</v>
      </c>
      <c r="B663" t="s">
        <v>677</v>
      </c>
      <c r="C663" t="s">
        <v>706</v>
      </c>
      <c r="D663" t="s">
        <v>707</v>
      </c>
      <c r="E663">
        <v>1</v>
      </c>
      <c r="F663">
        <v>29990</v>
      </c>
      <c r="G663">
        <v>5000</v>
      </c>
    </row>
    <row r="664" spans="1:7" x14ac:dyDescent="0.3">
      <c r="A664" s="80">
        <v>45737.007164351853</v>
      </c>
      <c r="B664" t="s">
        <v>725</v>
      </c>
      <c r="C664" t="s">
        <v>715</v>
      </c>
      <c r="D664" t="s">
        <v>726</v>
      </c>
      <c r="E664">
        <v>1</v>
      </c>
      <c r="F664">
        <v>48990</v>
      </c>
      <c r="G664">
        <v>12630</v>
      </c>
    </row>
    <row r="665" spans="1:7" x14ac:dyDescent="0.3">
      <c r="A665" s="80">
        <v>45737.472650462973</v>
      </c>
      <c r="B665" t="s">
        <v>677</v>
      </c>
      <c r="C665" t="s">
        <v>706</v>
      </c>
      <c r="D665" t="s">
        <v>707</v>
      </c>
      <c r="E665">
        <v>1</v>
      </c>
      <c r="F665">
        <v>29990</v>
      </c>
      <c r="G665">
        <v>5000</v>
      </c>
    </row>
    <row r="666" spans="1:7" x14ac:dyDescent="0.3">
      <c r="A666" s="80">
        <v>45738.478634259263</v>
      </c>
      <c r="B666" t="s">
        <v>719</v>
      </c>
      <c r="C666" t="s">
        <v>720</v>
      </c>
      <c r="D666" t="s">
        <v>721</v>
      </c>
      <c r="E666">
        <v>1</v>
      </c>
      <c r="F666">
        <v>29990</v>
      </c>
      <c r="G666">
        <v>5000</v>
      </c>
    </row>
    <row r="667" spans="1:7" x14ac:dyDescent="0.3">
      <c r="A667" s="80">
        <v>45738.753553240742</v>
      </c>
      <c r="B667" t="s">
        <v>677</v>
      </c>
      <c r="C667" t="s">
        <v>706</v>
      </c>
      <c r="D667" t="s">
        <v>707</v>
      </c>
      <c r="E667">
        <v>1</v>
      </c>
      <c r="F667">
        <v>29990</v>
      </c>
      <c r="G667">
        <v>5000</v>
      </c>
    </row>
    <row r="668" spans="1:7" x14ac:dyDescent="0.3">
      <c r="A668" s="80">
        <v>45739.639791666668</v>
      </c>
      <c r="B668" t="s">
        <v>711</v>
      </c>
      <c r="C668" t="s">
        <v>712</v>
      </c>
      <c r="D668" t="s">
        <v>713</v>
      </c>
      <c r="E668">
        <v>1</v>
      </c>
      <c r="F668">
        <v>9990</v>
      </c>
      <c r="G668">
        <v>3000</v>
      </c>
    </row>
    <row r="669" spans="1:7" x14ac:dyDescent="0.3">
      <c r="A669" s="80">
        <v>45739.639791666668</v>
      </c>
      <c r="B669" t="s">
        <v>719</v>
      </c>
      <c r="C669" t="s">
        <v>720</v>
      </c>
      <c r="D669" t="s">
        <v>721</v>
      </c>
      <c r="E669">
        <v>1</v>
      </c>
      <c r="F669">
        <v>29990</v>
      </c>
      <c r="G669">
        <v>5000</v>
      </c>
    </row>
    <row r="670" spans="1:7" x14ac:dyDescent="0.3">
      <c r="A670" s="80">
        <v>45739.65415509259</v>
      </c>
      <c r="B670" t="s">
        <v>677</v>
      </c>
      <c r="C670" t="s">
        <v>706</v>
      </c>
      <c r="D670" t="s">
        <v>707</v>
      </c>
      <c r="E670">
        <v>1</v>
      </c>
      <c r="F670">
        <v>29990</v>
      </c>
      <c r="G670">
        <v>5000</v>
      </c>
    </row>
    <row r="671" spans="1:7" x14ac:dyDescent="0.3">
      <c r="A671" s="80">
        <v>45740.375219907408</v>
      </c>
      <c r="B671" t="s">
        <v>677</v>
      </c>
      <c r="C671" t="s">
        <v>706</v>
      </c>
      <c r="D671" t="s">
        <v>707</v>
      </c>
      <c r="E671">
        <v>1</v>
      </c>
      <c r="F671">
        <v>29990</v>
      </c>
      <c r="G671">
        <v>5000</v>
      </c>
    </row>
    <row r="672" spans="1:7" x14ac:dyDescent="0.3">
      <c r="A672" s="80">
        <v>45740.472222222219</v>
      </c>
      <c r="B672" t="s">
        <v>725</v>
      </c>
      <c r="C672" t="s">
        <v>715</v>
      </c>
      <c r="D672" t="s">
        <v>726</v>
      </c>
      <c r="E672">
        <v>1</v>
      </c>
      <c r="F672">
        <v>59980</v>
      </c>
      <c r="G672">
        <v>12630</v>
      </c>
    </row>
    <row r="673" spans="1:7" x14ac:dyDescent="0.3">
      <c r="A673" s="80">
        <v>45743.361319444448</v>
      </c>
      <c r="B673" t="s">
        <v>677</v>
      </c>
      <c r="C673" t="s">
        <v>706</v>
      </c>
      <c r="D673" t="s">
        <v>707</v>
      </c>
      <c r="E673">
        <v>1</v>
      </c>
      <c r="F673">
        <v>29990</v>
      </c>
      <c r="G673">
        <v>5000</v>
      </c>
    </row>
    <row r="674" spans="1:7" x14ac:dyDescent="0.3">
      <c r="A674" s="80">
        <v>45743.387013888889</v>
      </c>
      <c r="B674" t="s">
        <v>677</v>
      </c>
      <c r="C674" t="s">
        <v>706</v>
      </c>
      <c r="D674" t="s">
        <v>707</v>
      </c>
      <c r="E674">
        <v>1</v>
      </c>
      <c r="F674">
        <v>29990</v>
      </c>
      <c r="G674">
        <v>5000</v>
      </c>
    </row>
    <row r="675" spans="1:7" x14ac:dyDescent="0.3">
      <c r="A675" s="80">
        <v>45743.686377314807</v>
      </c>
      <c r="B675" t="s">
        <v>722</v>
      </c>
      <c r="C675" t="s">
        <v>723</v>
      </c>
      <c r="D675" t="s">
        <v>724</v>
      </c>
      <c r="E675">
        <v>1</v>
      </c>
      <c r="F675">
        <v>24990</v>
      </c>
      <c r="G675">
        <v>8769</v>
      </c>
    </row>
    <row r="676" spans="1:7" x14ac:dyDescent="0.3">
      <c r="A676" s="80">
        <v>45743.686377314807</v>
      </c>
      <c r="B676" t="s">
        <v>719</v>
      </c>
      <c r="C676" t="s">
        <v>720</v>
      </c>
      <c r="D676" t="s">
        <v>721</v>
      </c>
      <c r="E676">
        <v>1</v>
      </c>
      <c r="F676">
        <v>29990</v>
      </c>
      <c r="G676">
        <v>5000</v>
      </c>
    </row>
    <row r="677" spans="1:7" x14ac:dyDescent="0.3">
      <c r="A677" s="80">
        <v>45743.711446759262</v>
      </c>
      <c r="B677" t="s">
        <v>703</v>
      </c>
      <c r="C677" t="s">
        <v>704</v>
      </c>
      <c r="D677" t="s">
        <v>705</v>
      </c>
      <c r="E677">
        <v>1</v>
      </c>
      <c r="F677">
        <v>9990</v>
      </c>
      <c r="G677">
        <v>500</v>
      </c>
    </row>
    <row r="678" spans="1:7" x14ac:dyDescent="0.3">
      <c r="A678" s="80">
        <v>45743.805752314824</v>
      </c>
      <c r="B678" t="s">
        <v>719</v>
      </c>
      <c r="C678" t="s">
        <v>720</v>
      </c>
      <c r="D678" t="s">
        <v>721</v>
      </c>
      <c r="E678">
        <v>1</v>
      </c>
      <c r="F678">
        <v>29990</v>
      </c>
      <c r="G678">
        <v>5000</v>
      </c>
    </row>
    <row r="679" spans="1:7" x14ac:dyDescent="0.3">
      <c r="A679" s="80">
        <v>45743.948171296302</v>
      </c>
      <c r="B679" t="s">
        <v>677</v>
      </c>
      <c r="C679" t="s">
        <v>706</v>
      </c>
      <c r="D679" t="s">
        <v>707</v>
      </c>
      <c r="E679">
        <v>1</v>
      </c>
      <c r="F679">
        <v>29990</v>
      </c>
      <c r="G679">
        <v>5000</v>
      </c>
    </row>
    <row r="680" spans="1:7" x14ac:dyDescent="0.3">
      <c r="A680" s="80">
        <v>45744.3984837963</v>
      </c>
      <c r="B680" t="s">
        <v>677</v>
      </c>
      <c r="C680" t="s">
        <v>706</v>
      </c>
      <c r="D680" t="s">
        <v>707</v>
      </c>
      <c r="E680">
        <v>1</v>
      </c>
      <c r="F680">
        <v>29990</v>
      </c>
      <c r="G680">
        <v>5000</v>
      </c>
    </row>
    <row r="681" spans="1:7" x14ac:dyDescent="0.3">
      <c r="A681" s="80">
        <v>45744.609039351853</v>
      </c>
      <c r="B681" t="s">
        <v>677</v>
      </c>
      <c r="C681" t="s">
        <v>706</v>
      </c>
      <c r="D681" t="s">
        <v>707</v>
      </c>
      <c r="E681">
        <v>1</v>
      </c>
      <c r="F681">
        <v>29990</v>
      </c>
      <c r="G681">
        <v>5000</v>
      </c>
    </row>
    <row r="682" spans="1:7" x14ac:dyDescent="0.3">
      <c r="A682" s="80">
        <v>45744.770138888889</v>
      </c>
      <c r="B682" t="s">
        <v>677</v>
      </c>
      <c r="C682" t="s">
        <v>706</v>
      </c>
      <c r="D682" t="s">
        <v>707</v>
      </c>
      <c r="E682">
        <v>1</v>
      </c>
      <c r="F682">
        <v>29990</v>
      </c>
      <c r="G682">
        <v>5000</v>
      </c>
    </row>
    <row r="683" spans="1:7" x14ac:dyDescent="0.3">
      <c r="A683" s="80">
        <v>45745.478043981479</v>
      </c>
      <c r="B683" t="s">
        <v>677</v>
      </c>
      <c r="C683" t="s">
        <v>706</v>
      </c>
      <c r="D683" t="s">
        <v>707</v>
      </c>
      <c r="E683">
        <v>1</v>
      </c>
      <c r="F683">
        <v>29990</v>
      </c>
      <c r="G683">
        <v>5000</v>
      </c>
    </row>
    <row r="684" spans="1:7" x14ac:dyDescent="0.3">
      <c r="A684" s="80">
        <v>45745.490671296298</v>
      </c>
      <c r="B684" t="s">
        <v>677</v>
      </c>
      <c r="C684" t="s">
        <v>706</v>
      </c>
      <c r="D684" t="s">
        <v>707</v>
      </c>
      <c r="E684">
        <v>1</v>
      </c>
      <c r="F684">
        <v>29990</v>
      </c>
      <c r="G684">
        <v>5000</v>
      </c>
    </row>
    <row r="685" spans="1:7" x14ac:dyDescent="0.3">
      <c r="A685" s="80">
        <v>45746.80667824074</v>
      </c>
      <c r="B685" t="s">
        <v>725</v>
      </c>
      <c r="C685" t="s">
        <v>715</v>
      </c>
      <c r="D685" t="s">
        <v>726</v>
      </c>
      <c r="E685">
        <v>1</v>
      </c>
      <c r="F685">
        <v>48990</v>
      </c>
      <c r="G685">
        <v>12630</v>
      </c>
    </row>
    <row r="686" spans="1:7" x14ac:dyDescent="0.3">
      <c r="A686" s="80">
        <v>45746.871990740743</v>
      </c>
      <c r="B686" t="s">
        <v>677</v>
      </c>
      <c r="C686" t="s">
        <v>706</v>
      </c>
      <c r="D686" t="s">
        <v>707</v>
      </c>
      <c r="E686">
        <v>1</v>
      </c>
      <c r="F686">
        <v>26392</v>
      </c>
      <c r="G686">
        <v>5000</v>
      </c>
    </row>
    <row r="687" spans="1:7" x14ac:dyDescent="0.3">
      <c r="A687" s="80">
        <v>45746.901226851849</v>
      </c>
      <c r="B687" t="s">
        <v>677</v>
      </c>
      <c r="C687" t="s">
        <v>706</v>
      </c>
      <c r="D687" t="s">
        <v>707</v>
      </c>
      <c r="E687">
        <v>1</v>
      </c>
      <c r="F687">
        <v>26392</v>
      </c>
      <c r="G687">
        <v>5000</v>
      </c>
    </row>
    <row r="688" spans="1:7" x14ac:dyDescent="0.3">
      <c r="A688" s="80">
        <v>45746.909479166658</v>
      </c>
      <c r="B688" t="s">
        <v>677</v>
      </c>
      <c r="C688" t="s">
        <v>706</v>
      </c>
      <c r="D688" t="s">
        <v>707</v>
      </c>
      <c r="E688">
        <v>1</v>
      </c>
      <c r="F688">
        <v>26392</v>
      </c>
      <c r="G688">
        <v>5000</v>
      </c>
    </row>
    <row r="689" spans="1:7" x14ac:dyDescent="0.3">
      <c r="A689" s="80">
        <v>45746.958981481483</v>
      </c>
      <c r="B689" t="s">
        <v>725</v>
      </c>
      <c r="C689" t="s">
        <v>715</v>
      </c>
      <c r="D689" t="s">
        <v>726</v>
      </c>
      <c r="E689">
        <v>1</v>
      </c>
      <c r="F689">
        <v>48990</v>
      </c>
      <c r="G689">
        <v>12630</v>
      </c>
    </row>
    <row r="690" spans="1:7" x14ac:dyDescent="0.3">
      <c r="A690" s="80">
        <v>45747.01734953704</v>
      </c>
      <c r="B690" t="s">
        <v>677</v>
      </c>
      <c r="C690" t="s">
        <v>706</v>
      </c>
      <c r="D690" t="s">
        <v>707</v>
      </c>
      <c r="E690">
        <v>1</v>
      </c>
      <c r="F690">
        <v>26392</v>
      </c>
      <c r="G690">
        <v>5000</v>
      </c>
    </row>
    <row r="691" spans="1:7" x14ac:dyDescent="0.3">
      <c r="A691" s="80">
        <v>45747.021504629629</v>
      </c>
      <c r="B691" t="s">
        <v>677</v>
      </c>
      <c r="C691" t="s">
        <v>706</v>
      </c>
      <c r="D691" t="s">
        <v>707</v>
      </c>
      <c r="E691">
        <v>1</v>
      </c>
      <c r="F691">
        <v>26392</v>
      </c>
      <c r="G691">
        <v>5000</v>
      </c>
    </row>
    <row r="692" spans="1:7" x14ac:dyDescent="0.3">
      <c r="A692" s="80">
        <v>45747.354618055557</v>
      </c>
      <c r="B692" t="s">
        <v>719</v>
      </c>
      <c r="C692" t="s">
        <v>720</v>
      </c>
      <c r="D692" t="s">
        <v>721</v>
      </c>
      <c r="E692">
        <v>1</v>
      </c>
      <c r="F692">
        <v>29990</v>
      </c>
      <c r="G692">
        <v>5000</v>
      </c>
    </row>
    <row r="693" spans="1:7" x14ac:dyDescent="0.3">
      <c r="A693" s="80">
        <v>45747.561979166669</v>
      </c>
      <c r="B693" t="s">
        <v>677</v>
      </c>
      <c r="C693" t="s">
        <v>706</v>
      </c>
      <c r="D693" t="s">
        <v>707</v>
      </c>
      <c r="E693">
        <v>1</v>
      </c>
      <c r="F693">
        <v>23093</v>
      </c>
      <c r="G693">
        <v>5000</v>
      </c>
    </row>
    <row r="694" spans="1:7" x14ac:dyDescent="0.3">
      <c r="A694" s="80">
        <v>45747.595671296287</v>
      </c>
      <c r="B694" t="s">
        <v>677</v>
      </c>
      <c r="C694" t="s">
        <v>706</v>
      </c>
      <c r="D694" t="s">
        <v>707</v>
      </c>
      <c r="E694">
        <v>1</v>
      </c>
      <c r="F694">
        <v>29990</v>
      </c>
      <c r="G694">
        <v>5000</v>
      </c>
    </row>
    <row r="695" spans="1:7" x14ac:dyDescent="0.3">
      <c r="A695" s="80">
        <v>45747.595671296287</v>
      </c>
      <c r="B695" t="s">
        <v>719</v>
      </c>
      <c r="C695" t="s">
        <v>720</v>
      </c>
      <c r="D695" t="s">
        <v>721</v>
      </c>
      <c r="E695">
        <v>1</v>
      </c>
      <c r="F695">
        <v>29990</v>
      </c>
      <c r="G695">
        <v>5000</v>
      </c>
    </row>
    <row r="696" spans="1:7" x14ac:dyDescent="0.3">
      <c r="A696" s="80">
        <v>45747.736747685187</v>
      </c>
      <c r="B696" t="s">
        <v>677</v>
      </c>
      <c r="C696" t="s">
        <v>706</v>
      </c>
      <c r="D696" t="s">
        <v>707</v>
      </c>
      <c r="E696">
        <v>1</v>
      </c>
      <c r="F696">
        <v>23093</v>
      </c>
      <c r="G696">
        <v>5000</v>
      </c>
    </row>
    <row r="697" spans="1:7" x14ac:dyDescent="0.3">
      <c r="A697" s="80">
        <v>45747.984120370369</v>
      </c>
      <c r="B697" t="s">
        <v>719</v>
      </c>
      <c r="C697" t="s">
        <v>720</v>
      </c>
      <c r="D697" t="s">
        <v>721</v>
      </c>
      <c r="E697">
        <v>1</v>
      </c>
      <c r="F697">
        <v>29990</v>
      </c>
      <c r="G697">
        <v>5000</v>
      </c>
    </row>
    <row r="698" spans="1:7" x14ac:dyDescent="0.3">
      <c r="A698" s="80">
        <v>45748.351898148147</v>
      </c>
      <c r="B698" t="s">
        <v>719</v>
      </c>
      <c r="C698" t="s">
        <v>720</v>
      </c>
      <c r="D698" t="s">
        <v>721</v>
      </c>
      <c r="E698">
        <v>1</v>
      </c>
      <c r="F698">
        <v>26392</v>
      </c>
      <c r="G698">
        <v>5000</v>
      </c>
    </row>
    <row r="699" spans="1:7" x14ac:dyDescent="0.3">
      <c r="A699" s="80">
        <v>45748.351898148147</v>
      </c>
      <c r="B699" t="s">
        <v>722</v>
      </c>
      <c r="C699" t="s">
        <v>723</v>
      </c>
      <c r="D699" t="s">
        <v>724</v>
      </c>
      <c r="E699">
        <v>1</v>
      </c>
      <c r="F699">
        <v>20293</v>
      </c>
      <c r="G699">
        <v>8769</v>
      </c>
    </row>
    <row r="700" spans="1:7" x14ac:dyDescent="0.3">
      <c r="A700" s="80">
        <v>45748.898761574077</v>
      </c>
      <c r="B700" t="s">
        <v>677</v>
      </c>
      <c r="C700" t="s">
        <v>706</v>
      </c>
      <c r="D700" t="s">
        <v>707</v>
      </c>
      <c r="E700">
        <v>1</v>
      </c>
      <c r="F700">
        <v>25491</v>
      </c>
      <c r="G700">
        <v>5000</v>
      </c>
    </row>
    <row r="701" spans="1:7" x14ac:dyDescent="0.3">
      <c r="A701" s="80">
        <v>45749.379699074067</v>
      </c>
      <c r="B701" t="s">
        <v>725</v>
      </c>
      <c r="C701" t="s">
        <v>715</v>
      </c>
      <c r="D701" t="s">
        <v>726</v>
      </c>
      <c r="E701">
        <v>1</v>
      </c>
      <c r="F701">
        <v>48990</v>
      </c>
      <c r="G701">
        <v>12630</v>
      </c>
    </row>
    <row r="702" spans="1:7" x14ac:dyDescent="0.3">
      <c r="A702" s="80">
        <v>45749.428564814807</v>
      </c>
      <c r="B702" t="s">
        <v>677</v>
      </c>
      <c r="C702" t="s">
        <v>706</v>
      </c>
      <c r="D702" t="s">
        <v>707</v>
      </c>
      <c r="E702">
        <v>1</v>
      </c>
      <c r="F702">
        <v>23093</v>
      </c>
      <c r="G702">
        <v>5000</v>
      </c>
    </row>
    <row r="703" spans="1:7" x14ac:dyDescent="0.3">
      <c r="A703" s="80">
        <v>45749.447488425933</v>
      </c>
      <c r="B703" t="s">
        <v>677</v>
      </c>
      <c r="C703" t="s">
        <v>706</v>
      </c>
      <c r="D703" t="s">
        <v>707</v>
      </c>
      <c r="E703">
        <v>1</v>
      </c>
      <c r="F703">
        <v>23093</v>
      </c>
      <c r="G703">
        <v>5000</v>
      </c>
    </row>
    <row r="704" spans="1:7" x14ac:dyDescent="0.3">
      <c r="A704" s="80">
        <v>45749.614710648151</v>
      </c>
      <c r="B704" t="s">
        <v>677</v>
      </c>
      <c r="C704" t="s">
        <v>706</v>
      </c>
      <c r="D704" t="s">
        <v>707</v>
      </c>
      <c r="E704">
        <v>1</v>
      </c>
      <c r="F704">
        <v>23093</v>
      </c>
      <c r="G704">
        <v>5000</v>
      </c>
    </row>
    <row r="705" spans="1:7" x14ac:dyDescent="0.3">
      <c r="A705" s="80">
        <v>45749.756851851853</v>
      </c>
      <c r="B705" t="s">
        <v>677</v>
      </c>
      <c r="C705" t="s">
        <v>706</v>
      </c>
      <c r="D705" t="s">
        <v>707</v>
      </c>
      <c r="E705">
        <v>1</v>
      </c>
      <c r="F705">
        <v>23093</v>
      </c>
      <c r="G705">
        <v>5000</v>
      </c>
    </row>
    <row r="706" spans="1:7" x14ac:dyDescent="0.3">
      <c r="A706" s="80">
        <v>45749.899953703702</v>
      </c>
      <c r="B706" t="s">
        <v>677</v>
      </c>
      <c r="C706" t="s">
        <v>706</v>
      </c>
      <c r="D706" t="s">
        <v>707</v>
      </c>
      <c r="E706">
        <v>1</v>
      </c>
      <c r="F706">
        <v>23093</v>
      </c>
      <c r="G706">
        <v>5000</v>
      </c>
    </row>
    <row r="707" spans="1:7" x14ac:dyDescent="0.3">
      <c r="A707" s="80">
        <v>45749.952928240738</v>
      </c>
      <c r="B707" t="s">
        <v>677</v>
      </c>
      <c r="C707" t="s">
        <v>706</v>
      </c>
      <c r="D707" t="s">
        <v>707</v>
      </c>
      <c r="E707">
        <v>1</v>
      </c>
      <c r="F707">
        <v>23093</v>
      </c>
      <c r="G707">
        <v>5000</v>
      </c>
    </row>
    <row r="708" spans="1:7" x14ac:dyDescent="0.3">
      <c r="A708" s="80">
        <v>45750.018182870372</v>
      </c>
      <c r="B708" t="s">
        <v>677</v>
      </c>
      <c r="C708" t="s">
        <v>706</v>
      </c>
      <c r="D708" t="s">
        <v>707</v>
      </c>
      <c r="E708">
        <v>1</v>
      </c>
      <c r="F708">
        <v>23093</v>
      </c>
      <c r="G708">
        <v>5000</v>
      </c>
    </row>
    <row r="709" spans="1:7" x14ac:dyDescent="0.3">
      <c r="A709" s="80">
        <v>45750.617824074077</v>
      </c>
      <c r="B709" t="s">
        <v>677</v>
      </c>
      <c r="C709" t="s">
        <v>706</v>
      </c>
      <c r="D709" t="s">
        <v>707</v>
      </c>
      <c r="E709">
        <v>1</v>
      </c>
      <c r="F709">
        <v>23093</v>
      </c>
      <c r="G709">
        <v>5000</v>
      </c>
    </row>
    <row r="710" spans="1:7" x14ac:dyDescent="0.3">
      <c r="A710" s="80">
        <v>45750.625590277778</v>
      </c>
      <c r="B710" t="s">
        <v>677</v>
      </c>
      <c r="C710" t="s">
        <v>706</v>
      </c>
      <c r="D710" t="s">
        <v>707</v>
      </c>
      <c r="E710">
        <v>1</v>
      </c>
      <c r="F710">
        <v>29990</v>
      </c>
      <c r="G710">
        <v>5000</v>
      </c>
    </row>
    <row r="711" spans="1:7" x14ac:dyDescent="0.3">
      <c r="A711" s="80">
        <v>45750.625590277778</v>
      </c>
      <c r="B711" t="s">
        <v>719</v>
      </c>
      <c r="C711" t="s">
        <v>720</v>
      </c>
      <c r="D711" t="s">
        <v>721</v>
      </c>
      <c r="E711">
        <v>1</v>
      </c>
      <c r="F711">
        <v>29990</v>
      </c>
      <c r="G711">
        <v>5000</v>
      </c>
    </row>
    <row r="712" spans="1:7" x14ac:dyDescent="0.3">
      <c r="A712" s="80">
        <v>45750.70212962963</v>
      </c>
      <c r="B712" t="s">
        <v>725</v>
      </c>
      <c r="C712" t="s">
        <v>715</v>
      </c>
      <c r="D712" t="s">
        <v>726</v>
      </c>
      <c r="E712">
        <v>1</v>
      </c>
      <c r="F712">
        <v>48990</v>
      </c>
      <c r="G712">
        <v>12630</v>
      </c>
    </row>
    <row r="713" spans="1:7" x14ac:dyDescent="0.3">
      <c r="A713" s="80">
        <v>45750.943796296298</v>
      </c>
      <c r="B713" t="s">
        <v>677</v>
      </c>
      <c r="C713" t="s">
        <v>706</v>
      </c>
      <c r="D713" t="s">
        <v>707</v>
      </c>
      <c r="E713">
        <v>1</v>
      </c>
      <c r="F713">
        <v>23093</v>
      </c>
      <c r="G713">
        <v>5000</v>
      </c>
    </row>
    <row r="714" spans="1:7" x14ac:dyDescent="0.3">
      <c r="A714" s="80">
        <v>45751.048275462963</v>
      </c>
      <c r="B714" t="s">
        <v>677</v>
      </c>
      <c r="C714" t="s">
        <v>706</v>
      </c>
      <c r="D714" t="s">
        <v>707</v>
      </c>
      <c r="E714">
        <v>1</v>
      </c>
      <c r="F714">
        <v>23093</v>
      </c>
      <c r="G714">
        <v>5000</v>
      </c>
    </row>
    <row r="715" spans="1:7" x14ac:dyDescent="0.3">
      <c r="A715" s="80">
        <v>45751.488518518519</v>
      </c>
      <c r="B715" t="s">
        <v>677</v>
      </c>
      <c r="C715" t="s">
        <v>706</v>
      </c>
      <c r="D715" t="s">
        <v>707</v>
      </c>
      <c r="E715">
        <v>1</v>
      </c>
      <c r="F715">
        <v>23093</v>
      </c>
      <c r="G715">
        <v>5000</v>
      </c>
    </row>
    <row r="716" spans="1:7" x14ac:dyDescent="0.3">
      <c r="A716" s="80">
        <v>45751.488518518519</v>
      </c>
      <c r="B716" t="s">
        <v>677</v>
      </c>
      <c r="C716" t="s">
        <v>706</v>
      </c>
      <c r="D716" t="s">
        <v>707</v>
      </c>
      <c r="E716">
        <v>1</v>
      </c>
      <c r="F716">
        <v>23093</v>
      </c>
      <c r="G716">
        <v>5000</v>
      </c>
    </row>
    <row r="717" spans="1:7" x14ac:dyDescent="0.3">
      <c r="A717" s="80">
        <v>45751.6249537037</v>
      </c>
      <c r="B717" t="s">
        <v>677</v>
      </c>
      <c r="C717" t="s">
        <v>706</v>
      </c>
      <c r="D717" t="s">
        <v>707</v>
      </c>
      <c r="E717">
        <v>1</v>
      </c>
      <c r="F717">
        <v>23093</v>
      </c>
      <c r="G717">
        <v>5000</v>
      </c>
    </row>
    <row r="718" spans="1:7" x14ac:dyDescent="0.3">
      <c r="A718" s="80">
        <v>45751.6249537037</v>
      </c>
      <c r="B718" t="s">
        <v>677</v>
      </c>
      <c r="C718" t="s">
        <v>706</v>
      </c>
      <c r="D718" t="s">
        <v>707</v>
      </c>
      <c r="E718">
        <v>1</v>
      </c>
      <c r="F718">
        <v>23093</v>
      </c>
      <c r="G718">
        <v>5000</v>
      </c>
    </row>
    <row r="719" spans="1:7" x14ac:dyDescent="0.3">
      <c r="A719" s="80">
        <v>45751.64230324074</v>
      </c>
      <c r="B719" t="s">
        <v>677</v>
      </c>
      <c r="C719" t="s">
        <v>706</v>
      </c>
      <c r="D719" t="s">
        <v>707</v>
      </c>
      <c r="E719">
        <v>1</v>
      </c>
      <c r="F719">
        <v>23093</v>
      </c>
      <c r="G719">
        <v>5000</v>
      </c>
    </row>
    <row r="720" spans="1:7" x14ac:dyDescent="0.3">
      <c r="A720" s="80">
        <v>45751.64230324074</v>
      </c>
      <c r="B720" t="s">
        <v>677</v>
      </c>
      <c r="C720" t="s">
        <v>706</v>
      </c>
      <c r="D720" t="s">
        <v>707</v>
      </c>
      <c r="E720">
        <v>1</v>
      </c>
      <c r="F720">
        <v>23093</v>
      </c>
      <c r="G720">
        <v>5000</v>
      </c>
    </row>
    <row r="721" spans="1:7" x14ac:dyDescent="0.3">
      <c r="A721" s="80">
        <v>45751.935868055552</v>
      </c>
      <c r="B721" t="s">
        <v>717</v>
      </c>
      <c r="C721" t="s">
        <v>704</v>
      </c>
      <c r="D721" t="s">
        <v>718</v>
      </c>
      <c r="E721">
        <v>1</v>
      </c>
      <c r="F721">
        <v>7992</v>
      </c>
      <c r="G721">
        <v>2630</v>
      </c>
    </row>
    <row r="722" spans="1:7" x14ac:dyDescent="0.3">
      <c r="A722" s="80">
        <v>45751.935868055552</v>
      </c>
      <c r="B722" t="s">
        <v>717</v>
      </c>
      <c r="C722" t="s">
        <v>704</v>
      </c>
      <c r="D722" t="s">
        <v>718</v>
      </c>
      <c r="E722">
        <v>1</v>
      </c>
      <c r="F722">
        <v>7992</v>
      </c>
      <c r="G722">
        <v>2630</v>
      </c>
    </row>
    <row r="723" spans="1:7" x14ac:dyDescent="0.3">
      <c r="A723" s="80">
        <v>45752.305960648147</v>
      </c>
      <c r="B723" t="s">
        <v>677</v>
      </c>
      <c r="C723" t="s">
        <v>706</v>
      </c>
      <c r="D723" t="s">
        <v>707</v>
      </c>
      <c r="E723">
        <v>1</v>
      </c>
      <c r="F723">
        <v>23093</v>
      </c>
      <c r="G723">
        <v>5000</v>
      </c>
    </row>
    <row r="724" spans="1:7" x14ac:dyDescent="0.3">
      <c r="A724" s="80">
        <v>45752.377685185187</v>
      </c>
      <c r="B724" t="s">
        <v>725</v>
      </c>
      <c r="C724" t="s">
        <v>715</v>
      </c>
      <c r="D724" t="s">
        <v>726</v>
      </c>
      <c r="E724">
        <v>1</v>
      </c>
      <c r="F724">
        <v>48990</v>
      </c>
      <c r="G724">
        <v>12630</v>
      </c>
    </row>
    <row r="725" spans="1:7" x14ac:dyDescent="0.3">
      <c r="A725" s="80">
        <v>45752.415775462963</v>
      </c>
      <c r="B725" t="s">
        <v>677</v>
      </c>
      <c r="C725" t="s">
        <v>706</v>
      </c>
      <c r="D725" t="s">
        <v>707</v>
      </c>
      <c r="E725">
        <v>1</v>
      </c>
      <c r="F725">
        <v>23093</v>
      </c>
      <c r="G725">
        <v>5000</v>
      </c>
    </row>
    <row r="726" spans="1:7" x14ac:dyDescent="0.3">
      <c r="A726" s="80">
        <v>45752.495879629627</v>
      </c>
      <c r="B726" t="s">
        <v>719</v>
      </c>
      <c r="C726" t="s">
        <v>720</v>
      </c>
      <c r="D726" t="s">
        <v>721</v>
      </c>
      <c r="E726">
        <v>1</v>
      </c>
      <c r="F726">
        <v>26392</v>
      </c>
      <c r="G726">
        <v>5000</v>
      </c>
    </row>
    <row r="727" spans="1:7" x14ac:dyDescent="0.3">
      <c r="A727" s="80">
        <v>45752.523252314822</v>
      </c>
      <c r="B727" t="s">
        <v>722</v>
      </c>
      <c r="C727" t="s">
        <v>723</v>
      </c>
      <c r="D727" t="s">
        <v>724</v>
      </c>
      <c r="E727">
        <v>1</v>
      </c>
      <c r="F727">
        <v>20293</v>
      </c>
      <c r="G727">
        <v>8769</v>
      </c>
    </row>
    <row r="728" spans="1:7" x14ac:dyDescent="0.3">
      <c r="A728" s="80">
        <v>45752.745092592602</v>
      </c>
      <c r="B728" t="s">
        <v>725</v>
      </c>
      <c r="C728" t="s">
        <v>715</v>
      </c>
      <c r="D728" t="s">
        <v>726</v>
      </c>
      <c r="E728">
        <v>1</v>
      </c>
      <c r="F728">
        <v>48990</v>
      </c>
      <c r="G728">
        <v>12630</v>
      </c>
    </row>
    <row r="729" spans="1:7" x14ac:dyDescent="0.3">
      <c r="A729" s="80">
        <v>45753.431585648148</v>
      </c>
      <c r="B729" t="s">
        <v>719</v>
      </c>
      <c r="C729" t="s">
        <v>720</v>
      </c>
      <c r="D729" t="s">
        <v>721</v>
      </c>
      <c r="E729">
        <v>1</v>
      </c>
      <c r="F729">
        <v>29990</v>
      </c>
      <c r="G729">
        <v>5000</v>
      </c>
    </row>
    <row r="730" spans="1:7" x14ac:dyDescent="0.3">
      <c r="A730" s="80">
        <v>45753.453611111108</v>
      </c>
      <c r="B730" t="s">
        <v>725</v>
      </c>
      <c r="C730" t="s">
        <v>715</v>
      </c>
      <c r="D730" t="s">
        <v>726</v>
      </c>
      <c r="E730">
        <v>1</v>
      </c>
      <c r="F730">
        <v>48990</v>
      </c>
      <c r="G730">
        <v>12630</v>
      </c>
    </row>
    <row r="731" spans="1:7" x14ac:dyDescent="0.3">
      <c r="A731" s="80">
        <v>45753.53197916667</v>
      </c>
      <c r="B731" t="s">
        <v>677</v>
      </c>
      <c r="C731" t="s">
        <v>706</v>
      </c>
      <c r="D731" t="s">
        <v>707</v>
      </c>
      <c r="E731">
        <v>1</v>
      </c>
      <c r="F731">
        <v>23093</v>
      </c>
      <c r="G731">
        <v>5000</v>
      </c>
    </row>
    <row r="732" spans="1:7" x14ac:dyDescent="0.3">
      <c r="A732" s="80">
        <v>45753.725219907406</v>
      </c>
      <c r="B732" t="s">
        <v>677</v>
      </c>
      <c r="C732" t="s">
        <v>706</v>
      </c>
      <c r="D732" t="s">
        <v>707</v>
      </c>
      <c r="E732">
        <v>1</v>
      </c>
      <c r="F732">
        <v>23093</v>
      </c>
      <c r="G732">
        <v>5000</v>
      </c>
    </row>
    <row r="733" spans="1:7" x14ac:dyDescent="0.3">
      <c r="A733" s="80">
        <v>45753.814247685194</v>
      </c>
      <c r="B733" t="s">
        <v>677</v>
      </c>
      <c r="C733" t="s">
        <v>706</v>
      </c>
      <c r="D733" t="s">
        <v>707</v>
      </c>
      <c r="E733">
        <v>1</v>
      </c>
      <c r="F733">
        <v>23093</v>
      </c>
      <c r="G733">
        <v>5000</v>
      </c>
    </row>
    <row r="734" spans="1:7" x14ac:dyDescent="0.3">
      <c r="A734" s="80">
        <v>45754.3752662037</v>
      </c>
      <c r="B734" t="s">
        <v>719</v>
      </c>
      <c r="C734" t="s">
        <v>720</v>
      </c>
      <c r="D734" t="s">
        <v>721</v>
      </c>
      <c r="E734">
        <v>1</v>
      </c>
      <c r="F734">
        <v>29990</v>
      </c>
      <c r="G734">
        <v>5000</v>
      </c>
    </row>
    <row r="735" spans="1:7" x14ac:dyDescent="0.3">
      <c r="A735" s="80">
        <v>45754.769918981481</v>
      </c>
      <c r="B735" t="s">
        <v>677</v>
      </c>
      <c r="C735" t="s">
        <v>706</v>
      </c>
      <c r="D735" t="s">
        <v>707</v>
      </c>
      <c r="E735">
        <v>1</v>
      </c>
      <c r="F735">
        <v>32990</v>
      </c>
      <c r="G735">
        <v>5000</v>
      </c>
    </row>
    <row r="736" spans="1:7" x14ac:dyDescent="0.3">
      <c r="A736" s="80">
        <v>45754.978715277779</v>
      </c>
      <c r="B736" t="s">
        <v>677</v>
      </c>
      <c r="C736" t="s">
        <v>706</v>
      </c>
      <c r="D736" t="s">
        <v>707</v>
      </c>
      <c r="E736">
        <v>1</v>
      </c>
      <c r="F736">
        <v>32990</v>
      </c>
      <c r="G736">
        <v>5000</v>
      </c>
    </row>
    <row r="737" spans="1:7" x14ac:dyDescent="0.3">
      <c r="A737" s="80">
        <v>45755.716643518521</v>
      </c>
      <c r="B737" t="s">
        <v>677</v>
      </c>
      <c r="C737" t="s">
        <v>706</v>
      </c>
      <c r="D737" t="s">
        <v>707</v>
      </c>
      <c r="E737">
        <v>1</v>
      </c>
      <c r="F737">
        <v>29990</v>
      </c>
      <c r="G737">
        <v>5000</v>
      </c>
    </row>
    <row r="738" spans="1:7" x14ac:dyDescent="0.3">
      <c r="A738" s="80">
        <v>45755.740636574083</v>
      </c>
      <c r="B738" t="s">
        <v>725</v>
      </c>
      <c r="C738" t="s">
        <v>715</v>
      </c>
      <c r="D738" t="s">
        <v>726</v>
      </c>
      <c r="E738">
        <v>1</v>
      </c>
      <c r="F738">
        <v>48990</v>
      </c>
      <c r="G738">
        <v>12630</v>
      </c>
    </row>
    <row r="739" spans="1:7" x14ac:dyDescent="0.3">
      <c r="A739" s="80">
        <v>45756.510636574072</v>
      </c>
      <c r="B739" t="s">
        <v>677</v>
      </c>
      <c r="C739" t="s">
        <v>706</v>
      </c>
      <c r="D739" t="s">
        <v>707</v>
      </c>
      <c r="E739">
        <v>1</v>
      </c>
      <c r="F739">
        <v>29990</v>
      </c>
      <c r="G739">
        <v>5000</v>
      </c>
    </row>
    <row r="740" spans="1:7" x14ac:dyDescent="0.3">
      <c r="A740" s="80">
        <v>45756.737199074072</v>
      </c>
      <c r="B740" t="s">
        <v>719</v>
      </c>
      <c r="C740" t="s">
        <v>720</v>
      </c>
      <c r="D740" t="s">
        <v>721</v>
      </c>
      <c r="E740">
        <v>1</v>
      </c>
      <c r="F740">
        <v>29990</v>
      </c>
      <c r="G740">
        <v>5000</v>
      </c>
    </row>
    <row r="741" spans="1:7" x14ac:dyDescent="0.3">
      <c r="A741" s="80">
        <v>45757.392916666657</v>
      </c>
      <c r="B741" t="s">
        <v>677</v>
      </c>
      <c r="C741" t="s">
        <v>706</v>
      </c>
      <c r="D741" t="s">
        <v>707</v>
      </c>
      <c r="E741">
        <v>1</v>
      </c>
      <c r="F741">
        <v>26932</v>
      </c>
      <c r="G741">
        <v>5000</v>
      </c>
    </row>
    <row r="742" spans="1:7" x14ac:dyDescent="0.3">
      <c r="A742" s="80">
        <v>45757.471342592587</v>
      </c>
      <c r="B742" t="s">
        <v>677</v>
      </c>
      <c r="C742" t="s">
        <v>706</v>
      </c>
      <c r="D742" t="s">
        <v>707</v>
      </c>
      <c r="E742">
        <v>1</v>
      </c>
      <c r="F742">
        <v>26932</v>
      </c>
      <c r="G742">
        <v>5000</v>
      </c>
    </row>
    <row r="743" spans="1:7" x14ac:dyDescent="0.3">
      <c r="A743" s="80">
        <v>45757.66033564815</v>
      </c>
      <c r="B743" t="s">
        <v>677</v>
      </c>
      <c r="C743" t="s">
        <v>706</v>
      </c>
      <c r="D743" t="s">
        <v>707</v>
      </c>
      <c r="E743">
        <v>1</v>
      </c>
      <c r="F743">
        <v>26932</v>
      </c>
      <c r="G743">
        <v>5000</v>
      </c>
    </row>
    <row r="744" spans="1:7" x14ac:dyDescent="0.3">
      <c r="A744" s="80">
        <v>45758.331550925926</v>
      </c>
      <c r="B744" t="s">
        <v>725</v>
      </c>
      <c r="C744" t="s">
        <v>715</v>
      </c>
      <c r="D744" t="s">
        <v>726</v>
      </c>
      <c r="E744">
        <v>1</v>
      </c>
      <c r="F744">
        <v>48990</v>
      </c>
      <c r="G744">
        <v>12630</v>
      </c>
    </row>
    <row r="745" spans="1:7" x14ac:dyDescent="0.3">
      <c r="A745" s="80">
        <v>45760.688576388893</v>
      </c>
      <c r="B745" t="s">
        <v>677</v>
      </c>
      <c r="C745" t="s">
        <v>706</v>
      </c>
      <c r="D745" t="s">
        <v>707</v>
      </c>
      <c r="E745">
        <v>1</v>
      </c>
      <c r="F745">
        <v>29990</v>
      </c>
      <c r="G745">
        <v>5000</v>
      </c>
    </row>
    <row r="746" spans="1:7" x14ac:dyDescent="0.3">
      <c r="A746" s="80">
        <v>45763.416064814817</v>
      </c>
      <c r="B746" t="s">
        <v>719</v>
      </c>
      <c r="C746" t="s">
        <v>720</v>
      </c>
      <c r="D746" t="s">
        <v>721</v>
      </c>
      <c r="E746">
        <v>1</v>
      </c>
      <c r="F746">
        <v>26392</v>
      </c>
      <c r="G746">
        <v>5000</v>
      </c>
    </row>
    <row r="747" spans="1:7" x14ac:dyDescent="0.3">
      <c r="A747" s="80">
        <v>45763.429467592592</v>
      </c>
      <c r="B747" t="s">
        <v>677</v>
      </c>
      <c r="C747" t="s">
        <v>706</v>
      </c>
      <c r="D747" t="s">
        <v>707</v>
      </c>
      <c r="E747">
        <v>1</v>
      </c>
      <c r="F747">
        <v>26932</v>
      </c>
      <c r="G747">
        <v>5000</v>
      </c>
    </row>
    <row r="748" spans="1:7" x14ac:dyDescent="0.3">
      <c r="A748" s="80">
        <v>45763.502465277779</v>
      </c>
      <c r="B748" t="s">
        <v>677</v>
      </c>
      <c r="C748" t="s">
        <v>706</v>
      </c>
      <c r="D748" t="s">
        <v>707</v>
      </c>
      <c r="E748">
        <v>1</v>
      </c>
      <c r="F748">
        <v>26932</v>
      </c>
      <c r="G748">
        <v>5000</v>
      </c>
    </row>
    <row r="749" spans="1:7" x14ac:dyDescent="0.3">
      <c r="A749" s="80">
        <v>45763.520208333342</v>
      </c>
      <c r="B749" t="s">
        <v>719</v>
      </c>
      <c r="C749" t="s">
        <v>720</v>
      </c>
      <c r="D749" t="s">
        <v>721</v>
      </c>
      <c r="E749">
        <v>1</v>
      </c>
      <c r="F749">
        <v>26392</v>
      </c>
      <c r="G749">
        <v>5000</v>
      </c>
    </row>
    <row r="750" spans="1:7" x14ac:dyDescent="0.3">
      <c r="A750" s="80">
        <v>45764.946157407408</v>
      </c>
      <c r="B750" t="s">
        <v>719</v>
      </c>
      <c r="C750" t="s">
        <v>720</v>
      </c>
      <c r="D750" t="s">
        <v>721</v>
      </c>
      <c r="E750">
        <v>1</v>
      </c>
      <c r="F750">
        <v>26392</v>
      </c>
      <c r="G750">
        <v>5000</v>
      </c>
    </row>
    <row r="751" spans="1:7" x14ac:dyDescent="0.3">
      <c r="A751" s="80">
        <v>45765.337812500002</v>
      </c>
      <c r="B751" t="s">
        <v>677</v>
      </c>
      <c r="C751" t="s">
        <v>706</v>
      </c>
      <c r="D751" t="s">
        <v>707</v>
      </c>
      <c r="E751">
        <v>1</v>
      </c>
      <c r="F751">
        <v>26932</v>
      </c>
      <c r="G751">
        <v>5000</v>
      </c>
    </row>
    <row r="752" spans="1:7" x14ac:dyDescent="0.3">
      <c r="A752" s="80">
        <v>45765.342395833337</v>
      </c>
      <c r="B752" t="s">
        <v>719</v>
      </c>
      <c r="C752" t="s">
        <v>720</v>
      </c>
      <c r="D752" t="s">
        <v>721</v>
      </c>
      <c r="E752">
        <v>1</v>
      </c>
      <c r="F752">
        <v>26392</v>
      </c>
      <c r="G752">
        <v>5000</v>
      </c>
    </row>
    <row r="753" spans="1:7" x14ac:dyDescent="0.3">
      <c r="A753" s="80">
        <v>45765.365011574067</v>
      </c>
      <c r="B753" t="s">
        <v>719</v>
      </c>
      <c r="C753" t="s">
        <v>720</v>
      </c>
      <c r="D753" t="s">
        <v>721</v>
      </c>
      <c r="E753">
        <v>1</v>
      </c>
      <c r="F753">
        <v>26392</v>
      </c>
      <c r="G753">
        <v>5000</v>
      </c>
    </row>
    <row r="754" spans="1:7" x14ac:dyDescent="0.3">
      <c r="A754" s="80">
        <v>45765.425347222219</v>
      </c>
      <c r="B754" t="s">
        <v>719</v>
      </c>
      <c r="C754" t="s">
        <v>720</v>
      </c>
      <c r="D754" t="s">
        <v>721</v>
      </c>
      <c r="E754">
        <v>1</v>
      </c>
      <c r="F754">
        <v>26392</v>
      </c>
      <c r="G754">
        <v>5000</v>
      </c>
    </row>
    <row r="755" spans="1:7" x14ac:dyDescent="0.3">
      <c r="A755" s="80">
        <v>45765.534502314818</v>
      </c>
      <c r="B755" t="s">
        <v>677</v>
      </c>
      <c r="C755" t="s">
        <v>706</v>
      </c>
      <c r="D755" t="s">
        <v>707</v>
      </c>
      <c r="E755">
        <v>1</v>
      </c>
      <c r="F755">
        <v>26932</v>
      </c>
      <c r="G755">
        <v>5000</v>
      </c>
    </row>
    <row r="756" spans="1:7" x14ac:dyDescent="0.3">
      <c r="A756" s="80">
        <v>45765.597928240742</v>
      </c>
      <c r="B756" t="s">
        <v>719</v>
      </c>
      <c r="C756" t="s">
        <v>720</v>
      </c>
      <c r="D756" t="s">
        <v>721</v>
      </c>
      <c r="E756">
        <v>1</v>
      </c>
      <c r="F756">
        <v>26392</v>
      </c>
      <c r="G756">
        <v>5000</v>
      </c>
    </row>
    <row r="757" spans="1:7" x14ac:dyDescent="0.3">
      <c r="A757" s="80">
        <v>45765.837060185193</v>
      </c>
      <c r="B757" t="s">
        <v>719</v>
      </c>
      <c r="C757" t="s">
        <v>720</v>
      </c>
      <c r="D757" t="s">
        <v>721</v>
      </c>
      <c r="E757">
        <v>1</v>
      </c>
      <c r="F757">
        <v>26392</v>
      </c>
      <c r="G757">
        <v>5000</v>
      </c>
    </row>
    <row r="758" spans="1:7" x14ac:dyDescent="0.3">
      <c r="A758" s="80">
        <v>45765.847939814812</v>
      </c>
      <c r="B758" t="s">
        <v>719</v>
      </c>
      <c r="C758" t="s">
        <v>720</v>
      </c>
      <c r="D758" t="s">
        <v>721</v>
      </c>
      <c r="E758">
        <v>1</v>
      </c>
      <c r="F758">
        <v>26392</v>
      </c>
      <c r="G758">
        <v>5000</v>
      </c>
    </row>
    <row r="759" spans="1:7" x14ac:dyDescent="0.3">
      <c r="A759" s="80">
        <v>45765.874849537038</v>
      </c>
      <c r="B759" t="s">
        <v>719</v>
      </c>
      <c r="C759" t="s">
        <v>720</v>
      </c>
      <c r="D759" t="s">
        <v>721</v>
      </c>
      <c r="E759">
        <v>1</v>
      </c>
      <c r="F759">
        <v>26392</v>
      </c>
      <c r="G759">
        <v>5000</v>
      </c>
    </row>
    <row r="760" spans="1:7" x14ac:dyDescent="0.3">
      <c r="A760" s="80">
        <v>45766.468425925923</v>
      </c>
      <c r="B760" t="s">
        <v>677</v>
      </c>
      <c r="C760" t="s">
        <v>706</v>
      </c>
      <c r="D760" t="s">
        <v>707</v>
      </c>
      <c r="E760">
        <v>1</v>
      </c>
      <c r="F760">
        <v>29990</v>
      </c>
      <c r="G760">
        <v>5000</v>
      </c>
    </row>
    <row r="761" spans="1:7" x14ac:dyDescent="0.3">
      <c r="A761" s="80">
        <v>45766.598078703697</v>
      </c>
      <c r="B761" t="s">
        <v>677</v>
      </c>
      <c r="C761" t="s">
        <v>706</v>
      </c>
      <c r="D761" t="s">
        <v>707</v>
      </c>
      <c r="E761">
        <v>1</v>
      </c>
      <c r="F761">
        <v>26932</v>
      </c>
      <c r="G761">
        <v>5000</v>
      </c>
    </row>
    <row r="762" spans="1:7" x14ac:dyDescent="0.3">
      <c r="A762" s="80">
        <v>45766.622013888889</v>
      </c>
      <c r="B762" t="s">
        <v>719</v>
      </c>
      <c r="C762" t="s">
        <v>720</v>
      </c>
      <c r="D762" t="s">
        <v>721</v>
      </c>
      <c r="E762">
        <v>1</v>
      </c>
      <c r="F762">
        <v>26392</v>
      </c>
      <c r="G762">
        <v>5000</v>
      </c>
    </row>
    <row r="763" spans="1:7" x14ac:dyDescent="0.3">
      <c r="A763" s="80">
        <v>45768.07203703704</v>
      </c>
      <c r="B763" t="s">
        <v>677</v>
      </c>
      <c r="C763" t="s">
        <v>706</v>
      </c>
      <c r="D763" t="s">
        <v>707</v>
      </c>
      <c r="E763">
        <v>1</v>
      </c>
      <c r="F763">
        <v>26932</v>
      </c>
      <c r="G763">
        <v>5000</v>
      </c>
    </row>
    <row r="764" spans="1:7" x14ac:dyDescent="0.3">
      <c r="A764" s="80">
        <v>45768.421724537038</v>
      </c>
      <c r="B764" t="s">
        <v>719</v>
      </c>
      <c r="C764" t="s">
        <v>720</v>
      </c>
      <c r="D764" t="s">
        <v>721</v>
      </c>
      <c r="E764">
        <v>1</v>
      </c>
      <c r="F764">
        <v>26392</v>
      </c>
      <c r="G764">
        <v>5000</v>
      </c>
    </row>
    <row r="765" spans="1:7" x14ac:dyDescent="0.3">
      <c r="A765" s="80">
        <v>45768.63554398148</v>
      </c>
      <c r="B765" t="s">
        <v>677</v>
      </c>
      <c r="C765" t="s">
        <v>706</v>
      </c>
      <c r="D765" t="s">
        <v>707</v>
      </c>
      <c r="E765">
        <v>1</v>
      </c>
      <c r="F765">
        <v>26932</v>
      </c>
      <c r="G765">
        <v>5000</v>
      </c>
    </row>
    <row r="766" spans="1:7" x14ac:dyDescent="0.3">
      <c r="A766" s="80">
        <v>45768.777233796303</v>
      </c>
      <c r="B766" t="s">
        <v>719</v>
      </c>
      <c r="C766" t="s">
        <v>720</v>
      </c>
      <c r="D766" t="s">
        <v>721</v>
      </c>
      <c r="E766">
        <v>1</v>
      </c>
      <c r="F766">
        <v>26392</v>
      </c>
      <c r="G766">
        <v>5000</v>
      </c>
    </row>
    <row r="767" spans="1:7" x14ac:dyDescent="0.3">
      <c r="A767" s="80">
        <v>45768.839826388888</v>
      </c>
      <c r="B767" t="s">
        <v>725</v>
      </c>
      <c r="C767" t="s">
        <v>715</v>
      </c>
      <c r="D767" t="s">
        <v>726</v>
      </c>
      <c r="E767">
        <v>1</v>
      </c>
      <c r="F767">
        <v>48990</v>
      </c>
      <c r="G767">
        <v>12630</v>
      </c>
    </row>
    <row r="768" spans="1:7" x14ac:dyDescent="0.3">
      <c r="A768" s="80">
        <v>45768.877337962957</v>
      </c>
      <c r="B768" t="s">
        <v>677</v>
      </c>
      <c r="C768" t="s">
        <v>706</v>
      </c>
      <c r="D768" t="s">
        <v>707</v>
      </c>
      <c r="E768">
        <v>1</v>
      </c>
      <c r="F768">
        <v>26932</v>
      </c>
      <c r="G768">
        <v>5000</v>
      </c>
    </row>
    <row r="769" spans="1:7" x14ac:dyDescent="0.3">
      <c r="A769" s="80">
        <v>45768.988726851851</v>
      </c>
      <c r="B769" t="s">
        <v>719</v>
      </c>
      <c r="C769" t="s">
        <v>720</v>
      </c>
      <c r="D769" t="s">
        <v>721</v>
      </c>
      <c r="E769">
        <v>1</v>
      </c>
      <c r="F769">
        <v>26392</v>
      </c>
      <c r="G769">
        <v>5000</v>
      </c>
    </row>
    <row r="770" spans="1:7" x14ac:dyDescent="0.3">
      <c r="A770" s="80">
        <v>45769.407048611109</v>
      </c>
      <c r="B770" t="s">
        <v>677</v>
      </c>
      <c r="C770" t="s">
        <v>706</v>
      </c>
      <c r="D770" t="s">
        <v>707</v>
      </c>
      <c r="E770">
        <v>1</v>
      </c>
      <c r="F770">
        <v>29990</v>
      </c>
      <c r="G770">
        <v>5000</v>
      </c>
    </row>
    <row r="771" spans="1:7" x14ac:dyDescent="0.3">
      <c r="A771" s="80">
        <v>45769.755046296297</v>
      </c>
      <c r="B771" t="s">
        <v>719</v>
      </c>
      <c r="C771" t="s">
        <v>720</v>
      </c>
      <c r="D771" t="s">
        <v>721</v>
      </c>
      <c r="E771">
        <v>1</v>
      </c>
      <c r="F771">
        <v>29990</v>
      </c>
      <c r="G771">
        <v>5000</v>
      </c>
    </row>
    <row r="772" spans="1:7" x14ac:dyDescent="0.3">
      <c r="A772" s="80">
        <v>45770.01866898148</v>
      </c>
      <c r="B772" t="s">
        <v>703</v>
      </c>
      <c r="C772" t="s">
        <v>704</v>
      </c>
      <c r="D772" t="s">
        <v>705</v>
      </c>
      <c r="E772">
        <v>1</v>
      </c>
      <c r="F772">
        <v>4995</v>
      </c>
      <c r="G772">
        <v>500</v>
      </c>
    </row>
    <row r="773" spans="1:7" x14ac:dyDescent="0.3">
      <c r="A773" s="80">
        <v>45770.01866898148</v>
      </c>
      <c r="B773" t="s">
        <v>682</v>
      </c>
      <c r="C773" t="s">
        <v>701</v>
      </c>
      <c r="D773" t="s">
        <v>702</v>
      </c>
      <c r="E773">
        <v>1</v>
      </c>
      <c r="F773">
        <v>24990</v>
      </c>
      <c r="G773">
        <v>4500</v>
      </c>
    </row>
    <row r="774" spans="1:7" x14ac:dyDescent="0.3">
      <c r="A774" s="80">
        <v>45770.514050925929</v>
      </c>
      <c r="B774" t="s">
        <v>677</v>
      </c>
      <c r="C774" t="s">
        <v>706</v>
      </c>
      <c r="D774" t="s">
        <v>707</v>
      </c>
      <c r="E774">
        <v>1</v>
      </c>
      <c r="F774">
        <v>29990</v>
      </c>
      <c r="G774">
        <v>5000</v>
      </c>
    </row>
    <row r="775" spans="1:7" x14ac:dyDescent="0.3">
      <c r="A775" s="80">
        <v>45770.531909722216</v>
      </c>
      <c r="B775" t="s">
        <v>719</v>
      </c>
      <c r="C775" t="s">
        <v>720</v>
      </c>
      <c r="D775" t="s">
        <v>721</v>
      </c>
      <c r="E775">
        <v>1</v>
      </c>
      <c r="F775">
        <v>26392</v>
      </c>
      <c r="G775">
        <v>5000</v>
      </c>
    </row>
    <row r="776" spans="1:7" x14ac:dyDescent="0.3">
      <c r="A776" s="80">
        <v>45770.971168981479</v>
      </c>
      <c r="B776" t="s">
        <v>719</v>
      </c>
      <c r="C776" t="s">
        <v>720</v>
      </c>
      <c r="D776" t="s">
        <v>721</v>
      </c>
      <c r="E776">
        <v>1</v>
      </c>
      <c r="F776">
        <v>26392</v>
      </c>
      <c r="G776">
        <v>5000</v>
      </c>
    </row>
    <row r="777" spans="1:7" x14ac:dyDescent="0.3">
      <c r="A777" s="80">
        <v>45771.42</v>
      </c>
      <c r="B777" t="s">
        <v>677</v>
      </c>
      <c r="C777" t="s">
        <v>706</v>
      </c>
      <c r="D777" t="s">
        <v>707</v>
      </c>
      <c r="E777">
        <v>1</v>
      </c>
      <c r="F777">
        <v>29990</v>
      </c>
      <c r="G777">
        <v>5000</v>
      </c>
    </row>
    <row r="778" spans="1:7" x14ac:dyDescent="0.3">
      <c r="A778" s="80">
        <v>45771.560381944437</v>
      </c>
      <c r="B778" t="s">
        <v>677</v>
      </c>
      <c r="C778" t="s">
        <v>706</v>
      </c>
      <c r="D778" t="s">
        <v>707</v>
      </c>
      <c r="E778">
        <v>1</v>
      </c>
      <c r="F778">
        <v>29990</v>
      </c>
      <c r="G778">
        <v>5000</v>
      </c>
    </row>
    <row r="779" spans="1:7" x14ac:dyDescent="0.3">
      <c r="A779" s="80">
        <v>45771.637013888889</v>
      </c>
      <c r="B779" t="s">
        <v>719</v>
      </c>
      <c r="C779" t="s">
        <v>720</v>
      </c>
      <c r="D779" t="s">
        <v>721</v>
      </c>
      <c r="E779">
        <v>1</v>
      </c>
      <c r="F779">
        <v>26392</v>
      </c>
      <c r="G779">
        <v>5000</v>
      </c>
    </row>
    <row r="780" spans="1:7" x14ac:dyDescent="0.3">
      <c r="A780" s="80">
        <v>45771.700624999998</v>
      </c>
      <c r="B780" t="s">
        <v>682</v>
      </c>
      <c r="C780" t="s">
        <v>701</v>
      </c>
      <c r="D780" t="s">
        <v>702</v>
      </c>
      <c r="E780">
        <v>1</v>
      </c>
      <c r="F780">
        <v>24990</v>
      </c>
      <c r="G780">
        <v>4500</v>
      </c>
    </row>
    <row r="781" spans="1:7" x14ac:dyDescent="0.3">
      <c r="A781" s="80">
        <v>45771.713912037027</v>
      </c>
      <c r="B781" t="s">
        <v>682</v>
      </c>
      <c r="C781" t="s">
        <v>701</v>
      </c>
      <c r="D781" t="s">
        <v>702</v>
      </c>
      <c r="E781">
        <v>1</v>
      </c>
      <c r="F781">
        <v>24990</v>
      </c>
      <c r="G781">
        <v>4500</v>
      </c>
    </row>
    <row r="782" spans="1:7" x14ac:dyDescent="0.3">
      <c r="A782" s="80">
        <v>45771.729409722233</v>
      </c>
      <c r="B782" t="s">
        <v>719</v>
      </c>
      <c r="C782" t="s">
        <v>720</v>
      </c>
      <c r="D782" t="s">
        <v>721</v>
      </c>
      <c r="E782">
        <v>1</v>
      </c>
      <c r="F782">
        <v>26392</v>
      </c>
      <c r="G782">
        <v>5000</v>
      </c>
    </row>
    <row r="783" spans="1:7" x14ac:dyDescent="0.3">
      <c r="A783" s="80">
        <v>45771.87604166667</v>
      </c>
      <c r="B783" t="s">
        <v>717</v>
      </c>
      <c r="C783" t="s">
        <v>704</v>
      </c>
      <c r="D783" t="s">
        <v>718</v>
      </c>
      <c r="E783">
        <v>1</v>
      </c>
      <c r="F783">
        <v>9990</v>
      </c>
      <c r="G783">
        <v>2630</v>
      </c>
    </row>
    <row r="784" spans="1:7" x14ac:dyDescent="0.3">
      <c r="A784" s="80">
        <v>45771.930937500001</v>
      </c>
      <c r="B784" t="s">
        <v>719</v>
      </c>
      <c r="C784" t="s">
        <v>720</v>
      </c>
      <c r="D784" t="s">
        <v>721</v>
      </c>
      <c r="E784">
        <v>1</v>
      </c>
      <c r="F784">
        <v>26392</v>
      </c>
      <c r="G784">
        <v>5000</v>
      </c>
    </row>
    <row r="785" spans="1:7" x14ac:dyDescent="0.3">
      <c r="A785" s="80">
        <v>45772.200115740743</v>
      </c>
      <c r="B785" t="s">
        <v>719</v>
      </c>
      <c r="C785" t="s">
        <v>720</v>
      </c>
      <c r="D785" t="s">
        <v>721</v>
      </c>
      <c r="E785">
        <v>1</v>
      </c>
      <c r="F785">
        <v>26392</v>
      </c>
      <c r="G785">
        <v>5000</v>
      </c>
    </row>
    <row r="786" spans="1:7" x14ac:dyDescent="0.3">
      <c r="A786" s="80">
        <v>45772.40421296296</v>
      </c>
      <c r="B786" t="s">
        <v>677</v>
      </c>
      <c r="C786" t="s">
        <v>706</v>
      </c>
      <c r="D786" t="s">
        <v>707</v>
      </c>
      <c r="E786">
        <v>1</v>
      </c>
      <c r="F786">
        <v>29990</v>
      </c>
      <c r="G786">
        <v>5000</v>
      </c>
    </row>
    <row r="787" spans="1:7" x14ac:dyDescent="0.3">
      <c r="A787" s="80">
        <v>45772.443854166668</v>
      </c>
      <c r="B787" t="s">
        <v>703</v>
      </c>
      <c r="C787" t="s">
        <v>704</v>
      </c>
      <c r="D787" t="s">
        <v>705</v>
      </c>
      <c r="E787">
        <v>1</v>
      </c>
      <c r="F787">
        <v>4995</v>
      </c>
      <c r="G787">
        <v>500</v>
      </c>
    </row>
    <row r="788" spans="1:7" x14ac:dyDescent="0.3">
      <c r="A788" s="80">
        <v>45772.443854166668</v>
      </c>
      <c r="B788" t="s">
        <v>682</v>
      </c>
      <c r="C788" t="s">
        <v>701</v>
      </c>
      <c r="D788" t="s">
        <v>702</v>
      </c>
      <c r="E788">
        <v>2</v>
      </c>
      <c r="F788">
        <v>49980</v>
      </c>
      <c r="G788">
        <v>9000</v>
      </c>
    </row>
    <row r="789" spans="1:7" x14ac:dyDescent="0.3">
      <c r="A789" s="80">
        <v>45772.457106481481</v>
      </c>
      <c r="B789" t="s">
        <v>719</v>
      </c>
      <c r="C789" t="s">
        <v>720</v>
      </c>
      <c r="D789" t="s">
        <v>721</v>
      </c>
      <c r="E789">
        <v>1</v>
      </c>
      <c r="F789">
        <v>26392</v>
      </c>
      <c r="G789">
        <v>5000</v>
      </c>
    </row>
    <row r="790" spans="1:7" x14ac:dyDescent="0.3">
      <c r="A790" s="80">
        <v>45772.505196759259</v>
      </c>
      <c r="B790" t="s">
        <v>682</v>
      </c>
      <c r="C790" t="s">
        <v>701</v>
      </c>
      <c r="D790" t="s">
        <v>702</v>
      </c>
      <c r="E790">
        <v>1</v>
      </c>
      <c r="F790">
        <v>24990</v>
      </c>
      <c r="G790">
        <v>4500</v>
      </c>
    </row>
    <row r="791" spans="1:7" x14ac:dyDescent="0.3">
      <c r="A791" s="80">
        <v>45772.514733796299</v>
      </c>
      <c r="B791" t="s">
        <v>682</v>
      </c>
      <c r="C791" t="s">
        <v>701</v>
      </c>
      <c r="D791" t="s">
        <v>702</v>
      </c>
      <c r="E791">
        <v>1</v>
      </c>
      <c r="F791">
        <v>24990</v>
      </c>
      <c r="G791">
        <v>4500</v>
      </c>
    </row>
    <row r="792" spans="1:7" x14ac:dyDescent="0.3">
      <c r="A792" s="80">
        <v>45772.514733796299</v>
      </c>
      <c r="B792" t="s">
        <v>703</v>
      </c>
      <c r="C792" t="s">
        <v>704</v>
      </c>
      <c r="D792" t="s">
        <v>705</v>
      </c>
      <c r="E792">
        <v>1</v>
      </c>
      <c r="F792">
        <v>4995</v>
      </c>
      <c r="G792">
        <v>500</v>
      </c>
    </row>
    <row r="793" spans="1:7" x14ac:dyDescent="0.3">
      <c r="A793" s="80">
        <v>45772.516736111109</v>
      </c>
      <c r="B793" t="s">
        <v>682</v>
      </c>
      <c r="C793" t="s">
        <v>701</v>
      </c>
      <c r="D793" t="s">
        <v>702</v>
      </c>
      <c r="E793">
        <v>1</v>
      </c>
      <c r="F793">
        <v>24990</v>
      </c>
      <c r="G793">
        <v>4500</v>
      </c>
    </row>
    <row r="794" spans="1:7" x14ac:dyDescent="0.3">
      <c r="A794" s="80">
        <v>45772.516736111109</v>
      </c>
      <c r="B794" t="s">
        <v>703</v>
      </c>
      <c r="C794" t="s">
        <v>704</v>
      </c>
      <c r="D794" t="s">
        <v>705</v>
      </c>
      <c r="E794">
        <v>1</v>
      </c>
      <c r="F794">
        <v>4995</v>
      </c>
      <c r="G794">
        <v>500</v>
      </c>
    </row>
    <row r="795" spans="1:7" x14ac:dyDescent="0.3">
      <c r="A795" s="80">
        <v>45772.529629629629</v>
      </c>
      <c r="B795" t="s">
        <v>719</v>
      </c>
      <c r="C795" t="s">
        <v>720</v>
      </c>
      <c r="D795" t="s">
        <v>721</v>
      </c>
      <c r="E795">
        <v>1</v>
      </c>
      <c r="F795">
        <v>26392</v>
      </c>
      <c r="G795">
        <v>5000</v>
      </c>
    </row>
    <row r="796" spans="1:7" x14ac:dyDescent="0.3">
      <c r="A796" s="80">
        <v>45772.656412037039</v>
      </c>
      <c r="B796" t="s">
        <v>677</v>
      </c>
      <c r="C796" t="s">
        <v>706</v>
      </c>
      <c r="D796" t="s">
        <v>707</v>
      </c>
      <c r="E796">
        <v>1</v>
      </c>
      <c r="F796">
        <v>29990</v>
      </c>
      <c r="G796">
        <v>5000</v>
      </c>
    </row>
    <row r="797" spans="1:7" x14ac:dyDescent="0.3">
      <c r="A797" s="80">
        <v>45772.750578703701</v>
      </c>
      <c r="B797" t="s">
        <v>677</v>
      </c>
      <c r="C797" t="s">
        <v>706</v>
      </c>
      <c r="D797" t="s">
        <v>707</v>
      </c>
      <c r="E797">
        <v>1</v>
      </c>
      <c r="F797">
        <v>29990</v>
      </c>
      <c r="G797">
        <v>5000</v>
      </c>
    </row>
    <row r="798" spans="1:7" x14ac:dyDescent="0.3">
      <c r="A798" s="80">
        <v>45772.99759259259</v>
      </c>
      <c r="B798" t="s">
        <v>682</v>
      </c>
      <c r="C798" t="s">
        <v>701</v>
      </c>
      <c r="D798" t="s">
        <v>702</v>
      </c>
      <c r="E798">
        <v>1</v>
      </c>
      <c r="F798">
        <v>24990</v>
      </c>
      <c r="G798">
        <v>4500</v>
      </c>
    </row>
    <row r="799" spans="1:7" x14ac:dyDescent="0.3">
      <c r="A799" s="80">
        <v>45773.389328703714</v>
      </c>
      <c r="B799" t="s">
        <v>719</v>
      </c>
      <c r="C799" t="s">
        <v>720</v>
      </c>
      <c r="D799" t="s">
        <v>721</v>
      </c>
      <c r="E799">
        <v>1</v>
      </c>
      <c r="F799">
        <v>26392</v>
      </c>
      <c r="G799">
        <v>5000</v>
      </c>
    </row>
    <row r="800" spans="1:7" x14ac:dyDescent="0.3">
      <c r="A800" s="80">
        <v>45773.394212962958</v>
      </c>
      <c r="B800" t="s">
        <v>719</v>
      </c>
      <c r="C800" t="s">
        <v>720</v>
      </c>
      <c r="D800" t="s">
        <v>721</v>
      </c>
      <c r="E800">
        <v>1</v>
      </c>
      <c r="F800">
        <v>26392</v>
      </c>
      <c r="G800">
        <v>5000</v>
      </c>
    </row>
    <row r="801" spans="1:7" x14ac:dyDescent="0.3">
      <c r="A801" s="80">
        <v>45773.41196759259</v>
      </c>
      <c r="B801" t="s">
        <v>719</v>
      </c>
      <c r="C801" t="s">
        <v>720</v>
      </c>
      <c r="D801" t="s">
        <v>721</v>
      </c>
      <c r="E801">
        <v>1</v>
      </c>
      <c r="F801">
        <v>26392</v>
      </c>
      <c r="G801">
        <v>5000</v>
      </c>
    </row>
    <row r="802" spans="1:7" x14ac:dyDescent="0.3">
      <c r="A802" s="80">
        <v>45773.450902777768</v>
      </c>
      <c r="B802" t="s">
        <v>682</v>
      </c>
      <c r="C802" t="s">
        <v>701</v>
      </c>
      <c r="D802" t="s">
        <v>702</v>
      </c>
      <c r="E802">
        <v>1</v>
      </c>
      <c r="F802">
        <v>24990</v>
      </c>
      <c r="G802">
        <v>4500</v>
      </c>
    </row>
    <row r="803" spans="1:7" x14ac:dyDescent="0.3">
      <c r="A803" s="80">
        <v>45773.464120370372</v>
      </c>
      <c r="B803" t="s">
        <v>677</v>
      </c>
      <c r="C803" t="s">
        <v>706</v>
      </c>
      <c r="D803" t="s">
        <v>707</v>
      </c>
      <c r="E803">
        <v>1</v>
      </c>
      <c r="F803">
        <v>29990</v>
      </c>
      <c r="G803">
        <v>5000</v>
      </c>
    </row>
    <row r="804" spans="1:7" x14ac:dyDescent="0.3">
      <c r="A804" s="80">
        <v>45773.529421296298</v>
      </c>
      <c r="B804" t="s">
        <v>677</v>
      </c>
      <c r="C804" t="s">
        <v>706</v>
      </c>
      <c r="D804" t="s">
        <v>707</v>
      </c>
      <c r="E804">
        <v>1</v>
      </c>
      <c r="F804">
        <v>29990</v>
      </c>
      <c r="G804">
        <v>5000</v>
      </c>
    </row>
    <row r="805" spans="1:7" x14ac:dyDescent="0.3">
      <c r="A805" s="80">
        <v>45773.543541666673</v>
      </c>
      <c r="B805" t="s">
        <v>677</v>
      </c>
      <c r="C805" t="s">
        <v>706</v>
      </c>
      <c r="D805" t="s">
        <v>707</v>
      </c>
      <c r="E805">
        <v>1</v>
      </c>
      <c r="F805">
        <v>29990</v>
      </c>
      <c r="G805">
        <v>5000</v>
      </c>
    </row>
    <row r="806" spans="1:7" x14ac:dyDescent="0.3">
      <c r="A806" s="80">
        <v>45773.787094907413</v>
      </c>
      <c r="B806" t="s">
        <v>677</v>
      </c>
      <c r="C806" t="s">
        <v>706</v>
      </c>
      <c r="D806" t="s">
        <v>707</v>
      </c>
      <c r="E806">
        <v>1</v>
      </c>
      <c r="F806">
        <v>29990</v>
      </c>
      <c r="G806">
        <v>5000</v>
      </c>
    </row>
    <row r="807" spans="1:7" x14ac:dyDescent="0.3">
      <c r="A807" s="80">
        <v>45773.881747685176</v>
      </c>
      <c r="B807" t="s">
        <v>682</v>
      </c>
      <c r="C807" t="s">
        <v>701</v>
      </c>
      <c r="D807" t="s">
        <v>702</v>
      </c>
      <c r="E807">
        <v>1</v>
      </c>
      <c r="F807">
        <v>24990</v>
      </c>
      <c r="G807">
        <v>4500</v>
      </c>
    </row>
    <row r="808" spans="1:7" x14ac:dyDescent="0.3">
      <c r="A808" s="80">
        <v>45773.986064814817</v>
      </c>
      <c r="B808" t="s">
        <v>677</v>
      </c>
      <c r="C808" t="s">
        <v>706</v>
      </c>
      <c r="D808" t="s">
        <v>707</v>
      </c>
      <c r="E808">
        <v>1</v>
      </c>
      <c r="F808">
        <v>29990</v>
      </c>
      <c r="G808">
        <v>5000</v>
      </c>
    </row>
    <row r="809" spans="1:7" x14ac:dyDescent="0.3">
      <c r="A809" s="80">
        <v>45773.988668981481</v>
      </c>
      <c r="B809" t="s">
        <v>682</v>
      </c>
      <c r="C809" t="s">
        <v>701</v>
      </c>
      <c r="D809" t="s">
        <v>702</v>
      </c>
      <c r="E809">
        <v>1</v>
      </c>
      <c r="F809">
        <v>24990</v>
      </c>
      <c r="G809">
        <v>4500</v>
      </c>
    </row>
    <row r="810" spans="1:7" x14ac:dyDescent="0.3">
      <c r="A810" s="80">
        <v>45774.373518518521</v>
      </c>
      <c r="B810" t="s">
        <v>682</v>
      </c>
      <c r="C810" t="s">
        <v>701</v>
      </c>
      <c r="D810" t="s">
        <v>702</v>
      </c>
      <c r="E810">
        <v>1</v>
      </c>
      <c r="F810">
        <v>24990</v>
      </c>
      <c r="G810">
        <v>4500</v>
      </c>
    </row>
    <row r="811" spans="1:7" x14ac:dyDescent="0.3">
      <c r="A811" s="80">
        <v>45774.402812499997</v>
      </c>
      <c r="B811" t="s">
        <v>719</v>
      </c>
      <c r="C811" t="s">
        <v>720</v>
      </c>
      <c r="D811" t="s">
        <v>721</v>
      </c>
      <c r="E811">
        <v>1</v>
      </c>
      <c r="F811">
        <v>26392</v>
      </c>
      <c r="G811">
        <v>5000</v>
      </c>
    </row>
    <row r="812" spans="1:7" x14ac:dyDescent="0.3">
      <c r="A812" s="80">
        <v>45774.477268518523</v>
      </c>
      <c r="B812" t="s">
        <v>677</v>
      </c>
      <c r="C812" t="s">
        <v>706</v>
      </c>
      <c r="D812" t="s">
        <v>707</v>
      </c>
      <c r="E812">
        <v>1</v>
      </c>
      <c r="F812">
        <v>29990</v>
      </c>
      <c r="G812">
        <v>5000</v>
      </c>
    </row>
    <row r="813" spans="1:7" x14ac:dyDescent="0.3">
      <c r="A813" s="80">
        <v>45774.508379629631</v>
      </c>
      <c r="B813" t="s">
        <v>682</v>
      </c>
      <c r="C813" t="s">
        <v>701</v>
      </c>
      <c r="D813" t="s">
        <v>702</v>
      </c>
      <c r="E813">
        <v>1</v>
      </c>
      <c r="F813">
        <v>24990</v>
      </c>
      <c r="G813">
        <v>4500</v>
      </c>
    </row>
    <row r="814" spans="1:7" x14ac:dyDescent="0.3">
      <c r="A814" s="80">
        <v>45774.605347222219</v>
      </c>
      <c r="B814" t="s">
        <v>719</v>
      </c>
      <c r="C814" t="s">
        <v>720</v>
      </c>
      <c r="D814" t="s">
        <v>721</v>
      </c>
      <c r="E814">
        <v>1</v>
      </c>
      <c r="F814">
        <v>26392</v>
      </c>
      <c r="G814">
        <v>5000</v>
      </c>
    </row>
    <row r="815" spans="1:7" x14ac:dyDescent="0.3">
      <c r="A815" s="80">
        <v>45774.835706018523</v>
      </c>
      <c r="B815" t="s">
        <v>682</v>
      </c>
      <c r="C815" t="s">
        <v>701</v>
      </c>
      <c r="D815" t="s">
        <v>702</v>
      </c>
      <c r="E815">
        <v>1</v>
      </c>
      <c r="F815">
        <v>24990</v>
      </c>
      <c r="G815">
        <v>4500</v>
      </c>
    </row>
    <row r="816" spans="1:7" x14ac:dyDescent="0.3">
      <c r="A816" s="80">
        <v>45774.907268518517</v>
      </c>
      <c r="B816" t="s">
        <v>682</v>
      </c>
      <c r="C816" t="s">
        <v>701</v>
      </c>
      <c r="D816" t="s">
        <v>702</v>
      </c>
      <c r="E816">
        <v>1</v>
      </c>
      <c r="F816">
        <v>24990</v>
      </c>
      <c r="G816">
        <v>4500</v>
      </c>
    </row>
    <row r="817" spans="1:7" x14ac:dyDescent="0.3">
      <c r="A817" s="80">
        <v>45775.008981481478</v>
      </c>
      <c r="B817" t="s">
        <v>682</v>
      </c>
      <c r="C817" t="s">
        <v>701</v>
      </c>
      <c r="D817" t="s">
        <v>702</v>
      </c>
      <c r="E817">
        <v>1</v>
      </c>
      <c r="F817">
        <v>24990</v>
      </c>
      <c r="G817">
        <v>4500</v>
      </c>
    </row>
    <row r="818" spans="1:7" x14ac:dyDescent="0.3">
      <c r="A818" s="80">
        <v>45775.008981481478</v>
      </c>
      <c r="B818" t="s">
        <v>703</v>
      </c>
      <c r="C818" t="s">
        <v>704</v>
      </c>
      <c r="D818" t="s">
        <v>705</v>
      </c>
      <c r="E818">
        <v>1</v>
      </c>
      <c r="F818">
        <v>4995</v>
      </c>
      <c r="G818">
        <v>500</v>
      </c>
    </row>
    <row r="819" spans="1:7" x14ac:dyDescent="0.3">
      <c r="A819" s="80">
        <v>45775.272696759261</v>
      </c>
      <c r="B819" t="s">
        <v>719</v>
      </c>
      <c r="C819" t="s">
        <v>720</v>
      </c>
      <c r="D819" t="s">
        <v>721</v>
      </c>
      <c r="E819">
        <v>1</v>
      </c>
      <c r="F819">
        <v>26392</v>
      </c>
      <c r="G819">
        <v>5000</v>
      </c>
    </row>
    <row r="820" spans="1:7" x14ac:dyDescent="0.3">
      <c r="A820" s="80">
        <v>45776.011238425926</v>
      </c>
      <c r="B820" t="s">
        <v>719</v>
      </c>
      <c r="C820" t="s">
        <v>720</v>
      </c>
      <c r="D820" t="s">
        <v>721</v>
      </c>
      <c r="E820">
        <v>1</v>
      </c>
      <c r="F820">
        <v>24990</v>
      </c>
      <c r="G820">
        <v>5000</v>
      </c>
    </row>
    <row r="821" spans="1:7" x14ac:dyDescent="0.3">
      <c r="A821" s="80">
        <v>45776.366041666668</v>
      </c>
      <c r="B821" t="s">
        <v>719</v>
      </c>
      <c r="C821" t="s">
        <v>720</v>
      </c>
      <c r="D821" t="s">
        <v>721</v>
      </c>
      <c r="E821">
        <v>1</v>
      </c>
      <c r="F821">
        <v>24990</v>
      </c>
      <c r="G821">
        <v>5000</v>
      </c>
    </row>
    <row r="822" spans="1:7" x14ac:dyDescent="0.3">
      <c r="A822" s="80">
        <v>45776.381365740737</v>
      </c>
      <c r="B822" t="s">
        <v>719</v>
      </c>
      <c r="C822" t="s">
        <v>720</v>
      </c>
      <c r="D822" t="s">
        <v>721</v>
      </c>
      <c r="E822">
        <v>1</v>
      </c>
      <c r="F822">
        <v>24990</v>
      </c>
      <c r="G822">
        <v>5000</v>
      </c>
    </row>
    <row r="823" spans="1:7" x14ac:dyDescent="0.3">
      <c r="A823" s="80">
        <v>45776.728449074071</v>
      </c>
      <c r="B823" t="s">
        <v>719</v>
      </c>
      <c r="C823" t="s">
        <v>720</v>
      </c>
      <c r="D823" t="s">
        <v>721</v>
      </c>
      <c r="E823">
        <v>1</v>
      </c>
      <c r="F823">
        <v>24990</v>
      </c>
      <c r="G823">
        <v>5000</v>
      </c>
    </row>
    <row r="824" spans="1:7" x14ac:dyDescent="0.3">
      <c r="A824" s="80">
        <v>45776.728449074071</v>
      </c>
      <c r="B824" t="s">
        <v>682</v>
      </c>
      <c r="C824" t="s">
        <v>701</v>
      </c>
      <c r="D824" t="s">
        <v>702</v>
      </c>
      <c r="E824">
        <v>1</v>
      </c>
      <c r="F824">
        <v>24990</v>
      </c>
      <c r="G824">
        <v>4500</v>
      </c>
    </row>
    <row r="825" spans="1:7" x14ac:dyDescent="0.3">
      <c r="A825" s="80">
        <v>45776.737962962958</v>
      </c>
      <c r="B825" t="s">
        <v>682</v>
      </c>
      <c r="C825" t="s">
        <v>701</v>
      </c>
      <c r="D825" t="s">
        <v>702</v>
      </c>
      <c r="E825">
        <v>1</v>
      </c>
      <c r="F825">
        <v>24990</v>
      </c>
      <c r="G825">
        <v>4500</v>
      </c>
    </row>
    <row r="826" spans="1:7" x14ac:dyDescent="0.3">
      <c r="A826" s="80">
        <v>45776.917337962957</v>
      </c>
      <c r="B826" t="s">
        <v>719</v>
      </c>
      <c r="C826" t="s">
        <v>720</v>
      </c>
      <c r="D826" t="s">
        <v>721</v>
      </c>
      <c r="E826">
        <v>1</v>
      </c>
      <c r="F826">
        <v>24990</v>
      </c>
      <c r="G826">
        <v>5000</v>
      </c>
    </row>
    <row r="827" spans="1:7" x14ac:dyDescent="0.3">
      <c r="A827" s="80">
        <v>45777.471238425933</v>
      </c>
      <c r="B827" t="s">
        <v>677</v>
      </c>
      <c r="C827" t="s">
        <v>706</v>
      </c>
      <c r="D827" t="s">
        <v>707</v>
      </c>
      <c r="E827">
        <v>1</v>
      </c>
      <c r="F827">
        <v>29990</v>
      </c>
      <c r="G827">
        <v>5000</v>
      </c>
    </row>
    <row r="828" spans="1:7" x14ac:dyDescent="0.3">
      <c r="A828" s="80">
        <v>45777.503680555557</v>
      </c>
      <c r="B828" t="s">
        <v>719</v>
      </c>
      <c r="C828" t="s">
        <v>720</v>
      </c>
      <c r="D828" t="s">
        <v>721</v>
      </c>
      <c r="E828">
        <v>1</v>
      </c>
      <c r="F828">
        <v>24990</v>
      </c>
      <c r="G828">
        <v>5000</v>
      </c>
    </row>
    <row r="829" spans="1:7" x14ac:dyDescent="0.3">
      <c r="A829" s="80">
        <v>45777.521145833343</v>
      </c>
      <c r="B829" t="s">
        <v>677</v>
      </c>
      <c r="C829" t="s">
        <v>706</v>
      </c>
      <c r="D829" t="s">
        <v>707</v>
      </c>
      <c r="E829">
        <v>1</v>
      </c>
      <c r="F829">
        <v>29990</v>
      </c>
      <c r="G829">
        <v>5000</v>
      </c>
    </row>
    <row r="830" spans="1:7" x14ac:dyDescent="0.3">
      <c r="A830" s="80">
        <v>45777.916319444441</v>
      </c>
      <c r="B830" t="s">
        <v>682</v>
      </c>
      <c r="C830" t="s">
        <v>701</v>
      </c>
      <c r="D830" t="s">
        <v>702</v>
      </c>
      <c r="E830">
        <v>1</v>
      </c>
      <c r="F830">
        <v>24990</v>
      </c>
      <c r="G830">
        <v>4500</v>
      </c>
    </row>
    <row r="831" spans="1:7" x14ac:dyDescent="0.3">
      <c r="A831" s="80">
        <v>45777.954143518517</v>
      </c>
      <c r="B831" t="s">
        <v>682</v>
      </c>
      <c r="C831" t="s">
        <v>701</v>
      </c>
      <c r="D831" t="s">
        <v>702</v>
      </c>
      <c r="E831">
        <v>1</v>
      </c>
      <c r="F831">
        <v>24990</v>
      </c>
      <c r="G831">
        <v>4500</v>
      </c>
    </row>
    <row r="832" spans="1:7" x14ac:dyDescent="0.3">
      <c r="A832" s="80">
        <v>45778.07707175926</v>
      </c>
      <c r="B832" t="s">
        <v>719</v>
      </c>
      <c r="C832" t="s">
        <v>720</v>
      </c>
      <c r="D832" t="s">
        <v>721</v>
      </c>
      <c r="E832">
        <v>1</v>
      </c>
      <c r="F832">
        <v>24990</v>
      </c>
      <c r="G832">
        <v>5000</v>
      </c>
    </row>
    <row r="833" spans="1:7" x14ac:dyDescent="0.3">
      <c r="A833" s="80">
        <v>45778.792604166672</v>
      </c>
      <c r="B833" t="s">
        <v>719</v>
      </c>
      <c r="C833" t="s">
        <v>720</v>
      </c>
      <c r="D833" t="s">
        <v>721</v>
      </c>
      <c r="E833">
        <v>1</v>
      </c>
      <c r="F833">
        <v>24990</v>
      </c>
      <c r="G833">
        <v>5000</v>
      </c>
    </row>
    <row r="834" spans="1:7" x14ac:dyDescent="0.3">
      <c r="A834" s="80">
        <v>45779.413668981477</v>
      </c>
      <c r="B834" t="s">
        <v>719</v>
      </c>
      <c r="C834" t="s">
        <v>720</v>
      </c>
      <c r="D834" t="s">
        <v>721</v>
      </c>
      <c r="E834">
        <v>1</v>
      </c>
      <c r="F834">
        <v>24990</v>
      </c>
      <c r="G834">
        <v>5000</v>
      </c>
    </row>
    <row r="835" spans="1:7" x14ac:dyDescent="0.3">
      <c r="A835" s="80">
        <v>45779.526863425926</v>
      </c>
      <c r="B835" t="s">
        <v>682</v>
      </c>
      <c r="C835" t="s">
        <v>701</v>
      </c>
      <c r="D835" t="s">
        <v>702</v>
      </c>
      <c r="E835">
        <v>1</v>
      </c>
      <c r="F835">
        <v>24990</v>
      </c>
      <c r="G835">
        <v>4500</v>
      </c>
    </row>
    <row r="836" spans="1:7" x14ac:dyDescent="0.3">
      <c r="A836" s="80">
        <v>45779.625810185193</v>
      </c>
      <c r="B836" t="s">
        <v>677</v>
      </c>
      <c r="C836" t="s">
        <v>706</v>
      </c>
      <c r="D836" t="s">
        <v>707</v>
      </c>
      <c r="E836">
        <v>1</v>
      </c>
      <c r="F836">
        <v>29990</v>
      </c>
      <c r="G836">
        <v>5000</v>
      </c>
    </row>
    <row r="837" spans="1:7" x14ac:dyDescent="0.3">
      <c r="A837" s="80">
        <v>45779.700925925928</v>
      </c>
      <c r="B837" t="s">
        <v>719</v>
      </c>
      <c r="C837" t="s">
        <v>720</v>
      </c>
      <c r="D837" t="s">
        <v>721</v>
      </c>
      <c r="E837">
        <v>1</v>
      </c>
      <c r="F837">
        <v>24990</v>
      </c>
      <c r="G837">
        <v>5000</v>
      </c>
    </row>
    <row r="838" spans="1:7" x14ac:dyDescent="0.3">
      <c r="A838" s="80">
        <v>45780.38784722222</v>
      </c>
      <c r="B838" t="s">
        <v>719</v>
      </c>
      <c r="C838" t="s">
        <v>720</v>
      </c>
      <c r="D838" t="s">
        <v>721</v>
      </c>
      <c r="E838">
        <v>1</v>
      </c>
      <c r="F838">
        <v>24990</v>
      </c>
      <c r="G838">
        <v>5000</v>
      </c>
    </row>
    <row r="839" spans="1:7" x14ac:dyDescent="0.3">
      <c r="A839" s="80">
        <v>45780.469976851848</v>
      </c>
      <c r="B839" t="s">
        <v>719</v>
      </c>
      <c r="C839" t="s">
        <v>720</v>
      </c>
      <c r="D839" t="s">
        <v>721</v>
      </c>
      <c r="E839">
        <v>1</v>
      </c>
      <c r="F839">
        <v>24990</v>
      </c>
      <c r="G839">
        <v>5000</v>
      </c>
    </row>
    <row r="840" spans="1:7" x14ac:dyDescent="0.3">
      <c r="A840" s="80">
        <v>45780.527604166673</v>
      </c>
      <c r="B840" t="s">
        <v>719</v>
      </c>
      <c r="C840" t="s">
        <v>720</v>
      </c>
      <c r="D840" t="s">
        <v>721</v>
      </c>
      <c r="E840">
        <v>1</v>
      </c>
      <c r="F840">
        <v>29990</v>
      </c>
      <c r="G840">
        <v>5000</v>
      </c>
    </row>
    <row r="841" spans="1:7" x14ac:dyDescent="0.3">
      <c r="A841" s="80">
        <v>45780.879074074073</v>
      </c>
      <c r="B841" t="s">
        <v>719</v>
      </c>
      <c r="C841" t="s">
        <v>720</v>
      </c>
      <c r="D841" t="s">
        <v>721</v>
      </c>
      <c r="E841">
        <v>1</v>
      </c>
      <c r="F841">
        <v>24990</v>
      </c>
      <c r="G841">
        <v>5000</v>
      </c>
    </row>
    <row r="842" spans="1:7" x14ac:dyDescent="0.3">
      <c r="A842" s="80">
        <v>45781.416215277779</v>
      </c>
      <c r="B842" t="s">
        <v>682</v>
      </c>
      <c r="C842" t="s">
        <v>701</v>
      </c>
      <c r="D842" t="s">
        <v>702</v>
      </c>
      <c r="E842">
        <v>1</v>
      </c>
      <c r="F842">
        <v>24990</v>
      </c>
      <c r="G842">
        <v>4500</v>
      </c>
    </row>
    <row r="843" spans="1:7" x14ac:dyDescent="0.3">
      <c r="A843" s="80">
        <v>45781.458657407413</v>
      </c>
      <c r="B843" t="s">
        <v>719</v>
      </c>
      <c r="C843" t="s">
        <v>720</v>
      </c>
      <c r="D843" t="s">
        <v>721</v>
      </c>
      <c r="E843">
        <v>1</v>
      </c>
      <c r="F843">
        <v>24990</v>
      </c>
      <c r="G843">
        <v>5000</v>
      </c>
    </row>
    <row r="844" spans="1:7" x14ac:dyDescent="0.3">
      <c r="A844" s="80">
        <v>45781.630497685182</v>
      </c>
      <c r="B844" t="s">
        <v>682</v>
      </c>
      <c r="C844" t="s">
        <v>701</v>
      </c>
      <c r="D844" t="s">
        <v>702</v>
      </c>
      <c r="E844">
        <v>1</v>
      </c>
      <c r="F844">
        <v>24990</v>
      </c>
      <c r="G844">
        <v>4500</v>
      </c>
    </row>
    <row r="845" spans="1:7" x14ac:dyDescent="0.3">
      <c r="A845" s="80">
        <v>45781.85052083333</v>
      </c>
      <c r="B845" t="s">
        <v>719</v>
      </c>
      <c r="C845" t="s">
        <v>720</v>
      </c>
      <c r="D845" t="s">
        <v>721</v>
      </c>
      <c r="E845">
        <v>1</v>
      </c>
      <c r="F845">
        <v>24990</v>
      </c>
      <c r="G845">
        <v>5000</v>
      </c>
    </row>
    <row r="846" spans="1:7" x14ac:dyDescent="0.3">
      <c r="A846" s="80">
        <v>45781.960821759261</v>
      </c>
      <c r="B846" t="s">
        <v>719</v>
      </c>
      <c r="C846" t="s">
        <v>720</v>
      </c>
      <c r="D846" t="s">
        <v>721</v>
      </c>
      <c r="E846">
        <v>1</v>
      </c>
      <c r="F846">
        <v>24990</v>
      </c>
      <c r="G846">
        <v>5000</v>
      </c>
    </row>
    <row r="847" spans="1:7" x14ac:dyDescent="0.3">
      <c r="A847" s="80">
        <v>45782.371087962973</v>
      </c>
      <c r="B847" t="s">
        <v>719</v>
      </c>
      <c r="C847" t="s">
        <v>720</v>
      </c>
      <c r="D847" t="s">
        <v>721</v>
      </c>
      <c r="E847">
        <v>1</v>
      </c>
      <c r="F847">
        <v>24990</v>
      </c>
      <c r="G847">
        <v>5000</v>
      </c>
    </row>
    <row r="848" spans="1:7" x14ac:dyDescent="0.3">
      <c r="A848" s="80">
        <v>45782.375092592592</v>
      </c>
      <c r="B848" t="s">
        <v>719</v>
      </c>
      <c r="C848" t="s">
        <v>720</v>
      </c>
      <c r="D848" t="s">
        <v>721</v>
      </c>
      <c r="E848">
        <v>1</v>
      </c>
      <c r="F848">
        <v>29990</v>
      </c>
      <c r="G848">
        <v>5000</v>
      </c>
    </row>
    <row r="849" spans="1:7" x14ac:dyDescent="0.3">
      <c r="A849" s="80">
        <v>45782.431805555563</v>
      </c>
      <c r="B849" t="s">
        <v>719</v>
      </c>
      <c r="C849" t="s">
        <v>720</v>
      </c>
      <c r="D849" t="s">
        <v>721</v>
      </c>
      <c r="E849">
        <v>1</v>
      </c>
      <c r="F849">
        <v>24990</v>
      </c>
      <c r="G849">
        <v>5000</v>
      </c>
    </row>
    <row r="850" spans="1:7" x14ac:dyDescent="0.3">
      <c r="A850" s="80">
        <v>45782.482951388891</v>
      </c>
      <c r="B850" t="s">
        <v>719</v>
      </c>
      <c r="C850" t="s">
        <v>720</v>
      </c>
      <c r="D850" t="s">
        <v>721</v>
      </c>
      <c r="E850">
        <v>1</v>
      </c>
      <c r="F850">
        <v>24990</v>
      </c>
      <c r="G850">
        <v>5000</v>
      </c>
    </row>
    <row r="851" spans="1:7" x14ac:dyDescent="0.3">
      <c r="A851" s="80">
        <v>45782.510995370372</v>
      </c>
      <c r="B851" t="s">
        <v>711</v>
      </c>
      <c r="C851" t="s">
        <v>712</v>
      </c>
      <c r="D851" t="s">
        <v>713</v>
      </c>
      <c r="E851">
        <v>1</v>
      </c>
      <c r="F851">
        <v>9990</v>
      </c>
      <c r="G851">
        <v>3000</v>
      </c>
    </row>
    <row r="852" spans="1:7" x14ac:dyDescent="0.3">
      <c r="A852" s="80">
        <v>45782.510995370372</v>
      </c>
      <c r="B852" t="s">
        <v>719</v>
      </c>
      <c r="C852" t="s">
        <v>720</v>
      </c>
      <c r="D852" t="s">
        <v>721</v>
      </c>
      <c r="E852">
        <v>2</v>
      </c>
      <c r="F852">
        <v>49980</v>
      </c>
      <c r="G852">
        <v>10000</v>
      </c>
    </row>
    <row r="853" spans="1:7" x14ac:dyDescent="0.3">
      <c r="A853" s="80">
        <v>45782.65185185185</v>
      </c>
      <c r="B853" t="s">
        <v>682</v>
      </c>
      <c r="C853" t="s">
        <v>701</v>
      </c>
      <c r="D853" t="s">
        <v>702</v>
      </c>
      <c r="E853">
        <v>1</v>
      </c>
      <c r="F853">
        <v>24990</v>
      </c>
      <c r="G853">
        <v>4500</v>
      </c>
    </row>
    <row r="854" spans="1:7" x14ac:dyDescent="0.3">
      <c r="A854" s="80">
        <v>45782.65185185185</v>
      </c>
      <c r="B854" t="s">
        <v>703</v>
      </c>
      <c r="C854" t="s">
        <v>704</v>
      </c>
      <c r="D854" t="s">
        <v>705</v>
      </c>
      <c r="E854">
        <v>1</v>
      </c>
      <c r="F854">
        <v>9990</v>
      </c>
      <c r="G854">
        <v>500</v>
      </c>
    </row>
    <row r="855" spans="1:7" x14ac:dyDescent="0.3">
      <c r="A855" s="80">
        <v>45782.67627314815</v>
      </c>
      <c r="B855" t="s">
        <v>719</v>
      </c>
      <c r="C855" t="s">
        <v>720</v>
      </c>
      <c r="D855" t="s">
        <v>721</v>
      </c>
      <c r="E855">
        <v>1</v>
      </c>
      <c r="F855">
        <v>24990</v>
      </c>
      <c r="G855">
        <v>5000</v>
      </c>
    </row>
    <row r="856" spans="1:7" x14ac:dyDescent="0.3">
      <c r="A856" s="80">
        <v>45782.711087962962</v>
      </c>
      <c r="B856" t="s">
        <v>725</v>
      </c>
      <c r="C856" t="s">
        <v>715</v>
      </c>
      <c r="D856" t="s">
        <v>726</v>
      </c>
      <c r="E856">
        <v>1</v>
      </c>
      <c r="F856">
        <v>48990</v>
      </c>
      <c r="G856">
        <v>12630</v>
      </c>
    </row>
    <row r="857" spans="1:7" x14ac:dyDescent="0.3">
      <c r="A857" s="80">
        <v>45782.810983796298</v>
      </c>
      <c r="B857" t="s">
        <v>719</v>
      </c>
      <c r="C857" t="s">
        <v>720</v>
      </c>
      <c r="D857" t="s">
        <v>721</v>
      </c>
      <c r="E857">
        <v>1</v>
      </c>
      <c r="F857">
        <v>24990</v>
      </c>
      <c r="G857">
        <v>5000</v>
      </c>
    </row>
    <row r="858" spans="1:7" x14ac:dyDescent="0.3">
      <c r="A858" s="80">
        <v>45782.811435185176</v>
      </c>
      <c r="B858" t="s">
        <v>719</v>
      </c>
      <c r="C858" t="s">
        <v>720</v>
      </c>
      <c r="D858" t="s">
        <v>721</v>
      </c>
      <c r="E858">
        <v>1</v>
      </c>
      <c r="F858">
        <v>24990</v>
      </c>
      <c r="G858">
        <v>5000</v>
      </c>
    </row>
    <row r="859" spans="1:7" x14ac:dyDescent="0.3">
      <c r="A859" s="80">
        <v>45782.889780092592</v>
      </c>
      <c r="B859" t="s">
        <v>677</v>
      </c>
      <c r="C859" t="s">
        <v>706</v>
      </c>
      <c r="D859" t="s">
        <v>707</v>
      </c>
      <c r="E859">
        <v>1</v>
      </c>
      <c r="F859">
        <v>29990</v>
      </c>
      <c r="G859">
        <v>5000</v>
      </c>
    </row>
    <row r="860" spans="1:7" x14ac:dyDescent="0.3">
      <c r="A860" s="80">
        <v>45783.392083333332</v>
      </c>
      <c r="B860" t="s">
        <v>719</v>
      </c>
      <c r="C860" t="s">
        <v>720</v>
      </c>
      <c r="D860" t="s">
        <v>721</v>
      </c>
      <c r="E860">
        <v>1</v>
      </c>
      <c r="F860">
        <v>24990</v>
      </c>
      <c r="G860">
        <v>5000</v>
      </c>
    </row>
    <row r="861" spans="1:7" x14ac:dyDescent="0.3">
      <c r="A861" s="80">
        <v>45783.392083333332</v>
      </c>
      <c r="B861" t="s">
        <v>722</v>
      </c>
      <c r="C861" t="s">
        <v>723</v>
      </c>
      <c r="D861" t="s">
        <v>724</v>
      </c>
      <c r="E861">
        <v>1</v>
      </c>
      <c r="F861">
        <v>28990</v>
      </c>
      <c r="G861">
        <v>8769</v>
      </c>
    </row>
    <row r="862" spans="1:7" x14ac:dyDescent="0.3">
      <c r="A862" s="80">
        <v>45783.512812499997</v>
      </c>
      <c r="B862" t="s">
        <v>719</v>
      </c>
      <c r="C862" t="s">
        <v>720</v>
      </c>
      <c r="D862" t="s">
        <v>721</v>
      </c>
      <c r="E862">
        <v>1</v>
      </c>
      <c r="F862">
        <v>24990</v>
      </c>
      <c r="G862">
        <v>5000</v>
      </c>
    </row>
    <row r="863" spans="1:7" x14ac:dyDescent="0.3">
      <c r="A863" s="80">
        <v>45783.538437499999</v>
      </c>
      <c r="B863" t="s">
        <v>682</v>
      </c>
      <c r="C863" t="s">
        <v>701</v>
      </c>
      <c r="D863" t="s">
        <v>702</v>
      </c>
      <c r="E863">
        <v>1</v>
      </c>
      <c r="F863">
        <v>24990</v>
      </c>
      <c r="G863">
        <v>4500</v>
      </c>
    </row>
    <row r="864" spans="1:7" x14ac:dyDescent="0.3">
      <c r="A864" s="80">
        <v>45783.644004629627</v>
      </c>
      <c r="B864" t="s">
        <v>677</v>
      </c>
      <c r="C864" t="s">
        <v>706</v>
      </c>
      <c r="D864" t="s">
        <v>707</v>
      </c>
      <c r="E864">
        <v>1</v>
      </c>
      <c r="F864">
        <v>29990</v>
      </c>
      <c r="G864">
        <v>5000</v>
      </c>
    </row>
    <row r="865" spans="1:7" x14ac:dyDescent="0.3">
      <c r="A865" s="80">
        <v>45784.639421296299</v>
      </c>
      <c r="B865" t="s">
        <v>719</v>
      </c>
      <c r="C865" t="s">
        <v>720</v>
      </c>
      <c r="D865" t="s">
        <v>721</v>
      </c>
      <c r="E865">
        <v>1</v>
      </c>
      <c r="F865">
        <v>24990</v>
      </c>
      <c r="G865">
        <v>5000</v>
      </c>
    </row>
    <row r="866" spans="1:7" x14ac:dyDescent="0.3">
      <c r="A866" s="80">
        <v>45784.66777777778</v>
      </c>
      <c r="B866" t="s">
        <v>677</v>
      </c>
      <c r="C866" t="s">
        <v>706</v>
      </c>
      <c r="D866" t="s">
        <v>707</v>
      </c>
      <c r="E866">
        <v>1</v>
      </c>
      <c r="F866">
        <v>29990</v>
      </c>
      <c r="G866">
        <v>5000</v>
      </c>
    </row>
    <row r="867" spans="1:7" x14ac:dyDescent="0.3">
      <c r="A867" s="80">
        <v>45784.692615740743</v>
      </c>
      <c r="B867" t="s">
        <v>719</v>
      </c>
      <c r="C867" t="s">
        <v>720</v>
      </c>
      <c r="D867" t="s">
        <v>721</v>
      </c>
      <c r="E867">
        <v>1</v>
      </c>
      <c r="F867">
        <v>24990</v>
      </c>
      <c r="G867">
        <v>5000</v>
      </c>
    </row>
    <row r="868" spans="1:7" x14ac:dyDescent="0.3">
      <c r="A868" s="80">
        <v>45785.500694444447</v>
      </c>
      <c r="B868" t="s">
        <v>682</v>
      </c>
      <c r="C868" t="s">
        <v>701</v>
      </c>
      <c r="D868" t="s">
        <v>702</v>
      </c>
      <c r="E868">
        <v>1</v>
      </c>
      <c r="F868">
        <v>24990</v>
      </c>
      <c r="G868">
        <v>4500</v>
      </c>
    </row>
    <row r="869" spans="1:7" x14ac:dyDescent="0.3">
      <c r="A869" s="80">
        <v>45785.644409722219</v>
      </c>
      <c r="B869" t="s">
        <v>719</v>
      </c>
      <c r="C869" t="s">
        <v>720</v>
      </c>
      <c r="D869" t="s">
        <v>721</v>
      </c>
      <c r="E869">
        <v>2</v>
      </c>
      <c r="F869">
        <v>49980</v>
      </c>
      <c r="G869">
        <v>10000</v>
      </c>
    </row>
    <row r="870" spans="1:7" x14ac:dyDescent="0.3">
      <c r="A870" s="80">
        <v>45785.709953703707</v>
      </c>
      <c r="B870" t="s">
        <v>719</v>
      </c>
      <c r="C870" t="s">
        <v>720</v>
      </c>
      <c r="D870" t="s">
        <v>721</v>
      </c>
      <c r="E870">
        <v>1</v>
      </c>
      <c r="F870">
        <v>24990</v>
      </c>
      <c r="G870">
        <v>5000</v>
      </c>
    </row>
    <row r="871" spans="1:7" x14ac:dyDescent="0.3">
      <c r="A871" s="80">
        <v>45785.745034722233</v>
      </c>
      <c r="B871" t="s">
        <v>677</v>
      </c>
      <c r="C871" t="s">
        <v>706</v>
      </c>
      <c r="D871" t="s">
        <v>707</v>
      </c>
      <c r="E871">
        <v>1</v>
      </c>
      <c r="F871">
        <v>29990</v>
      </c>
      <c r="G871">
        <v>5000</v>
      </c>
    </row>
    <row r="872" spans="1:7" x14ac:dyDescent="0.3">
      <c r="A872" s="80">
        <v>45785.823888888888</v>
      </c>
      <c r="B872" t="s">
        <v>719</v>
      </c>
      <c r="C872" t="s">
        <v>720</v>
      </c>
      <c r="D872" t="s">
        <v>721</v>
      </c>
      <c r="E872">
        <v>1</v>
      </c>
      <c r="F872">
        <v>24990</v>
      </c>
      <c r="G872">
        <v>5000</v>
      </c>
    </row>
    <row r="873" spans="1:7" x14ac:dyDescent="0.3">
      <c r="A873" s="80">
        <v>45785.848009259258</v>
      </c>
      <c r="B873" t="s">
        <v>719</v>
      </c>
      <c r="C873" t="s">
        <v>720</v>
      </c>
      <c r="D873" t="s">
        <v>721</v>
      </c>
      <c r="E873">
        <v>1</v>
      </c>
      <c r="F873">
        <v>24990</v>
      </c>
      <c r="G873">
        <v>5000</v>
      </c>
    </row>
    <row r="874" spans="1:7" x14ac:dyDescent="0.3">
      <c r="A874" s="80">
        <v>45786.350162037037</v>
      </c>
      <c r="B874" t="s">
        <v>719</v>
      </c>
      <c r="C874" t="s">
        <v>720</v>
      </c>
      <c r="D874" t="s">
        <v>721</v>
      </c>
      <c r="E874">
        <v>1</v>
      </c>
      <c r="F874">
        <v>24990</v>
      </c>
      <c r="G874">
        <v>5000</v>
      </c>
    </row>
    <row r="875" spans="1:7" x14ac:dyDescent="0.3">
      <c r="A875" s="80">
        <v>45786.368668981479</v>
      </c>
      <c r="B875" t="s">
        <v>719</v>
      </c>
      <c r="C875" t="s">
        <v>720</v>
      </c>
      <c r="D875" t="s">
        <v>721</v>
      </c>
      <c r="E875">
        <v>1</v>
      </c>
      <c r="F875">
        <v>24990</v>
      </c>
      <c r="G875">
        <v>5000</v>
      </c>
    </row>
    <row r="876" spans="1:7" x14ac:dyDescent="0.3">
      <c r="A876" s="80">
        <v>45786.390069444453</v>
      </c>
      <c r="B876" t="s">
        <v>719</v>
      </c>
      <c r="C876" t="s">
        <v>720</v>
      </c>
      <c r="D876" t="s">
        <v>721</v>
      </c>
      <c r="E876">
        <v>1</v>
      </c>
      <c r="F876">
        <v>24990</v>
      </c>
      <c r="G876">
        <v>5000</v>
      </c>
    </row>
    <row r="877" spans="1:7" x14ac:dyDescent="0.3">
      <c r="A877" s="80">
        <v>45786.421990740739</v>
      </c>
      <c r="B877" t="s">
        <v>719</v>
      </c>
      <c r="C877" t="s">
        <v>720</v>
      </c>
      <c r="D877" t="s">
        <v>721</v>
      </c>
      <c r="E877">
        <v>1</v>
      </c>
      <c r="F877">
        <v>24990</v>
      </c>
      <c r="G877">
        <v>5000</v>
      </c>
    </row>
    <row r="878" spans="1:7" x14ac:dyDescent="0.3">
      <c r="A878" s="80">
        <v>45786.494571759264</v>
      </c>
      <c r="B878" t="s">
        <v>703</v>
      </c>
      <c r="C878" t="s">
        <v>704</v>
      </c>
      <c r="D878" t="s">
        <v>705</v>
      </c>
      <c r="E878">
        <v>1</v>
      </c>
      <c r="F878">
        <v>4995</v>
      </c>
      <c r="G878">
        <v>500</v>
      </c>
    </row>
    <row r="879" spans="1:7" x14ac:dyDescent="0.3">
      <c r="A879" s="80">
        <v>45786.494571759264</v>
      </c>
      <c r="B879" t="s">
        <v>682</v>
      </c>
      <c r="C879" t="s">
        <v>701</v>
      </c>
      <c r="D879" t="s">
        <v>702</v>
      </c>
      <c r="E879">
        <v>1</v>
      </c>
      <c r="F879">
        <v>24990</v>
      </c>
      <c r="G879">
        <v>4500</v>
      </c>
    </row>
    <row r="880" spans="1:7" x14ac:dyDescent="0.3">
      <c r="A880" s="80">
        <v>45786.711342592593</v>
      </c>
      <c r="B880" t="s">
        <v>677</v>
      </c>
      <c r="C880" t="s">
        <v>706</v>
      </c>
      <c r="D880" t="s">
        <v>707</v>
      </c>
      <c r="E880">
        <v>1</v>
      </c>
      <c r="F880">
        <v>29990</v>
      </c>
      <c r="G880">
        <v>5000</v>
      </c>
    </row>
    <row r="881" spans="1:7" x14ac:dyDescent="0.3">
      <c r="A881" s="80">
        <v>45787.540416666663</v>
      </c>
      <c r="B881" t="s">
        <v>719</v>
      </c>
      <c r="C881" t="s">
        <v>720</v>
      </c>
      <c r="D881" t="s">
        <v>721</v>
      </c>
      <c r="E881">
        <v>1</v>
      </c>
      <c r="F881">
        <v>24990</v>
      </c>
      <c r="G881">
        <v>5000</v>
      </c>
    </row>
    <row r="882" spans="1:7" x14ac:dyDescent="0.3">
      <c r="A882" s="80">
        <v>45787.58221064815</v>
      </c>
      <c r="B882" t="s">
        <v>682</v>
      </c>
      <c r="C882" t="s">
        <v>701</v>
      </c>
      <c r="D882" t="s">
        <v>702</v>
      </c>
      <c r="E882">
        <v>1</v>
      </c>
      <c r="F882">
        <v>24990</v>
      </c>
      <c r="G882">
        <v>4500</v>
      </c>
    </row>
    <row r="883" spans="1:7" x14ac:dyDescent="0.3">
      <c r="A883" s="80">
        <v>45787.58221064815</v>
      </c>
      <c r="B883" t="s">
        <v>719</v>
      </c>
      <c r="C883" t="s">
        <v>720</v>
      </c>
      <c r="D883" t="s">
        <v>721</v>
      </c>
      <c r="E883">
        <v>1</v>
      </c>
      <c r="F883">
        <v>24990</v>
      </c>
      <c r="G883">
        <v>5000</v>
      </c>
    </row>
    <row r="884" spans="1:7" x14ac:dyDescent="0.3">
      <c r="A884" s="80">
        <v>45787.974548611113</v>
      </c>
      <c r="B884" t="s">
        <v>725</v>
      </c>
      <c r="C884" t="s">
        <v>715</v>
      </c>
      <c r="D884" t="s">
        <v>726</v>
      </c>
      <c r="E884">
        <v>1</v>
      </c>
      <c r="F884">
        <v>48990</v>
      </c>
      <c r="G884">
        <v>12630</v>
      </c>
    </row>
    <row r="885" spans="1:7" x14ac:dyDescent="0.3">
      <c r="A885" s="80">
        <v>45788.326724537037</v>
      </c>
      <c r="B885" t="s">
        <v>719</v>
      </c>
      <c r="C885" t="s">
        <v>720</v>
      </c>
      <c r="D885" t="s">
        <v>721</v>
      </c>
      <c r="E885">
        <v>1</v>
      </c>
      <c r="F885">
        <v>24990</v>
      </c>
      <c r="G885">
        <v>5000</v>
      </c>
    </row>
    <row r="886" spans="1:7" x14ac:dyDescent="0.3">
      <c r="A886" s="80">
        <v>45788.388749999998</v>
      </c>
      <c r="B886" t="s">
        <v>719</v>
      </c>
      <c r="C886" t="s">
        <v>720</v>
      </c>
      <c r="D886" t="s">
        <v>721</v>
      </c>
      <c r="E886">
        <v>1</v>
      </c>
      <c r="F886">
        <v>24990</v>
      </c>
      <c r="G886">
        <v>5000</v>
      </c>
    </row>
    <row r="887" spans="1:7" x14ac:dyDescent="0.3">
      <c r="A887" s="80">
        <v>45788.618217592593</v>
      </c>
      <c r="B887" t="s">
        <v>682</v>
      </c>
      <c r="C887" t="s">
        <v>701</v>
      </c>
      <c r="D887" t="s">
        <v>702</v>
      </c>
      <c r="E887">
        <v>2</v>
      </c>
      <c r="F887">
        <v>49980</v>
      </c>
      <c r="G887">
        <v>9000</v>
      </c>
    </row>
    <row r="888" spans="1:7" x14ac:dyDescent="0.3">
      <c r="A888" s="80">
        <v>45788.706620370373</v>
      </c>
      <c r="B888" t="s">
        <v>719</v>
      </c>
      <c r="C888" t="s">
        <v>720</v>
      </c>
      <c r="D888" t="s">
        <v>721</v>
      </c>
      <c r="E888">
        <v>1</v>
      </c>
      <c r="F888">
        <v>24990</v>
      </c>
      <c r="G888">
        <v>5000</v>
      </c>
    </row>
    <row r="889" spans="1:7" x14ac:dyDescent="0.3">
      <c r="A889" s="80">
        <v>45788.752743055556</v>
      </c>
      <c r="B889" t="s">
        <v>719</v>
      </c>
      <c r="C889" t="s">
        <v>720</v>
      </c>
      <c r="D889" t="s">
        <v>721</v>
      </c>
      <c r="E889">
        <v>1</v>
      </c>
      <c r="F889">
        <v>24990</v>
      </c>
      <c r="G889">
        <v>5000</v>
      </c>
    </row>
    <row r="890" spans="1:7" x14ac:dyDescent="0.3">
      <c r="A890" s="80">
        <v>45788.860451388893</v>
      </c>
      <c r="B890" t="s">
        <v>719</v>
      </c>
      <c r="C890" t="s">
        <v>720</v>
      </c>
      <c r="D890" t="s">
        <v>721</v>
      </c>
      <c r="E890">
        <v>1</v>
      </c>
      <c r="F890">
        <v>24990</v>
      </c>
      <c r="G890">
        <v>5000</v>
      </c>
    </row>
    <row r="891" spans="1:7" x14ac:dyDescent="0.3">
      <c r="A891" s="80">
        <v>45789.565601851849</v>
      </c>
      <c r="B891" t="s">
        <v>719</v>
      </c>
      <c r="C891" t="s">
        <v>720</v>
      </c>
      <c r="D891" t="s">
        <v>721</v>
      </c>
      <c r="E891">
        <v>1</v>
      </c>
      <c r="F891">
        <v>24990</v>
      </c>
      <c r="G891">
        <v>5000</v>
      </c>
    </row>
    <row r="892" spans="1:7" x14ac:dyDescent="0.3">
      <c r="A892" s="80">
        <v>45789.700370370367</v>
      </c>
      <c r="B892" t="s">
        <v>719</v>
      </c>
      <c r="C892" t="s">
        <v>720</v>
      </c>
      <c r="D892" t="s">
        <v>721</v>
      </c>
      <c r="E892">
        <v>1</v>
      </c>
      <c r="F892">
        <v>24990</v>
      </c>
      <c r="G892">
        <v>5000</v>
      </c>
    </row>
    <row r="893" spans="1:7" x14ac:dyDescent="0.3">
      <c r="A893" s="80">
        <v>45789.713761574072</v>
      </c>
      <c r="B893" t="s">
        <v>719</v>
      </c>
      <c r="C893" t="s">
        <v>720</v>
      </c>
      <c r="D893" t="s">
        <v>721</v>
      </c>
      <c r="E893">
        <v>1</v>
      </c>
      <c r="F893">
        <v>24990</v>
      </c>
      <c r="G893">
        <v>5000</v>
      </c>
    </row>
    <row r="894" spans="1:7" x14ac:dyDescent="0.3">
      <c r="A894" s="80">
        <v>45790.757627314822</v>
      </c>
      <c r="B894" t="s">
        <v>719</v>
      </c>
      <c r="C894" t="s">
        <v>720</v>
      </c>
      <c r="D894" t="s">
        <v>721</v>
      </c>
      <c r="E894">
        <v>1</v>
      </c>
      <c r="F894">
        <v>24990</v>
      </c>
      <c r="G894">
        <v>5000</v>
      </c>
    </row>
    <row r="895" spans="1:7" x14ac:dyDescent="0.3">
      <c r="A895" s="80">
        <v>45791.401944444442</v>
      </c>
      <c r="B895" t="s">
        <v>677</v>
      </c>
      <c r="C895" t="s">
        <v>706</v>
      </c>
      <c r="D895" t="s">
        <v>707</v>
      </c>
      <c r="E895">
        <v>1</v>
      </c>
      <c r="F895">
        <v>29990</v>
      </c>
      <c r="G895">
        <v>5000</v>
      </c>
    </row>
    <row r="896" spans="1:7" x14ac:dyDescent="0.3">
      <c r="A896" s="80">
        <v>45791.59412037037</v>
      </c>
      <c r="B896" t="s">
        <v>719</v>
      </c>
      <c r="C896" t="s">
        <v>720</v>
      </c>
      <c r="D896" t="s">
        <v>721</v>
      </c>
      <c r="E896">
        <v>1</v>
      </c>
      <c r="F896">
        <v>24990</v>
      </c>
      <c r="G896">
        <v>5000</v>
      </c>
    </row>
    <row r="897" spans="1:7" x14ac:dyDescent="0.3">
      <c r="A897" s="80">
        <v>45791.777442129627</v>
      </c>
      <c r="B897" t="s">
        <v>719</v>
      </c>
      <c r="C897" t="s">
        <v>720</v>
      </c>
      <c r="D897" t="s">
        <v>721</v>
      </c>
      <c r="E897">
        <v>1</v>
      </c>
      <c r="F897">
        <v>29990</v>
      </c>
      <c r="G897">
        <v>5000</v>
      </c>
    </row>
    <row r="898" spans="1:7" x14ac:dyDescent="0.3">
      <c r="A898" s="80">
        <v>45791.806886574072</v>
      </c>
      <c r="B898" t="s">
        <v>719</v>
      </c>
      <c r="C898" t="s">
        <v>720</v>
      </c>
      <c r="D898" t="s">
        <v>721</v>
      </c>
      <c r="E898">
        <v>1</v>
      </c>
      <c r="F898">
        <v>24990</v>
      </c>
      <c r="G898">
        <v>5000</v>
      </c>
    </row>
    <row r="899" spans="1:7" x14ac:dyDescent="0.3">
      <c r="A899" s="80">
        <v>45792.459861111107</v>
      </c>
      <c r="B899" t="s">
        <v>719</v>
      </c>
      <c r="C899" t="s">
        <v>720</v>
      </c>
      <c r="D899" t="s">
        <v>721</v>
      </c>
      <c r="E899">
        <v>1</v>
      </c>
      <c r="F899">
        <v>24990</v>
      </c>
      <c r="G899">
        <v>5000</v>
      </c>
    </row>
    <row r="900" spans="1:7" x14ac:dyDescent="0.3">
      <c r="A900" s="80">
        <v>45792.465231481481</v>
      </c>
      <c r="B900" t="s">
        <v>703</v>
      </c>
      <c r="C900" t="s">
        <v>704</v>
      </c>
      <c r="D900" t="s">
        <v>705</v>
      </c>
      <c r="E900">
        <v>1</v>
      </c>
      <c r="F900">
        <v>9990</v>
      </c>
      <c r="G900">
        <v>500</v>
      </c>
    </row>
    <row r="901" spans="1:7" x14ac:dyDescent="0.3">
      <c r="A901" s="80">
        <v>45792.494004629632</v>
      </c>
      <c r="B901" t="s">
        <v>719</v>
      </c>
      <c r="C901" t="s">
        <v>720</v>
      </c>
      <c r="D901" t="s">
        <v>721</v>
      </c>
      <c r="E901">
        <v>1</v>
      </c>
      <c r="F901">
        <v>24990</v>
      </c>
      <c r="G901">
        <v>5000</v>
      </c>
    </row>
    <row r="902" spans="1:7" x14ac:dyDescent="0.3">
      <c r="A902" s="80">
        <v>45792.686041666668</v>
      </c>
      <c r="B902" t="s">
        <v>677</v>
      </c>
      <c r="C902" t="s">
        <v>706</v>
      </c>
      <c r="D902" t="s">
        <v>707</v>
      </c>
      <c r="E902">
        <v>1</v>
      </c>
      <c r="F902">
        <v>29990</v>
      </c>
      <c r="G902">
        <v>5000</v>
      </c>
    </row>
    <row r="903" spans="1:7" x14ac:dyDescent="0.3">
      <c r="A903" s="80">
        <v>45793.863692129627</v>
      </c>
      <c r="B903" t="s">
        <v>719</v>
      </c>
      <c r="C903" t="s">
        <v>720</v>
      </c>
      <c r="D903" t="s">
        <v>721</v>
      </c>
      <c r="E903">
        <v>1</v>
      </c>
      <c r="F903">
        <v>24990</v>
      </c>
      <c r="G903">
        <v>5000</v>
      </c>
    </row>
    <row r="904" spans="1:7" x14ac:dyDescent="0.3">
      <c r="A904" s="80">
        <v>45794.412048611113</v>
      </c>
      <c r="B904" t="s">
        <v>719</v>
      </c>
      <c r="C904" t="s">
        <v>720</v>
      </c>
      <c r="D904" t="s">
        <v>721</v>
      </c>
      <c r="E904">
        <v>1</v>
      </c>
      <c r="F904">
        <v>24990</v>
      </c>
      <c r="G904">
        <v>5000</v>
      </c>
    </row>
    <row r="905" spans="1:7" x14ac:dyDescent="0.3">
      <c r="A905" s="80">
        <v>45794.862002314818</v>
      </c>
      <c r="B905" t="s">
        <v>719</v>
      </c>
      <c r="C905" t="s">
        <v>720</v>
      </c>
      <c r="D905" t="s">
        <v>721</v>
      </c>
      <c r="E905">
        <v>1</v>
      </c>
      <c r="F905">
        <v>24990</v>
      </c>
      <c r="G905">
        <v>5000</v>
      </c>
    </row>
    <row r="906" spans="1:7" x14ac:dyDescent="0.3">
      <c r="A906" s="80">
        <v>45794.889687499999</v>
      </c>
      <c r="B906" t="s">
        <v>719</v>
      </c>
      <c r="C906" t="s">
        <v>720</v>
      </c>
      <c r="D906" t="s">
        <v>721</v>
      </c>
      <c r="E906">
        <v>1</v>
      </c>
      <c r="F906">
        <v>24990</v>
      </c>
      <c r="G906">
        <v>5000</v>
      </c>
    </row>
    <row r="907" spans="1:7" x14ac:dyDescent="0.3">
      <c r="A907" s="80">
        <v>45795.3747337963</v>
      </c>
      <c r="B907" t="s">
        <v>719</v>
      </c>
      <c r="C907" t="s">
        <v>720</v>
      </c>
      <c r="D907" t="s">
        <v>721</v>
      </c>
      <c r="E907">
        <v>1</v>
      </c>
      <c r="F907">
        <v>24990</v>
      </c>
      <c r="G907">
        <v>5000</v>
      </c>
    </row>
    <row r="908" spans="1:7" x14ac:dyDescent="0.3">
      <c r="A908" s="80">
        <v>45795.44</v>
      </c>
      <c r="B908" t="s">
        <v>725</v>
      </c>
      <c r="C908" t="s">
        <v>715</v>
      </c>
      <c r="D908" t="s">
        <v>726</v>
      </c>
      <c r="E908">
        <v>1</v>
      </c>
      <c r="F908">
        <v>48990</v>
      </c>
      <c r="G908">
        <v>12630</v>
      </c>
    </row>
    <row r="909" spans="1:7" x14ac:dyDescent="0.3">
      <c r="A909" s="80">
        <v>45795.624074074083</v>
      </c>
      <c r="B909" t="s">
        <v>719</v>
      </c>
      <c r="C909" t="s">
        <v>720</v>
      </c>
      <c r="D909" t="s">
        <v>721</v>
      </c>
      <c r="E909">
        <v>1</v>
      </c>
      <c r="F909">
        <v>24990</v>
      </c>
      <c r="G909">
        <v>5000</v>
      </c>
    </row>
    <row r="910" spans="1:7" x14ac:dyDescent="0.3">
      <c r="A910" s="80">
        <v>45795.811030092591</v>
      </c>
      <c r="B910" t="s">
        <v>719</v>
      </c>
      <c r="C910" t="s">
        <v>720</v>
      </c>
      <c r="D910" t="s">
        <v>721</v>
      </c>
      <c r="E910">
        <v>1</v>
      </c>
      <c r="F910">
        <v>24990</v>
      </c>
      <c r="G910">
        <v>5000</v>
      </c>
    </row>
    <row r="911" spans="1:7" x14ac:dyDescent="0.3">
      <c r="A911" s="80">
        <v>45796.408090277779</v>
      </c>
      <c r="B911" t="s">
        <v>719</v>
      </c>
      <c r="C911" t="s">
        <v>720</v>
      </c>
      <c r="D911" t="s">
        <v>721</v>
      </c>
      <c r="E911">
        <v>1</v>
      </c>
      <c r="F911">
        <v>24990</v>
      </c>
      <c r="G911">
        <v>5000</v>
      </c>
    </row>
    <row r="912" spans="1:7" x14ac:dyDescent="0.3">
      <c r="A912" s="80">
        <v>45796.926979166667</v>
      </c>
      <c r="B912" t="s">
        <v>719</v>
      </c>
      <c r="C912" t="s">
        <v>720</v>
      </c>
      <c r="D912" t="s">
        <v>721</v>
      </c>
      <c r="E912">
        <v>1</v>
      </c>
      <c r="F912">
        <v>29990</v>
      </c>
      <c r="G912">
        <v>5000</v>
      </c>
    </row>
    <row r="913" spans="1:7" x14ac:dyDescent="0.3">
      <c r="A913" s="80">
        <v>45796.935115740736</v>
      </c>
      <c r="B913" t="s">
        <v>677</v>
      </c>
      <c r="C913" t="s">
        <v>706</v>
      </c>
      <c r="D913" t="s">
        <v>707</v>
      </c>
      <c r="E913">
        <v>1</v>
      </c>
      <c r="F913">
        <v>29990</v>
      </c>
      <c r="G913">
        <v>5000</v>
      </c>
    </row>
    <row r="914" spans="1:7" x14ac:dyDescent="0.3">
      <c r="A914" s="80">
        <v>45797.362199074072</v>
      </c>
      <c r="B914" t="s">
        <v>719</v>
      </c>
      <c r="C914" t="s">
        <v>720</v>
      </c>
      <c r="D914" t="s">
        <v>721</v>
      </c>
      <c r="E914">
        <v>1</v>
      </c>
      <c r="F914">
        <v>24990</v>
      </c>
      <c r="G914">
        <v>5000</v>
      </c>
    </row>
    <row r="915" spans="1:7" x14ac:dyDescent="0.3">
      <c r="A915" s="80">
        <v>45797.496099537027</v>
      </c>
      <c r="B915" t="s">
        <v>719</v>
      </c>
      <c r="C915" t="s">
        <v>720</v>
      </c>
      <c r="D915" t="s">
        <v>721</v>
      </c>
      <c r="E915">
        <v>1</v>
      </c>
      <c r="F915">
        <v>24990</v>
      </c>
      <c r="G915">
        <v>5000</v>
      </c>
    </row>
    <row r="916" spans="1:7" x14ac:dyDescent="0.3">
      <c r="A916" s="80">
        <v>45797.705451388887</v>
      </c>
      <c r="B916" t="s">
        <v>682</v>
      </c>
      <c r="C916" t="s">
        <v>701</v>
      </c>
      <c r="D916" t="s">
        <v>702</v>
      </c>
      <c r="E916">
        <v>1</v>
      </c>
      <c r="F916">
        <v>24990</v>
      </c>
      <c r="G916">
        <v>4500</v>
      </c>
    </row>
    <row r="917" spans="1:7" x14ac:dyDescent="0.3">
      <c r="A917" s="80">
        <v>45797.722361111111</v>
      </c>
      <c r="B917" t="s">
        <v>719</v>
      </c>
      <c r="C917" t="s">
        <v>720</v>
      </c>
      <c r="D917" t="s">
        <v>721</v>
      </c>
      <c r="E917">
        <v>1</v>
      </c>
      <c r="F917">
        <v>24990</v>
      </c>
      <c r="G917">
        <v>5000</v>
      </c>
    </row>
    <row r="918" spans="1:7" x14ac:dyDescent="0.3">
      <c r="A918" s="80">
        <v>45797.791134259263</v>
      </c>
      <c r="B918" t="s">
        <v>719</v>
      </c>
      <c r="C918" t="s">
        <v>720</v>
      </c>
      <c r="D918" t="s">
        <v>721</v>
      </c>
      <c r="E918">
        <v>1</v>
      </c>
      <c r="F918">
        <v>29990</v>
      </c>
      <c r="G918">
        <v>5000</v>
      </c>
    </row>
    <row r="919" spans="1:7" x14ac:dyDescent="0.3">
      <c r="A919" s="80">
        <v>45797.87263888889</v>
      </c>
      <c r="B919" t="s">
        <v>719</v>
      </c>
      <c r="C919" t="s">
        <v>720</v>
      </c>
      <c r="D919" t="s">
        <v>721</v>
      </c>
      <c r="E919">
        <v>1</v>
      </c>
      <c r="F919">
        <v>24990</v>
      </c>
      <c r="G919">
        <v>5000</v>
      </c>
    </row>
    <row r="920" spans="1:7" x14ac:dyDescent="0.3">
      <c r="A920" s="80">
        <v>45798.025613425933</v>
      </c>
      <c r="B920" t="s">
        <v>719</v>
      </c>
      <c r="C920" t="s">
        <v>720</v>
      </c>
      <c r="D920" t="s">
        <v>721</v>
      </c>
      <c r="E920">
        <v>1</v>
      </c>
      <c r="F920">
        <v>24990</v>
      </c>
      <c r="G920">
        <v>5000</v>
      </c>
    </row>
    <row r="921" spans="1:7" x14ac:dyDescent="0.3">
      <c r="A921" s="80">
        <v>45798.394212962958</v>
      </c>
      <c r="B921" t="s">
        <v>719</v>
      </c>
      <c r="C921" t="s">
        <v>720</v>
      </c>
      <c r="D921" t="s">
        <v>721</v>
      </c>
      <c r="E921">
        <v>1</v>
      </c>
      <c r="F921">
        <v>24990</v>
      </c>
      <c r="G921">
        <v>5000</v>
      </c>
    </row>
    <row r="922" spans="1:7" x14ac:dyDescent="0.3">
      <c r="A922" s="80">
        <v>45798.446967592587</v>
      </c>
      <c r="B922" t="s">
        <v>725</v>
      </c>
      <c r="C922" t="s">
        <v>715</v>
      </c>
      <c r="D922" t="s">
        <v>726</v>
      </c>
      <c r="E922">
        <v>1</v>
      </c>
      <c r="F922">
        <v>48990</v>
      </c>
      <c r="G922">
        <v>12630</v>
      </c>
    </row>
    <row r="923" spans="1:7" x14ac:dyDescent="0.3">
      <c r="A923" s="80">
        <v>45798.464386574073</v>
      </c>
      <c r="B923" t="s">
        <v>725</v>
      </c>
      <c r="C923" t="s">
        <v>715</v>
      </c>
      <c r="D923" t="s">
        <v>726</v>
      </c>
      <c r="E923">
        <v>1</v>
      </c>
      <c r="F923">
        <v>48990</v>
      </c>
      <c r="G923">
        <v>12630</v>
      </c>
    </row>
    <row r="924" spans="1:7" x14ac:dyDescent="0.3">
      <c r="A924" s="80">
        <v>45798.538530092592</v>
      </c>
      <c r="B924" t="s">
        <v>719</v>
      </c>
      <c r="C924" t="s">
        <v>720</v>
      </c>
      <c r="D924" t="s">
        <v>721</v>
      </c>
      <c r="E924">
        <v>1</v>
      </c>
      <c r="F924">
        <v>24990</v>
      </c>
      <c r="G924">
        <v>5000</v>
      </c>
    </row>
    <row r="925" spans="1:7" x14ac:dyDescent="0.3">
      <c r="A925" s="80">
        <v>45798.5784375</v>
      </c>
      <c r="B925" t="s">
        <v>703</v>
      </c>
      <c r="C925" t="s">
        <v>704</v>
      </c>
      <c r="D925" t="s">
        <v>705</v>
      </c>
      <c r="E925">
        <v>1</v>
      </c>
      <c r="F925">
        <v>4995</v>
      </c>
      <c r="G925">
        <v>500</v>
      </c>
    </row>
    <row r="926" spans="1:7" x14ac:dyDescent="0.3">
      <c r="A926" s="80">
        <v>45798.5784375</v>
      </c>
      <c r="B926" t="s">
        <v>682</v>
      </c>
      <c r="C926" t="s">
        <v>701</v>
      </c>
      <c r="D926" t="s">
        <v>702</v>
      </c>
      <c r="E926">
        <v>2</v>
      </c>
      <c r="F926">
        <v>49980</v>
      </c>
      <c r="G926">
        <v>9000</v>
      </c>
    </row>
    <row r="927" spans="1:7" x14ac:dyDescent="0.3">
      <c r="A927" s="80">
        <v>45799.874259259261</v>
      </c>
      <c r="B927" t="s">
        <v>719</v>
      </c>
      <c r="C927" t="s">
        <v>720</v>
      </c>
      <c r="D927" t="s">
        <v>721</v>
      </c>
      <c r="E927">
        <v>1</v>
      </c>
      <c r="F927">
        <v>24990</v>
      </c>
      <c r="G927">
        <v>5000</v>
      </c>
    </row>
    <row r="928" spans="1:7" x14ac:dyDescent="0.3">
      <c r="A928" s="80">
        <v>45799.874722222223</v>
      </c>
      <c r="B928" t="s">
        <v>682</v>
      </c>
      <c r="C928" t="s">
        <v>701</v>
      </c>
      <c r="D928" t="s">
        <v>702</v>
      </c>
      <c r="E928">
        <v>1</v>
      </c>
      <c r="F928">
        <v>24990</v>
      </c>
      <c r="G928">
        <v>4500</v>
      </c>
    </row>
    <row r="929" spans="1:7" x14ac:dyDescent="0.3">
      <c r="A929" s="80">
        <v>45799.893819444442</v>
      </c>
      <c r="B929" t="s">
        <v>719</v>
      </c>
      <c r="C929" t="s">
        <v>720</v>
      </c>
      <c r="D929" t="s">
        <v>721</v>
      </c>
      <c r="E929">
        <v>1</v>
      </c>
      <c r="F929">
        <v>24990</v>
      </c>
      <c r="G929">
        <v>5000</v>
      </c>
    </row>
    <row r="930" spans="1:7" x14ac:dyDescent="0.3">
      <c r="A930" s="80">
        <v>45799.965624999997</v>
      </c>
      <c r="B930" t="s">
        <v>719</v>
      </c>
      <c r="C930" t="s">
        <v>720</v>
      </c>
      <c r="D930" t="s">
        <v>721</v>
      </c>
      <c r="E930">
        <v>1</v>
      </c>
      <c r="F930">
        <v>24990</v>
      </c>
      <c r="G930">
        <v>5000</v>
      </c>
    </row>
    <row r="931" spans="1:7" x14ac:dyDescent="0.3">
      <c r="A931" s="80">
        <v>45800.365682870368</v>
      </c>
      <c r="B931" t="s">
        <v>725</v>
      </c>
      <c r="C931" t="s">
        <v>715</v>
      </c>
      <c r="D931" t="s">
        <v>726</v>
      </c>
      <c r="E931">
        <v>1</v>
      </c>
      <c r="F931">
        <v>48990</v>
      </c>
      <c r="G931">
        <v>12630</v>
      </c>
    </row>
    <row r="932" spans="1:7" x14ac:dyDescent="0.3">
      <c r="A932" s="80">
        <v>45800.375081018523</v>
      </c>
      <c r="B932" t="s">
        <v>677</v>
      </c>
      <c r="C932" t="s">
        <v>706</v>
      </c>
      <c r="D932" t="s">
        <v>707</v>
      </c>
      <c r="E932">
        <v>1</v>
      </c>
      <c r="F932">
        <v>29990</v>
      </c>
      <c r="G932">
        <v>5000</v>
      </c>
    </row>
    <row r="933" spans="1:7" x14ac:dyDescent="0.3">
      <c r="A933" s="80">
        <v>45800.375081018523</v>
      </c>
      <c r="B933" t="s">
        <v>722</v>
      </c>
      <c r="C933" t="s">
        <v>723</v>
      </c>
      <c r="D933" t="s">
        <v>724</v>
      </c>
      <c r="E933">
        <v>1</v>
      </c>
      <c r="F933">
        <v>24990</v>
      </c>
      <c r="G933">
        <v>8769</v>
      </c>
    </row>
    <row r="934" spans="1:7" x14ac:dyDescent="0.3">
      <c r="A934" s="80">
        <v>45800.400196759263</v>
      </c>
      <c r="B934" t="s">
        <v>719</v>
      </c>
      <c r="C934" t="s">
        <v>720</v>
      </c>
      <c r="D934" t="s">
        <v>721</v>
      </c>
      <c r="E934">
        <v>1</v>
      </c>
      <c r="F934">
        <v>24990</v>
      </c>
      <c r="G934">
        <v>5000</v>
      </c>
    </row>
    <row r="935" spans="1:7" x14ac:dyDescent="0.3">
      <c r="A935" s="80">
        <v>45800.649178240739</v>
      </c>
      <c r="B935" t="s">
        <v>677</v>
      </c>
      <c r="C935" t="s">
        <v>706</v>
      </c>
      <c r="D935" t="s">
        <v>707</v>
      </c>
      <c r="E935">
        <v>1</v>
      </c>
      <c r="F935">
        <v>29990</v>
      </c>
      <c r="G935">
        <v>5000</v>
      </c>
    </row>
    <row r="936" spans="1:7" x14ac:dyDescent="0.3">
      <c r="A936" s="80">
        <v>45800.701956018522</v>
      </c>
      <c r="B936" t="s">
        <v>719</v>
      </c>
      <c r="C936" t="s">
        <v>720</v>
      </c>
      <c r="D936" t="s">
        <v>721</v>
      </c>
      <c r="E936">
        <v>1</v>
      </c>
      <c r="F936">
        <v>24990</v>
      </c>
      <c r="G936">
        <v>5000</v>
      </c>
    </row>
    <row r="937" spans="1:7" x14ac:dyDescent="0.3">
      <c r="A937" s="80">
        <v>45800.71837962963</v>
      </c>
      <c r="B937" t="s">
        <v>703</v>
      </c>
      <c r="C937" t="s">
        <v>704</v>
      </c>
      <c r="D937" t="s">
        <v>705</v>
      </c>
      <c r="E937">
        <v>1</v>
      </c>
      <c r="F937">
        <v>9990</v>
      </c>
      <c r="G937">
        <v>500</v>
      </c>
    </row>
    <row r="938" spans="1:7" x14ac:dyDescent="0.3">
      <c r="A938" s="80">
        <v>45801.258379629631</v>
      </c>
      <c r="B938" t="s">
        <v>719</v>
      </c>
      <c r="C938" t="s">
        <v>720</v>
      </c>
      <c r="D938" t="s">
        <v>721</v>
      </c>
      <c r="E938">
        <v>2</v>
      </c>
      <c r="F938">
        <v>49980</v>
      </c>
      <c r="G938">
        <v>10000</v>
      </c>
    </row>
    <row r="939" spans="1:7" x14ac:dyDescent="0.3">
      <c r="A939" s="80">
        <v>45801.258379629631</v>
      </c>
      <c r="B939" t="s">
        <v>703</v>
      </c>
      <c r="C939" t="s">
        <v>704</v>
      </c>
      <c r="D939" t="s">
        <v>705</v>
      </c>
      <c r="E939">
        <v>1</v>
      </c>
      <c r="F939">
        <v>9990</v>
      </c>
      <c r="G939">
        <v>500</v>
      </c>
    </row>
    <row r="940" spans="1:7" x14ac:dyDescent="0.3">
      <c r="A940" s="80">
        <v>45801.258379629631</v>
      </c>
      <c r="B940" t="s">
        <v>682</v>
      </c>
      <c r="C940" t="s">
        <v>701</v>
      </c>
      <c r="D940" t="s">
        <v>702</v>
      </c>
      <c r="E940">
        <v>1</v>
      </c>
      <c r="F940">
        <v>24990</v>
      </c>
      <c r="G940">
        <v>4500</v>
      </c>
    </row>
    <row r="941" spans="1:7" x14ac:dyDescent="0.3">
      <c r="A941" s="80">
        <v>45801.389074074083</v>
      </c>
      <c r="B941" t="s">
        <v>719</v>
      </c>
      <c r="C941" t="s">
        <v>720</v>
      </c>
      <c r="D941" t="s">
        <v>721</v>
      </c>
      <c r="E941">
        <v>1</v>
      </c>
      <c r="F941">
        <v>24990</v>
      </c>
      <c r="G941">
        <v>5000</v>
      </c>
    </row>
    <row r="942" spans="1:7" x14ac:dyDescent="0.3">
      <c r="A942" s="80">
        <v>45801.431527777779</v>
      </c>
      <c r="B942" t="s">
        <v>719</v>
      </c>
      <c r="C942" t="s">
        <v>720</v>
      </c>
      <c r="D942" t="s">
        <v>721</v>
      </c>
      <c r="E942">
        <v>1</v>
      </c>
      <c r="F942">
        <v>29990</v>
      </c>
      <c r="G942">
        <v>5000</v>
      </c>
    </row>
    <row r="943" spans="1:7" x14ac:dyDescent="0.3">
      <c r="A943" s="80">
        <v>45801.56486111111</v>
      </c>
      <c r="B943" t="s">
        <v>725</v>
      </c>
      <c r="C943" t="s">
        <v>715</v>
      </c>
      <c r="D943" t="s">
        <v>726</v>
      </c>
      <c r="E943">
        <v>1</v>
      </c>
      <c r="F943">
        <v>48990</v>
      </c>
      <c r="G943">
        <v>12630</v>
      </c>
    </row>
    <row r="944" spans="1:7" x14ac:dyDescent="0.3">
      <c r="A944" s="80">
        <v>45801.680810185193</v>
      </c>
      <c r="B944" t="s">
        <v>677</v>
      </c>
      <c r="C944" t="s">
        <v>706</v>
      </c>
      <c r="D944" t="s">
        <v>707</v>
      </c>
      <c r="E944">
        <v>1</v>
      </c>
      <c r="F944">
        <v>29990</v>
      </c>
      <c r="G944">
        <v>5000</v>
      </c>
    </row>
    <row r="945" spans="1:7" x14ac:dyDescent="0.3">
      <c r="A945" s="80">
        <v>45801.680810185193</v>
      </c>
      <c r="B945" t="s">
        <v>719</v>
      </c>
      <c r="C945" t="s">
        <v>720</v>
      </c>
      <c r="D945" t="s">
        <v>721</v>
      </c>
      <c r="E945">
        <v>1</v>
      </c>
      <c r="F945">
        <v>29990</v>
      </c>
      <c r="G945">
        <v>5000</v>
      </c>
    </row>
    <row r="946" spans="1:7" x14ac:dyDescent="0.3">
      <c r="A946" s="80">
        <v>45801.720127314817</v>
      </c>
      <c r="B946" t="s">
        <v>719</v>
      </c>
      <c r="C946" t="s">
        <v>720</v>
      </c>
      <c r="D946" t="s">
        <v>721</v>
      </c>
      <c r="E946">
        <v>1</v>
      </c>
      <c r="F946">
        <v>24990</v>
      </c>
      <c r="G946">
        <v>5000</v>
      </c>
    </row>
    <row r="947" spans="1:7" x14ac:dyDescent="0.3">
      <c r="A947" s="80">
        <v>45801.822164351863</v>
      </c>
      <c r="B947" t="s">
        <v>719</v>
      </c>
      <c r="C947" t="s">
        <v>720</v>
      </c>
      <c r="D947" t="s">
        <v>721</v>
      </c>
      <c r="E947">
        <v>1</v>
      </c>
      <c r="F947">
        <v>24990</v>
      </c>
      <c r="G947">
        <v>5000</v>
      </c>
    </row>
    <row r="948" spans="1:7" x14ac:dyDescent="0.3">
      <c r="A948" s="80">
        <v>45802.002141203702</v>
      </c>
      <c r="B948" t="s">
        <v>719</v>
      </c>
      <c r="C948" t="s">
        <v>720</v>
      </c>
      <c r="D948" t="s">
        <v>721</v>
      </c>
      <c r="E948">
        <v>1</v>
      </c>
      <c r="F948">
        <v>24990</v>
      </c>
      <c r="G948">
        <v>5000</v>
      </c>
    </row>
    <row r="949" spans="1:7" x14ac:dyDescent="0.3">
      <c r="A949" s="80">
        <v>45802.375081018523</v>
      </c>
      <c r="B949" t="s">
        <v>677</v>
      </c>
      <c r="C949" t="s">
        <v>706</v>
      </c>
      <c r="D949" t="s">
        <v>707</v>
      </c>
      <c r="E949">
        <v>1</v>
      </c>
      <c r="F949">
        <v>29990</v>
      </c>
      <c r="G949">
        <v>5000</v>
      </c>
    </row>
    <row r="950" spans="1:7" x14ac:dyDescent="0.3">
      <c r="A950" s="80">
        <v>45803.437002314808</v>
      </c>
      <c r="B950" t="s">
        <v>682</v>
      </c>
      <c r="C950" t="s">
        <v>701</v>
      </c>
      <c r="D950" t="s">
        <v>702</v>
      </c>
      <c r="E950">
        <v>1</v>
      </c>
      <c r="F950">
        <v>24990</v>
      </c>
      <c r="G950">
        <v>4500</v>
      </c>
    </row>
    <row r="951" spans="1:7" x14ac:dyDescent="0.3">
      <c r="A951" s="80">
        <v>45803.494189814817</v>
      </c>
      <c r="B951" t="s">
        <v>677</v>
      </c>
      <c r="C951" t="s">
        <v>706</v>
      </c>
      <c r="D951" t="s">
        <v>707</v>
      </c>
      <c r="E951">
        <v>1</v>
      </c>
      <c r="F951">
        <v>29990</v>
      </c>
      <c r="G951">
        <v>5000</v>
      </c>
    </row>
    <row r="952" spans="1:7" x14ac:dyDescent="0.3">
      <c r="A952" s="80">
        <v>45803.633460648147</v>
      </c>
      <c r="B952" t="s">
        <v>719</v>
      </c>
      <c r="C952" t="s">
        <v>720</v>
      </c>
      <c r="D952" t="s">
        <v>721</v>
      </c>
      <c r="E952">
        <v>1</v>
      </c>
      <c r="F952">
        <v>24990</v>
      </c>
      <c r="G952">
        <v>5000</v>
      </c>
    </row>
    <row r="953" spans="1:7" x14ac:dyDescent="0.3">
      <c r="A953" s="80">
        <v>45803.640092592592</v>
      </c>
      <c r="B953" t="s">
        <v>719</v>
      </c>
      <c r="C953" t="s">
        <v>720</v>
      </c>
      <c r="D953" t="s">
        <v>721</v>
      </c>
      <c r="E953">
        <v>1</v>
      </c>
      <c r="F953">
        <v>24990</v>
      </c>
      <c r="G953">
        <v>5000</v>
      </c>
    </row>
    <row r="954" spans="1:7" x14ac:dyDescent="0.3">
      <c r="A954" s="80">
        <v>45803.74722222222</v>
      </c>
      <c r="B954" t="s">
        <v>719</v>
      </c>
      <c r="C954" t="s">
        <v>720</v>
      </c>
      <c r="D954" t="s">
        <v>721</v>
      </c>
      <c r="E954">
        <v>5</v>
      </c>
      <c r="F954">
        <v>50</v>
      </c>
      <c r="G954">
        <v>25000</v>
      </c>
    </row>
    <row r="955" spans="1:7" x14ac:dyDescent="0.3">
      <c r="A955" s="80">
        <v>45803.74722222222</v>
      </c>
      <c r="B955" t="s">
        <v>722</v>
      </c>
      <c r="C955" t="s">
        <v>723</v>
      </c>
      <c r="D955" t="s">
        <v>724</v>
      </c>
      <c r="E955">
        <v>3</v>
      </c>
      <c r="F955">
        <v>30</v>
      </c>
      <c r="G955">
        <v>26307</v>
      </c>
    </row>
    <row r="956" spans="1:7" x14ac:dyDescent="0.3">
      <c r="A956" s="80">
        <v>45803.75277777778</v>
      </c>
      <c r="B956" t="s">
        <v>719</v>
      </c>
      <c r="C956" t="s">
        <v>720</v>
      </c>
      <c r="D956" t="s">
        <v>721</v>
      </c>
      <c r="E956">
        <v>1</v>
      </c>
      <c r="F956">
        <v>10</v>
      </c>
      <c r="G956">
        <v>5000</v>
      </c>
    </row>
    <row r="957" spans="1:7" x14ac:dyDescent="0.3">
      <c r="A957" s="80">
        <v>45804.195324074077</v>
      </c>
      <c r="B957" t="s">
        <v>682</v>
      </c>
      <c r="C957" t="s">
        <v>701</v>
      </c>
      <c r="D957" t="s">
        <v>702</v>
      </c>
      <c r="E957">
        <v>1</v>
      </c>
      <c r="F957">
        <v>24990</v>
      </c>
      <c r="G957">
        <v>4500</v>
      </c>
    </row>
    <row r="958" spans="1:7" x14ac:dyDescent="0.3">
      <c r="A958" s="80">
        <v>45804.447916666657</v>
      </c>
      <c r="B958" t="s">
        <v>719</v>
      </c>
      <c r="C958" t="s">
        <v>720</v>
      </c>
      <c r="D958" t="s">
        <v>721</v>
      </c>
      <c r="E958">
        <v>1</v>
      </c>
      <c r="F958">
        <v>10</v>
      </c>
      <c r="G958">
        <v>5000</v>
      </c>
    </row>
    <row r="959" spans="1:7" x14ac:dyDescent="0.3">
      <c r="A959" s="80">
        <v>45804.448611111111</v>
      </c>
      <c r="B959" t="s">
        <v>719</v>
      </c>
      <c r="C959" t="s">
        <v>720</v>
      </c>
      <c r="D959" t="s">
        <v>721</v>
      </c>
      <c r="E959">
        <v>1</v>
      </c>
      <c r="F959">
        <v>10</v>
      </c>
      <c r="G959">
        <v>5000</v>
      </c>
    </row>
    <row r="960" spans="1:7" x14ac:dyDescent="0.3">
      <c r="A960" s="80">
        <v>45804.45</v>
      </c>
      <c r="B960" t="s">
        <v>682</v>
      </c>
      <c r="C960" t="s">
        <v>701</v>
      </c>
      <c r="D960" t="s">
        <v>702</v>
      </c>
      <c r="E960">
        <v>1</v>
      </c>
      <c r="F960">
        <v>10</v>
      </c>
      <c r="G960">
        <v>4500</v>
      </c>
    </row>
    <row r="961" spans="1:7" x14ac:dyDescent="0.3">
      <c r="A961" s="80">
        <v>45804.45</v>
      </c>
      <c r="B961" t="s">
        <v>703</v>
      </c>
      <c r="C961" t="s">
        <v>704</v>
      </c>
      <c r="D961" t="s">
        <v>705</v>
      </c>
      <c r="E961">
        <v>1</v>
      </c>
      <c r="F961">
        <v>10</v>
      </c>
      <c r="G961">
        <v>500</v>
      </c>
    </row>
    <row r="962" spans="1:7" x14ac:dyDescent="0.3">
      <c r="A962" s="80">
        <v>45804.451388888891</v>
      </c>
      <c r="B962" t="s">
        <v>682</v>
      </c>
      <c r="C962" t="s">
        <v>701</v>
      </c>
      <c r="D962" t="s">
        <v>702</v>
      </c>
      <c r="E962">
        <v>1</v>
      </c>
      <c r="F962">
        <v>10</v>
      </c>
      <c r="G962">
        <v>4500</v>
      </c>
    </row>
    <row r="963" spans="1:7" x14ac:dyDescent="0.3">
      <c r="A963" s="80">
        <v>45804.451388888891</v>
      </c>
      <c r="B963" t="s">
        <v>703</v>
      </c>
      <c r="C963" t="s">
        <v>704</v>
      </c>
      <c r="D963" t="s">
        <v>705</v>
      </c>
      <c r="E963">
        <v>1</v>
      </c>
      <c r="F963">
        <v>10</v>
      </c>
      <c r="G963">
        <v>500</v>
      </c>
    </row>
    <row r="964" spans="1:7" x14ac:dyDescent="0.3">
      <c r="A964" s="80">
        <v>45804.632291666669</v>
      </c>
      <c r="B964" t="s">
        <v>719</v>
      </c>
      <c r="C964" t="s">
        <v>720</v>
      </c>
      <c r="D964" t="s">
        <v>721</v>
      </c>
      <c r="E964">
        <v>1</v>
      </c>
      <c r="F964">
        <v>29990</v>
      </c>
      <c r="G964">
        <v>5000</v>
      </c>
    </row>
    <row r="965" spans="1:7" x14ac:dyDescent="0.3">
      <c r="A965" s="80">
        <v>45804.632291666669</v>
      </c>
      <c r="B965" t="s">
        <v>722</v>
      </c>
      <c r="C965" t="s">
        <v>723</v>
      </c>
      <c r="D965" t="s">
        <v>724</v>
      </c>
      <c r="E965">
        <v>1</v>
      </c>
      <c r="F965">
        <v>24990</v>
      </c>
      <c r="G965">
        <v>8769</v>
      </c>
    </row>
    <row r="966" spans="1:7" x14ac:dyDescent="0.3">
      <c r="A966" s="80">
        <v>45804.778587962966</v>
      </c>
      <c r="B966" t="s">
        <v>677</v>
      </c>
      <c r="C966" t="s">
        <v>706</v>
      </c>
      <c r="D966" t="s">
        <v>707</v>
      </c>
      <c r="E966">
        <v>1</v>
      </c>
      <c r="F966">
        <v>29990</v>
      </c>
      <c r="G966">
        <v>5000</v>
      </c>
    </row>
    <row r="967" spans="1:7" x14ac:dyDescent="0.3">
      <c r="A967" s="80">
        <v>45805.54519675926</v>
      </c>
      <c r="B967" t="s">
        <v>682</v>
      </c>
      <c r="C967" t="s">
        <v>701</v>
      </c>
      <c r="D967" t="s">
        <v>702</v>
      </c>
      <c r="E967">
        <v>1</v>
      </c>
      <c r="F967">
        <v>24990</v>
      </c>
      <c r="G967">
        <v>4500</v>
      </c>
    </row>
    <row r="968" spans="1:7" x14ac:dyDescent="0.3">
      <c r="A968" s="80">
        <v>45805.54519675926</v>
      </c>
      <c r="B968" t="s">
        <v>703</v>
      </c>
      <c r="C968" t="s">
        <v>704</v>
      </c>
      <c r="D968" t="s">
        <v>705</v>
      </c>
      <c r="E968">
        <v>1</v>
      </c>
      <c r="F968">
        <v>9990</v>
      </c>
      <c r="G968">
        <v>500</v>
      </c>
    </row>
    <row r="969" spans="1:7" x14ac:dyDescent="0.3">
      <c r="A969" s="80">
        <v>45805.690833333327</v>
      </c>
      <c r="B969" t="s">
        <v>725</v>
      </c>
      <c r="C969" t="s">
        <v>715</v>
      </c>
      <c r="D969" t="s">
        <v>726</v>
      </c>
      <c r="E969">
        <v>1</v>
      </c>
      <c r="F969">
        <v>48990</v>
      </c>
      <c r="G969">
        <v>12630</v>
      </c>
    </row>
    <row r="970" spans="1:7" x14ac:dyDescent="0.3">
      <c r="A970" s="80">
        <v>45805.849293981482</v>
      </c>
      <c r="B970" t="s">
        <v>719</v>
      </c>
      <c r="C970" t="s">
        <v>720</v>
      </c>
      <c r="D970" t="s">
        <v>721</v>
      </c>
      <c r="E970">
        <v>1</v>
      </c>
      <c r="F970">
        <v>24990</v>
      </c>
      <c r="G970">
        <v>5000</v>
      </c>
    </row>
    <row r="971" spans="1:7" x14ac:dyDescent="0.3">
      <c r="A971" s="80">
        <v>45806.253483796303</v>
      </c>
      <c r="B971" t="s">
        <v>719</v>
      </c>
      <c r="C971" t="s">
        <v>720</v>
      </c>
      <c r="D971" t="s">
        <v>721</v>
      </c>
      <c r="E971">
        <v>1</v>
      </c>
      <c r="F971">
        <v>24990</v>
      </c>
      <c r="G971">
        <v>5000</v>
      </c>
    </row>
    <row r="972" spans="1:7" x14ac:dyDescent="0.3">
      <c r="A972" s="80">
        <v>45806.406041666669</v>
      </c>
      <c r="B972" t="s">
        <v>677</v>
      </c>
      <c r="C972" t="s">
        <v>706</v>
      </c>
      <c r="D972" t="s">
        <v>707</v>
      </c>
      <c r="E972">
        <v>1</v>
      </c>
      <c r="F972">
        <v>29990</v>
      </c>
      <c r="G972">
        <v>5000</v>
      </c>
    </row>
    <row r="973" spans="1:7" x14ac:dyDescent="0.3">
      <c r="A973" s="80">
        <v>45807.344050925924</v>
      </c>
      <c r="B973" t="s">
        <v>682</v>
      </c>
      <c r="C973" t="s">
        <v>701</v>
      </c>
      <c r="D973" t="s">
        <v>702</v>
      </c>
      <c r="E973">
        <v>1</v>
      </c>
      <c r="F973">
        <v>24990</v>
      </c>
      <c r="G973">
        <v>4500</v>
      </c>
    </row>
    <row r="974" spans="1:7" x14ac:dyDescent="0.3">
      <c r="A974" s="80">
        <v>45807.697280092587</v>
      </c>
      <c r="B974" t="s">
        <v>719</v>
      </c>
      <c r="C974" t="s">
        <v>720</v>
      </c>
      <c r="D974" t="s">
        <v>721</v>
      </c>
      <c r="E974">
        <v>1</v>
      </c>
      <c r="F974">
        <v>24990</v>
      </c>
      <c r="G974">
        <v>5000</v>
      </c>
    </row>
    <row r="975" spans="1:7" x14ac:dyDescent="0.3">
      <c r="A975" s="80">
        <v>45808.38784722222</v>
      </c>
      <c r="B975" t="s">
        <v>725</v>
      </c>
      <c r="C975" t="s">
        <v>715</v>
      </c>
      <c r="D975" t="s">
        <v>726</v>
      </c>
      <c r="E975">
        <v>1</v>
      </c>
      <c r="F975">
        <v>48990</v>
      </c>
      <c r="G975">
        <v>12630</v>
      </c>
    </row>
    <row r="976" spans="1:7" x14ac:dyDescent="0.3">
      <c r="A976" s="80">
        <v>45808.657118055547</v>
      </c>
      <c r="B976" t="s">
        <v>725</v>
      </c>
      <c r="C976" t="s">
        <v>715</v>
      </c>
      <c r="D976" t="s">
        <v>726</v>
      </c>
      <c r="E976">
        <v>1</v>
      </c>
      <c r="F976">
        <v>48990</v>
      </c>
      <c r="G976">
        <v>12630</v>
      </c>
    </row>
    <row r="977" spans="1:7" x14ac:dyDescent="0.3">
      <c r="A977" s="80">
        <v>45808.6955787037</v>
      </c>
      <c r="B977" t="s">
        <v>719</v>
      </c>
      <c r="C977" t="s">
        <v>720</v>
      </c>
      <c r="D977" t="s">
        <v>721</v>
      </c>
      <c r="E977">
        <v>1</v>
      </c>
      <c r="F977">
        <v>29990</v>
      </c>
      <c r="G977">
        <v>5000</v>
      </c>
    </row>
    <row r="978" spans="1:7" x14ac:dyDescent="0.3">
      <c r="A978" s="80">
        <v>45808.748645833337</v>
      </c>
      <c r="B978" t="s">
        <v>682</v>
      </c>
      <c r="C978" t="s">
        <v>701</v>
      </c>
      <c r="D978" t="s">
        <v>702</v>
      </c>
      <c r="E978">
        <v>1</v>
      </c>
      <c r="F978">
        <v>24990</v>
      </c>
      <c r="G978">
        <v>4500</v>
      </c>
    </row>
    <row r="979" spans="1:7" x14ac:dyDescent="0.3">
      <c r="A979" s="80">
        <v>45809.029907407406</v>
      </c>
      <c r="B979" t="s">
        <v>719</v>
      </c>
      <c r="C979" t="s">
        <v>720</v>
      </c>
      <c r="D979" t="s">
        <v>721</v>
      </c>
      <c r="E979">
        <v>1</v>
      </c>
      <c r="F979">
        <v>24990</v>
      </c>
      <c r="G979">
        <v>5000</v>
      </c>
    </row>
    <row r="980" spans="1:7" x14ac:dyDescent="0.3">
      <c r="A980" s="80">
        <v>45809.485381944447</v>
      </c>
      <c r="B980" t="s">
        <v>719</v>
      </c>
      <c r="C980" t="s">
        <v>720</v>
      </c>
      <c r="D980" t="s">
        <v>721</v>
      </c>
      <c r="E980">
        <v>1</v>
      </c>
      <c r="F980">
        <v>24990</v>
      </c>
      <c r="G980">
        <v>5000</v>
      </c>
    </row>
    <row r="981" spans="1:7" x14ac:dyDescent="0.3">
      <c r="A981" s="80">
        <v>45809.497858796298</v>
      </c>
      <c r="B981" t="s">
        <v>719</v>
      </c>
      <c r="C981" t="s">
        <v>720</v>
      </c>
      <c r="D981" t="s">
        <v>721</v>
      </c>
      <c r="E981">
        <v>1</v>
      </c>
      <c r="F981">
        <v>24990</v>
      </c>
      <c r="G981">
        <v>5000</v>
      </c>
    </row>
    <row r="982" spans="1:7" x14ac:dyDescent="0.3">
      <c r="A982" s="80">
        <v>45809.537766203714</v>
      </c>
      <c r="B982" t="s">
        <v>719</v>
      </c>
      <c r="C982" t="s">
        <v>720</v>
      </c>
      <c r="D982" t="s">
        <v>721</v>
      </c>
      <c r="E982">
        <v>1</v>
      </c>
      <c r="F982">
        <v>29990</v>
      </c>
      <c r="G982">
        <v>5000</v>
      </c>
    </row>
    <row r="983" spans="1:7" x14ac:dyDescent="0.3">
      <c r="A983" s="80">
        <v>45809.537766203714</v>
      </c>
      <c r="B983" t="s">
        <v>677</v>
      </c>
      <c r="C983" t="s">
        <v>706</v>
      </c>
      <c r="D983" t="s">
        <v>707</v>
      </c>
      <c r="E983">
        <v>1</v>
      </c>
      <c r="F983">
        <v>29990</v>
      </c>
      <c r="G983">
        <v>5000</v>
      </c>
    </row>
    <row r="984" spans="1:7" x14ac:dyDescent="0.3">
      <c r="A984" s="80">
        <v>45809.628449074073</v>
      </c>
      <c r="B984" t="s">
        <v>719</v>
      </c>
      <c r="C984" t="s">
        <v>720</v>
      </c>
      <c r="D984" t="s">
        <v>721</v>
      </c>
      <c r="E984">
        <v>1</v>
      </c>
      <c r="F984">
        <v>29990</v>
      </c>
      <c r="G984">
        <v>5000</v>
      </c>
    </row>
    <row r="985" spans="1:7" x14ac:dyDescent="0.3">
      <c r="A985" s="80">
        <v>45809.871377314812</v>
      </c>
      <c r="B985" t="s">
        <v>719</v>
      </c>
      <c r="C985" t="s">
        <v>720</v>
      </c>
      <c r="D985" t="s">
        <v>721</v>
      </c>
      <c r="E985">
        <v>1</v>
      </c>
      <c r="F985">
        <v>23093</v>
      </c>
      <c r="G985">
        <v>5000</v>
      </c>
    </row>
    <row r="986" spans="1:7" x14ac:dyDescent="0.3">
      <c r="A986" s="80">
        <v>45809.871377314812</v>
      </c>
      <c r="B986" t="s">
        <v>682</v>
      </c>
      <c r="C986" t="s">
        <v>701</v>
      </c>
      <c r="D986" t="s">
        <v>702</v>
      </c>
      <c r="E986">
        <v>1</v>
      </c>
      <c r="F986">
        <v>23093</v>
      </c>
      <c r="G986">
        <v>4500</v>
      </c>
    </row>
    <row r="987" spans="1:7" x14ac:dyDescent="0.3">
      <c r="A987" s="80">
        <v>45809.874895833331</v>
      </c>
      <c r="B987" t="s">
        <v>719</v>
      </c>
      <c r="C987" t="s">
        <v>720</v>
      </c>
      <c r="D987" t="s">
        <v>721</v>
      </c>
      <c r="E987">
        <v>1</v>
      </c>
      <c r="F987">
        <v>23093</v>
      </c>
      <c r="G987">
        <v>5000</v>
      </c>
    </row>
    <row r="988" spans="1:7" x14ac:dyDescent="0.3">
      <c r="A988" s="80">
        <v>45809.884201388893</v>
      </c>
      <c r="B988" t="s">
        <v>682</v>
      </c>
      <c r="C988" t="s">
        <v>701</v>
      </c>
      <c r="D988" t="s">
        <v>702</v>
      </c>
      <c r="E988">
        <v>2</v>
      </c>
      <c r="F988">
        <v>46186</v>
      </c>
      <c r="G988">
        <v>9000</v>
      </c>
    </row>
    <row r="989" spans="1:7" x14ac:dyDescent="0.3">
      <c r="A989" s="80">
        <v>45809.886018518519</v>
      </c>
      <c r="B989" t="s">
        <v>719</v>
      </c>
      <c r="C989" t="s">
        <v>720</v>
      </c>
      <c r="D989" t="s">
        <v>721</v>
      </c>
      <c r="E989">
        <v>1</v>
      </c>
      <c r="F989">
        <v>23093</v>
      </c>
      <c r="G989">
        <v>5000</v>
      </c>
    </row>
    <row r="990" spans="1:7" x14ac:dyDescent="0.3">
      <c r="A990" s="80">
        <v>45809.962118055562</v>
      </c>
      <c r="B990" t="s">
        <v>719</v>
      </c>
      <c r="C990" t="s">
        <v>720</v>
      </c>
      <c r="D990" t="s">
        <v>721</v>
      </c>
      <c r="E990">
        <v>1</v>
      </c>
      <c r="F990">
        <v>23093</v>
      </c>
      <c r="G990">
        <v>5000</v>
      </c>
    </row>
    <row r="991" spans="1:7" x14ac:dyDescent="0.3">
      <c r="A991" s="80">
        <v>45809.98364583333</v>
      </c>
      <c r="B991" t="s">
        <v>719</v>
      </c>
      <c r="C991" t="s">
        <v>720</v>
      </c>
      <c r="D991" t="s">
        <v>721</v>
      </c>
      <c r="E991">
        <v>1</v>
      </c>
      <c r="F991">
        <v>23093</v>
      </c>
      <c r="G991">
        <v>5000</v>
      </c>
    </row>
    <row r="992" spans="1:7" x14ac:dyDescent="0.3">
      <c r="A992" s="80">
        <v>45810.065196759257</v>
      </c>
      <c r="B992" t="s">
        <v>719</v>
      </c>
      <c r="C992" t="s">
        <v>720</v>
      </c>
      <c r="D992" t="s">
        <v>721</v>
      </c>
      <c r="E992">
        <v>1</v>
      </c>
      <c r="F992">
        <v>23093</v>
      </c>
      <c r="G992">
        <v>5000</v>
      </c>
    </row>
    <row r="993" spans="1:7" x14ac:dyDescent="0.3">
      <c r="A993" s="80">
        <v>45810.320370370369</v>
      </c>
      <c r="B993" t="s">
        <v>719</v>
      </c>
      <c r="C993" t="s">
        <v>720</v>
      </c>
      <c r="D993" t="s">
        <v>721</v>
      </c>
      <c r="E993">
        <v>1</v>
      </c>
      <c r="F993">
        <v>23093</v>
      </c>
      <c r="G993">
        <v>5000</v>
      </c>
    </row>
    <row r="994" spans="1:7" x14ac:dyDescent="0.3">
      <c r="A994" s="80">
        <v>45810.344155092593</v>
      </c>
      <c r="B994" t="s">
        <v>682</v>
      </c>
      <c r="C994" t="s">
        <v>701</v>
      </c>
      <c r="D994" t="s">
        <v>702</v>
      </c>
      <c r="E994">
        <v>1</v>
      </c>
      <c r="F994">
        <v>23093</v>
      </c>
      <c r="G994">
        <v>4500</v>
      </c>
    </row>
    <row r="995" spans="1:7" x14ac:dyDescent="0.3">
      <c r="A995" s="80">
        <v>45810.344155092593</v>
      </c>
      <c r="B995" t="s">
        <v>719</v>
      </c>
      <c r="C995" t="s">
        <v>720</v>
      </c>
      <c r="D995" t="s">
        <v>721</v>
      </c>
      <c r="E995">
        <v>1</v>
      </c>
      <c r="F995">
        <v>23093</v>
      </c>
      <c r="G995">
        <v>5000</v>
      </c>
    </row>
    <row r="996" spans="1:7" x14ac:dyDescent="0.3">
      <c r="A996" s="80">
        <v>45810.344155092593</v>
      </c>
      <c r="B996" t="s">
        <v>703</v>
      </c>
      <c r="C996" t="s">
        <v>704</v>
      </c>
      <c r="D996" t="s">
        <v>705</v>
      </c>
      <c r="E996">
        <v>1</v>
      </c>
      <c r="F996">
        <v>4995</v>
      </c>
      <c r="G996">
        <v>500</v>
      </c>
    </row>
    <row r="997" spans="1:7" x14ac:dyDescent="0.3">
      <c r="A997" s="80">
        <v>45810.499247685177</v>
      </c>
      <c r="B997" t="s">
        <v>719</v>
      </c>
      <c r="C997" t="s">
        <v>720</v>
      </c>
      <c r="D997" t="s">
        <v>721</v>
      </c>
      <c r="E997">
        <v>1</v>
      </c>
      <c r="F997">
        <v>23093</v>
      </c>
      <c r="G997">
        <v>5000</v>
      </c>
    </row>
    <row r="998" spans="1:7" x14ac:dyDescent="0.3">
      <c r="A998" s="80">
        <v>45810.53496527778</v>
      </c>
      <c r="B998" t="s">
        <v>719</v>
      </c>
      <c r="C998" t="s">
        <v>720</v>
      </c>
      <c r="D998" t="s">
        <v>721</v>
      </c>
      <c r="E998">
        <v>1</v>
      </c>
      <c r="F998">
        <v>23093</v>
      </c>
      <c r="G998">
        <v>5000</v>
      </c>
    </row>
    <row r="999" spans="1:7" x14ac:dyDescent="0.3">
      <c r="A999" s="80">
        <v>45810.804918981477</v>
      </c>
      <c r="B999" t="s">
        <v>682</v>
      </c>
      <c r="C999" t="s">
        <v>701</v>
      </c>
      <c r="D999" t="s">
        <v>702</v>
      </c>
      <c r="E999">
        <v>1</v>
      </c>
      <c r="F999">
        <v>23093</v>
      </c>
      <c r="G999">
        <v>4500</v>
      </c>
    </row>
    <row r="1000" spans="1:7" x14ac:dyDescent="0.3">
      <c r="A1000" s="80">
        <v>45810.8518287037</v>
      </c>
      <c r="B1000" t="s">
        <v>725</v>
      </c>
      <c r="C1000" t="s">
        <v>715</v>
      </c>
      <c r="D1000" t="s">
        <v>726</v>
      </c>
      <c r="E1000">
        <v>1</v>
      </c>
      <c r="F1000">
        <v>48990</v>
      </c>
      <c r="G1000">
        <v>12630</v>
      </c>
    </row>
    <row r="1001" spans="1:7" x14ac:dyDescent="0.3">
      <c r="A1001" s="80">
        <v>45810.949629629627</v>
      </c>
      <c r="B1001" t="s">
        <v>682</v>
      </c>
      <c r="C1001" t="s">
        <v>701</v>
      </c>
      <c r="D1001" t="s">
        <v>702</v>
      </c>
      <c r="E1001">
        <v>1</v>
      </c>
      <c r="F1001">
        <v>23093</v>
      </c>
      <c r="G1001">
        <v>4500</v>
      </c>
    </row>
    <row r="1002" spans="1:7" x14ac:dyDescent="0.3">
      <c r="A1002" s="80">
        <v>45811.039571759262</v>
      </c>
      <c r="B1002" t="s">
        <v>719</v>
      </c>
      <c r="C1002" t="s">
        <v>720</v>
      </c>
      <c r="D1002" t="s">
        <v>721</v>
      </c>
      <c r="E1002">
        <v>1</v>
      </c>
      <c r="F1002">
        <v>23093</v>
      </c>
      <c r="G1002">
        <v>5000</v>
      </c>
    </row>
    <row r="1003" spans="1:7" x14ac:dyDescent="0.3">
      <c r="A1003" s="80">
        <v>45811.342743055553</v>
      </c>
      <c r="B1003" t="s">
        <v>719</v>
      </c>
      <c r="C1003" t="s">
        <v>720</v>
      </c>
      <c r="D1003" t="s">
        <v>721</v>
      </c>
      <c r="E1003">
        <v>2</v>
      </c>
      <c r="F1003">
        <v>46186</v>
      </c>
      <c r="G1003">
        <v>10000</v>
      </c>
    </row>
    <row r="1004" spans="1:7" x14ac:dyDescent="0.3">
      <c r="A1004" s="80">
        <v>45811.372673611113</v>
      </c>
      <c r="B1004" t="s">
        <v>719</v>
      </c>
      <c r="C1004" t="s">
        <v>720</v>
      </c>
      <c r="D1004" t="s">
        <v>721</v>
      </c>
      <c r="E1004">
        <v>1</v>
      </c>
      <c r="F1004">
        <v>23093</v>
      </c>
      <c r="G1004">
        <v>5000</v>
      </c>
    </row>
    <row r="1005" spans="1:7" x14ac:dyDescent="0.3">
      <c r="A1005" s="80">
        <v>45811.376655092587</v>
      </c>
      <c r="B1005" t="s">
        <v>719</v>
      </c>
      <c r="C1005" t="s">
        <v>720</v>
      </c>
      <c r="D1005" t="s">
        <v>721</v>
      </c>
      <c r="E1005">
        <v>1</v>
      </c>
      <c r="F1005">
        <v>23093</v>
      </c>
      <c r="G1005">
        <v>5000</v>
      </c>
    </row>
    <row r="1006" spans="1:7" x14ac:dyDescent="0.3">
      <c r="A1006" s="80">
        <v>45811.386435185188</v>
      </c>
      <c r="B1006" t="s">
        <v>682</v>
      </c>
      <c r="C1006" t="s">
        <v>701</v>
      </c>
      <c r="D1006" t="s">
        <v>702</v>
      </c>
      <c r="E1006">
        <v>1</v>
      </c>
      <c r="F1006">
        <v>23093</v>
      </c>
      <c r="G1006">
        <v>4500</v>
      </c>
    </row>
    <row r="1007" spans="1:7" x14ac:dyDescent="0.3">
      <c r="A1007" s="80">
        <v>45811.499641203707</v>
      </c>
      <c r="B1007" t="s">
        <v>719</v>
      </c>
      <c r="C1007" t="s">
        <v>720</v>
      </c>
      <c r="D1007" t="s">
        <v>721</v>
      </c>
      <c r="E1007">
        <v>1</v>
      </c>
      <c r="F1007">
        <v>23093</v>
      </c>
      <c r="G1007">
        <v>5000</v>
      </c>
    </row>
    <row r="1008" spans="1:7" x14ac:dyDescent="0.3">
      <c r="A1008" s="80">
        <v>45811.597800925927</v>
      </c>
      <c r="B1008" t="s">
        <v>719</v>
      </c>
      <c r="C1008" t="s">
        <v>720</v>
      </c>
      <c r="D1008" t="s">
        <v>721</v>
      </c>
      <c r="E1008">
        <v>1</v>
      </c>
      <c r="F1008">
        <v>23093</v>
      </c>
      <c r="G1008">
        <v>5000</v>
      </c>
    </row>
    <row r="1009" spans="1:7" x14ac:dyDescent="0.3">
      <c r="A1009" s="80">
        <v>45811.611284722218</v>
      </c>
      <c r="B1009" t="s">
        <v>682</v>
      </c>
      <c r="C1009" t="s">
        <v>701</v>
      </c>
      <c r="D1009" t="s">
        <v>702</v>
      </c>
      <c r="E1009">
        <v>1</v>
      </c>
      <c r="F1009">
        <v>23093</v>
      </c>
      <c r="G1009">
        <v>4500</v>
      </c>
    </row>
    <row r="1010" spans="1:7" x14ac:dyDescent="0.3">
      <c r="A1010" s="80">
        <v>45811.718414351853</v>
      </c>
      <c r="B1010" t="s">
        <v>725</v>
      </c>
      <c r="C1010" t="s">
        <v>715</v>
      </c>
      <c r="D1010" t="s">
        <v>726</v>
      </c>
      <c r="E1010">
        <v>1</v>
      </c>
      <c r="F1010">
        <v>48990</v>
      </c>
      <c r="G1010">
        <v>12630</v>
      </c>
    </row>
    <row r="1011" spans="1:7" x14ac:dyDescent="0.3">
      <c r="A1011" s="80">
        <v>45811.799293981479</v>
      </c>
      <c r="B1011" t="s">
        <v>719</v>
      </c>
      <c r="C1011" t="s">
        <v>720</v>
      </c>
      <c r="D1011" t="s">
        <v>721</v>
      </c>
      <c r="E1011">
        <v>1</v>
      </c>
      <c r="F1011">
        <v>23093</v>
      </c>
      <c r="G1011">
        <v>5000</v>
      </c>
    </row>
    <row r="1012" spans="1:7" x14ac:dyDescent="0.3">
      <c r="A1012" s="80">
        <v>45811.802071759259</v>
      </c>
      <c r="B1012" t="s">
        <v>719</v>
      </c>
      <c r="C1012" t="s">
        <v>720</v>
      </c>
      <c r="D1012" t="s">
        <v>721</v>
      </c>
      <c r="E1012">
        <v>1</v>
      </c>
      <c r="F1012">
        <v>23093</v>
      </c>
      <c r="G1012">
        <v>5000</v>
      </c>
    </row>
    <row r="1013" spans="1:7" x14ac:dyDescent="0.3">
      <c r="A1013" s="80">
        <v>45811.976574074077</v>
      </c>
      <c r="B1013" t="s">
        <v>719</v>
      </c>
      <c r="C1013" t="s">
        <v>720</v>
      </c>
      <c r="D1013" t="s">
        <v>721</v>
      </c>
      <c r="E1013">
        <v>1</v>
      </c>
      <c r="F1013">
        <v>23093</v>
      </c>
      <c r="G1013">
        <v>5000</v>
      </c>
    </row>
    <row r="1014" spans="1:7" x14ac:dyDescent="0.3">
      <c r="A1014" s="80">
        <v>45812.295844907407</v>
      </c>
      <c r="B1014" t="s">
        <v>682</v>
      </c>
      <c r="C1014" t="s">
        <v>701</v>
      </c>
      <c r="D1014" t="s">
        <v>702</v>
      </c>
      <c r="E1014">
        <v>1</v>
      </c>
      <c r="F1014">
        <v>23093</v>
      </c>
      <c r="G1014">
        <v>4500</v>
      </c>
    </row>
    <row r="1015" spans="1:7" x14ac:dyDescent="0.3">
      <c r="A1015" s="80">
        <v>45812.330914351849</v>
      </c>
      <c r="B1015" t="s">
        <v>682</v>
      </c>
      <c r="C1015" t="s">
        <v>701</v>
      </c>
      <c r="D1015" t="s">
        <v>702</v>
      </c>
      <c r="E1015">
        <v>1</v>
      </c>
      <c r="F1015">
        <v>23093</v>
      </c>
      <c r="G1015">
        <v>4500</v>
      </c>
    </row>
    <row r="1016" spans="1:7" x14ac:dyDescent="0.3">
      <c r="A1016" s="80">
        <v>45812.36141203704</v>
      </c>
      <c r="B1016" t="s">
        <v>719</v>
      </c>
      <c r="C1016" t="s">
        <v>720</v>
      </c>
      <c r="D1016" t="s">
        <v>721</v>
      </c>
      <c r="E1016">
        <v>1</v>
      </c>
      <c r="F1016">
        <v>23093</v>
      </c>
      <c r="G1016">
        <v>5000</v>
      </c>
    </row>
    <row r="1017" spans="1:7" x14ac:dyDescent="0.3">
      <c r="A1017" s="80">
        <v>45812.400393518517</v>
      </c>
      <c r="B1017" t="s">
        <v>719</v>
      </c>
      <c r="C1017" t="s">
        <v>720</v>
      </c>
      <c r="D1017" t="s">
        <v>721</v>
      </c>
      <c r="E1017">
        <v>1</v>
      </c>
      <c r="F1017">
        <v>23093</v>
      </c>
      <c r="G1017">
        <v>5000</v>
      </c>
    </row>
    <row r="1018" spans="1:7" x14ac:dyDescent="0.3">
      <c r="A1018" s="80">
        <v>45812.402546296304</v>
      </c>
      <c r="B1018" t="s">
        <v>719</v>
      </c>
      <c r="C1018" t="s">
        <v>720</v>
      </c>
      <c r="D1018" t="s">
        <v>721</v>
      </c>
      <c r="E1018">
        <v>1</v>
      </c>
      <c r="F1018">
        <v>23093</v>
      </c>
      <c r="G1018">
        <v>5000</v>
      </c>
    </row>
    <row r="1019" spans="1:7" x14ac:dyDescent="0.3">
      <c r="A1019" s="80">
        <v>45812.408796296288</v>
      </c>
      <c r="B1019" t="s">
        <v>719</v>
      </c>
      <c r="C1019" t="s">
        <v>720</v>
      </c>
      <c r="D1019" t="s">
        <v>721</v>
      </c>
      <c r="E1019">
        <v>1</v>
      </c>
      <c r="F1019">
        <v>23093</v>
      </c>
      <c r="G1019">
        <v>5000</v>
      </c>
    </row>
    <row r="1020" spans="1:7" x14ac:dyDescent="0.3">
      <c r="A1020" s="80">
        <v>45812.408796296288</v>
      </c>
      <c r="B1020" t="s">
        <v>703</v>
      </c>
      <c r="C1020" t="s">
        <v>704</v>
      </c>
      <c r="D1020" t="s">
        <v>705</v>
      </c>
      <c r="E1020">
        <v>1</v>
      </c>
      <c r="F1020">
        <v>4490</v>
      </c>
      <c r="G1020">
        <v>500</v>
      </c>
    </row>
    <row r="1021" spans="1:7" x14ac:dyDescent="0.3">
      <c r="A1021" s="80">
        <v>45812.431400462963</v>
      </c>
      <c r="B1021" t="s">
        <v>725</v>
      </c>
      <c r="C1021" t="s">
        <v>715</v>
      </c>
      <c r="D1021" t="s">
        <v>726</v>
      </c>
      <c r="E1021">
        <v>1</v>
      </c>
      <c r="F1021">
        <v>48990</v>
      </c>
      <c r="G1021">
        <v>12630</v>
      </c>
    </row>
    <row r="1022" spans="1:7" x14ac:dyDescent="0.3">
      <c r="A1022" s="80">
        <v>45812.476909722223</v>
      </c>
      <c r="B1022" t="s">
        <v>719</v>
      </c>
      <c r="C1022" t="s">
        <v>720</v>
      </c>
      <c r="D1022" t="s">
        <v>721</v>
      </c>
      <c r="E1022">
        <v>1</v>
      </c>
      <c r="F1022">
        <v>23093</v>
      </c>
      <c r="G1022">
        <v>5000</v>
      </c>
    </row>
    <row r="1023" spans="1:7" x14ac:dyDescent="0.3">
      <c r="A1023" s="80">
        <v>45812.658252314817</v>
      </c>
      <c r="B1023" t="s">
        <v>682</v>
      </c>
      <c r="C1023" t="s">
        <v>701</v>
      </c>
      <c r="D1023" t="s">
        <v>702</v>
      </c>
      <c r="E1023">
        <v>1</v>
      </c>
      <c r="F1023">
        <v>23093</v>
      </c>
      <c r="G1023">
        <v>4500</v>
      </c>
    </row>
    <row r="1024" spans="1:7" x14ac:dyDescent="0.3">
      <c r="A1024" s="80">
        <v>45812.658252314817</v>
      </c>
      <c r="B1024" t="s">
        <v>703</v>
      </c>
      <c r="C1024" t="s">
        <v>704</v>
      </c>
      <c r="D1024" t="s">
        <v>705</v>
      </c>
      <c r="E1024">
        <v>1</v>
      </c>
      <c r="F1024">
        <v>2245</v>
      </c>
      <c r="G1024">
        <v>500</v>
      </c>
    </row>
    <row r="1025" spans="1:7" x14ac:dyDescent="0.3">
      <c r="A1025" s="80">
        <v>45812.667060185187</v>
      </c>
      <c r="B1025" t="s">
        <v>719</v>
      </c>
      <c r="C1025" t="s">
        <v>720</v>
      </c>
      <c r="D1025" t="s">
        <v>721</v>
      </c>
      <c r="E1025">
        <v>1</v>
      </c>
      <c r="F1025">
        <v>23093</v>
      </c>
      <c r="G1025">
        <v>5000</v>
      </c>
    </row>
    <row r="1026" spans="1:7" x14ac:dyDescent="0.3">
      <c r="A1026" s="80">
        <v>45812.768263888887</v>
      </c>
      <c r="B1026" t="s">
        <v>682</v>
      </c>
      <c r="C1026" t="s">
        <v>701</v>
      </c>
      <c r="D1026" t="s">
        <v>702</v>
      </c>
      <c r="E1026">
        <v>1</v>
      </c>
      <c r="F1026">
        <v>23093</v>
      </c>
      <c r="G1026">
        <v>4500</v>
      </c>
    </row>
    <row r="1027" spans="1:7" x14ac:dyDescent="0.3">
      <c r="A1027" s="80">
        <v>45812.864155092589</v>
      </c>
      <c r="B1027" t="s">
        <v>719</v>
      </c>
      <c r="C1027" t="s">
        <v>720</v>
      </c>
      <c r="D1027" t="s">
        <v>721</v>
      </c>
      <c r="E1027">
        <v>1</v>
      </c>
      <c r="F1027">
        <v>23093</v>
      </c>
      <c r="G1027">
        <v>5000</v>
      </c>
    </row>
    <row r="1028" spans="1:7" x14ac:dyDescent="0.3">
      <c r="A1028" s="80">
        <v>45812.889444444438</v>
      </c>
      <c r="B1028" t="s">
        <v>719</v>
      </c>
      <c r="C1028" t="s">
        <v>720</v>
      </c>
      <c r="D1028" t="s">
        <v>721</v>
      </c>
      <c r="E1028">
        <v>1</v>
      </c>
      <c r="F1028">
        <v>23093</v>
      </c>
      <c r="G1028">
        <v>5000</v>
      </c>
    </row>
    <row r="1029" spans="1:7" x14ac:dyDescent="0.3">
      <c r="A1029" s="80">
        <v>45812.891215277778</v>
      </c>
      <c r="B1029" t="s">
        <v>682</v>
      </c>
      <c r="C1029" t="s">
        <v>701</v>
      </c>
      <c r="D1029" t="s">
        <v>702</v>
      </c>
      <c r="E1029">
        <v>1</v>
      </c>
      <c r="F1029">
        <v>23093</v>
      </c>
      <c r="G1029">
        <v>4500</v>
      </c>
    </row>
    <row r="1030" spans="1:7" x14ac:dyDescent="0.3">
      <c r="A1030" s="80">
        <v>45812.89335648148</v>
      </c>
      <c r="B1030" t="s">
        <v>682</v>
      </c>
      <c r="C1030" t="s">
        <v>701</v>
      </c>
      <c r="D1030" t="s">
        <v>702</v>
      </c>
      <c r="E1030">
        <v>1</v>
      </c>
      <c r="F1030">
        <v>23093</v>
      </c>
      <c r="G1030">
        <v>4500</v>
      </c>
    </row>
    <row r="1031" spans="1:7" x14ac:dyDescent="0.3">
      <c r="A1031" s="80">
        <v>45812.923090277778</v>
      </c>
      <c r="B1031" t="s">
        <v>682</v>
      </c>
      <c r="C1031" t="s">
        <v>701</v>
      </c>
      <c r="D1031" t="s">
        <v>702</v>
      </c>
      <c r="E1031">
        <v>1</v>
      </c>
      <c r="F1031">
        <v>23093</v>
      </c>
      <c r="G1031">
        <v>4500</v>
      </c>
    </row>
    <row r="1032" spans="1:7" x14ac:dyDescent="0.3">
      <c r="A1032" s="80">
        <v>45812.930914351848</v>
      </c>
      <c r="B1032" t="s">
        <v>719</v>
      </c>
      <c r="C1032" t="s">
        <v>720</v>
      </c>
      <c r="D1032" t="s">
        <v>721</v>
      </c>
      <c r="E1032">
        <v>1</v>
      </c>
      <c r="F1032">
        <v>29990</v>
      </c>
      <c r="G1032">
        <v>5000</v>
      </c>
    </row>
    <row r="1033" spans="1:7" x14ac:dyDescent="0.3">
      <c r="A1033" s="80">
        <v>45812.930914351848</v>
      </c>
      <c r="B1033" t="s">
        <v>677</v>
      </c>
      <c r="C1033" t="s">
        <v>706</v>
      </c>
      <c r="D1033" t="s">
        <v>707</v>
      </c>
      <c r="E1033">
        <v>1</v>
      </c>
      <c r="F1033">
        <v>29990</v>
      </c>
      <c r="G1033">
        <v>5000</v>
      </c>
    </row>
    <row r="1034" spans="1:7" x14ac:dyDescent="0.3">
      <c r="A1034" s="80">
        <v>45812.94427083333</v>
      </c>
      <c r="B1034" t="s">
        <v>725</v>
      </c>
      <c r="C1034" t="s">
        <v>715</v>
      </c>
      <c r="D1034" t="s">
        <v>726</v>
      </c>
      <c r="E1034">
        <v>1</v>
      </c>
      <c r="F1034">
        <v>48990</v>
      </c>
      <c r="G1034">
        <v>12630</v>
      </c>
    </row>
    <row r="1035" spans="1:7" x14ac:dyDescent="0.3">
      <c r="A1035" s="80">
        <v>45812.945520833331</v>
      </c>
      <c r="B1035" t="s">
        <v>682</v>
      </c>
      <c r="C1035" t="s">
        <v>701</v>
      </c>
      <c r="D1035" t="s">
        <v>702</v>
      </c>
      <c r="E1035">
        <v>1</v>
      </c>
      <c r="F1035">
        <v>23093</v>
      </c>
      <c r="G1035">
        <v>4500</v>
      </c>
    </row>
    <row r="1036" spans="1:7" x14ac:dyDescent="0.3">
      <c r="A1036" s="80">
        <v>45812.979212962957</v>
      </c>
      <c r="B1036" t="s">
        <v>719</v>
      </c>
      <c r="C1036" t="s">
        <v>720</v>
      </c>
      <c r="D1036" t="s">
        <v>721</v>
      </c>
      <c r="E1036">
        <v>1</v>
      </c>
      <c r="F1036">
        <v>23093</v>
      </c>
      <c r="G1036">
        <v>5000</v>
      </c>
    </row>
    <row r="1037" spans="1:7" x14ac:dyDescent="0.3">
      <c r="A1037" s="80">
        <v>45813.008437500001</v>
      </c>
      <c r="B1037" t="s">
        <v>719</v>
      </c>
      <c r="C1037" t="s">
        <v>720</v>
      </c>
      <c r="D1037" t="s">
        <v>721</v>
      </c>
      <c r="E1037">
        <v>1</v>
      </c>
      <c r="F1037">
        <v>23093</v>
      </c>
      <c r="G1037">
        <v>5000</v>
      </c>
    </row>
    <row r="1038" spans="1:7" x14ac:dyDescent="0.3">
      <c r="A1038" s="80">
        <v>45813.279409722221</v>
      </c>
      <c r="B1038" t="s">
        <v>719</v>
      </c>
      <c r="C1038" t="s">
        <v>720</v>
      </c>
      <c r="D1038" t="s">
        <v>721</v>
      </c>
      <c r="E1038">
        <v>1</v>
      </c>
      <c r="F1038">
        <v>23093</v>
      </c>
      <c r="G1038">
        <v>5000</v>
      </c>
    </row>
    <row r="1039" spans="1:7" x14ac:dyDescent="0.3">
      <c r="A1039" s="80">
        <v>45813.279409722221</v>
      </c>
      <c r="B1039" t="s">
        <v>682</v>
      </c>
      <c r="C1039" t="s">
        <v>701</v>
      </c>
      <c r="D1039" t="s">
        <v>702</v>
      </c>
      <c r="E1039">
        <v>1</v>
      </c>
      <c r="F1039">
        <v>23093</v>
      </c>
      <c r="G1039">
        <v>4500</v>
      </c>
    </row>
    <row r="1040" spans="1:7" x14ac:dyDescent="0.3">
      <c r="A1040" s="80">
        <v>45813.289675925917</v>
      </c>
      <c r="B1040" t="s">
        <v>719</v>
      </c>
      <c r="C1040" t="s">
        <v>720</v>
      </c>
      <c r="D1040" t="s">
        <v>721</v>
      </c>
      <c r="E1040">
        <v>1</v>
      </c>
      <c r="F1040">
        <v>23093</v>
      </c>
      <c r="G1040">
        <v>5000</v>
      </c>
    </row>
    <row r="1041" spans="1:7" x14ac:dyDescent="0.3">
      <c r="A1041" s="80">
        <v>45813.55097222222</v>
      </c>
      <c r="B1041" t="s">
        <v>719</v>
      </c>
      <c r="C1041" t="s">
        <v>720</v>
      </c>
      <c r="D1041" t="s">
        <v>721</v>
      </c>
      <c r="E1041">
        <v>1</v>
      </c>
      <c r="F1041">
        <v>23093</v>
      </c>
      <c r="G1041">
        <v>5000</v>
      </c>
    </row>
    <row r="1042" spans="1:7" x14ac:dyDescent="0.3">
      <c r="A1042" s="80">
        <v>45813.670613425929</v>
      </c>
      <c r="B1042" t="s">
        <v>719</v>
      </c>
      <c r="C1042" t="s">
        <v>720</v>
      </c>
      <c r="D1042" t="s">
        <v>721</v>
      </c>
      <c r="E1042">
        <v>1</v>
      </c>
      <c r="F1042">
        <v>23093</v>
      </c>
      <c r="G1042">
        <v>5000</v>
      </c>
    </row>
    <row r="1043" spans="1:7" x14ac:dyDescent="0.3">
      <c r="A1043" s="80">
        <v>45813.70140046296</v>
      </c>
      <c r="B1043" t="s">
        <v>725</v>
      </c>
      <c r="C1043" t="s">
        <v>715</v>
      </c>
      <c r="D1043" t="s">
        <v>726</v>
      </c>
      <c r="E1043">
        <v>1</v>
      </c>
      <c r="F1043">
        <v>48990</v>
      </c>
      <c r="G1043">
        <v>12630</v>
      </c>
    </row>
    <row r="1044" spans="1:7" x14ac:dyDescent="0.3">
      <c r="A1044" s="80">
        <v>45813.710231481477</v>
      </c>
      <c r="B1044" t="s">
        <v>677</v>
      </c>
      <c r="C1044" t="s">
        <v>706</v>
      </c>
      <c r="D1044" t="s">
        <v>707</v>
      </c>
      <c r="E1044">
        <v>1</v>
      </c>
      <c r="F1044">
        <v>29990</v>
      </c>
      <c r="G1044">
        <v>5000</v>
      </c>
    </row>
    <row r="1045" spans="1:7" x14ac:dyDescent="0.3">
      <c r="A1045" s="80">
        <v>45813.753009259257</v>
      </c>
      <c r="B1045" t="s">
        <v>719</v>
      </c>
      <c r="C1045" t="s">
        <v>720</v>
      </c>
      <c r="D1045" t="s">
        <v>721</v>
      </c>
      <c r="E1045">
        <v>1</v>
      </c>
      <c r="F1045">
        <v>23093</v>
      </c>
      <c r="G1045">
        <v>5000</v>
      </c>
    </row>
    <row r="1046" spans="1:7" x14ac:dyDescent="0.3">
      <c r="A1046" s="80">
        <v>45813.763194444437</v>
      </c>
      <c r="B1046" t="s">
        <v>703</v>
      </c>
      <c r="C1046" t="s">
        <v>704</v>
      </c>
      <c r="D1046" t="s">
        <v>705</v>
      </c>
      <c r="E1046">
        <v>1</v>
      </c>
      <c r="F1046">
        <v>4490</v>
      </c>
      <c r="G1046">
        <v>500</v>
      </c>
    </row>
    <row r="1047" spans="1:7" x14ac:dyDescent="0.3">
      <c r="A1047" s="80">
        <v>45813.845196759263</v>
      </c>
      <c r="B1047" t="s">
        <v>703</v>
      </c>
      <c r="C1047" t="s">
        <v>704</v>
      </c>
      <c r="D1047" t="s">
        <v>705</v>
      </c>
      <c r="E1047">
        <v>1</v>
      </c>
      <c r="F1047">
        <v>4490</v>
      </c>
      <c r="G1047">
        <v>500</v>
      </c>
    </row>
    <row r="1048" spans="1:7" x14ac:dyDescent="0.3">
      <c r="A1048" s="80">
        <v>45813.845196759263</v>
      </c>
      <c r="B1048" t="s">
        <v>682</v>
      </c>
      <c r="C1048" t="s">
        <v>701</v>
      </c>
      <c r="D1048" t="s">
        <v>702</v>
      </c>
      <c r="E1048">
        <v>1</v>
      </c>
      <c r="F1048">
        <v>23093</v>
      </c>
      <c r="G1048">
        <v>4500</v>
      </c>
    </row>
    <row r="1049" spans="1:7" x14ac:dyDescent="0.3">
      <c r="A1049" s="80">
        <v>45813.877175925933</v>
      </c>
      <c r="B1049" t="s">
        <v>719</v>
      </c>
      <c r="C1049" t="s">
        <v>720</v>
      </c>
      <c r="D1049" t="s">
        <v>721</v>
      </c>
      <c r="E1049">
        <v>1</v>
      </c>
      <c r="F1049">
        <v>23093</v>
      </c>
      <c r="G1049">
        <v>5000</v>
      </c>
    </row>
    <row r="1050" spans="1:7" x14ac:dyDescent="0.3">
      <c r="A1050" s="80">
        <v>45813.893877314818</v>
      </c>
      <c r="B1050" t="s">
        <v>719</v>
      </c>
      <c r="C1050" t="s">
        <v>720</v>
      </c>
      <c r="D1050" t="s">
        <v>721</v>
      </c>
      <c r="E1050">
        <v>1</v>
      </c>
      <c r="F1050">
        <v>23093</v>
      </c>
      <c r="G1050">
        <v>5000</v>
      </c>
    </row>
    <row r="1051" spans="1:7" x14ac:dyDescent="0.3">
      <c r="A1051" s="80">
        <v>45814.108425925922</v>
      </c>
      <c r="B1051" t="s">
        <v>682</v>
      </c>
      <c r="C1051" t="s">
        <v>701</v>
      </c>
      <c r="D1051" t="s">
        <v>702</v>
      </c>
      <c r="E1051">
        <v>2</v>
      </c>
      <c r="F1051">
        <v>46186</v>
      </c>
      <c r="G1051">
        <v>9000</v>
      </c>
    </row>
    <row r="1052" spans="1:7" x14ac:dyDescent="0.3">
      <c r="A1052" s="80">
        <v>45814.451851851853</v>
      </c>
      <c r="B1052" t="s">
        <v>719</v>
      </c>
      <c r="C1052" t="s">
        <v>720</v>
      </c>
      <c r="D1052" t="s">
        <v>721</v>
      </c>
      <c r="E1052">
        <v>1</v>
      </c>
      <c r="F1052">
        <v>29990</v>
      </c>
      <c r="G1052">
        <v>5000</v>
      </c>
    </row>
    <row r="1053" spans="1:7" x14ac:dyDescent="0.3">
      <c r="A1053" s="80">
        <v>45814.664050925923</v>
      </c>
      <c r="B1053" t="s">
        <v>719</v>
      </c>
      <c r="C1053" t="s">
        <v>720</v>
      </c>
      <c r="D1053" t="s">
        <v>721</v>
      </c>
      <c r="E1053">
        <v>1</v>
      </c>
      <c r="F1053">
        <v>32990</v>
      </c>
      <c r="G1053">
        <v>5000</v>
      </c>
    </row>
    <row r="1054" spans="1:7" x14ac:dyDescent="0.3">
      <c r="A1054" s="80">
        <v>45814.737881944442</v>
      </c>
      <c r="B1054" t="s">
        <v>719</v>
      </c>
      <c r="C1054" t="s">
        <v>720</v>
      </c>
      <c r="D1054" t="s">
        <v>721</v>
      </c>
      <c r="E1054">
        <v>1</v>
      </c>
      <c r="F1054">
        <v>23093</v>
      </c>
      <c r="G1054">
        <v>5000</v>
      </c>
    </row>
    <row r="1055" spans="1:7" x14ac:dyDescent="0.3">
      <c r="A1055" s="80">
        <v>45815.422002314823</v>
      </c>
      <c r="B1055" t="s">
        <v>719</v>
      </c>
      <c r="C1055" t="s">
        <v>720</v>
      </c>
      <c r="D1055" t="s">
        <v>721</v>
      </c>
      <c r="E1055">
        <v>1</v>
      </c>
      <c r="F1055">
        <v>32990</v>
      </c>
      <c r="G1055">
        <v>5000</v>
      </c>
    </row>
    <row r="1056" spans="1:7" x14ac:dyDescent="0.3">
      <c r="A1056" s="80">
        <v>45816.169907407413</v>
      </c>
      <c r="B1056" t="s">
        <v>719</v>
      </c>
      <c r="C1056" t="s">
        <v>720</v>
      </c>
      <c r="D1056" t="s">
        <v>721</v>
      </c>
      <c r="E1056">
        <v>1</v>
      </c>
      <c r="F1056">
        <v>32990</v>
      </c>
      <c r="G1056">
        <v>5000</v>
      </c>
    </row>
    <row r="1057" spans="1:7" x14ac:dyDescent="0.3">
      <c r="A1057" s="80">
        <v>45816.489363425928</v>
      </c>
      <c r="B1057" t="s">
        <v>717</v>
      </c>
      <c r="C1057" t="s">
        <v>704</v>
      </c>
      <c r="D1057" t="s">
        <v>718</v>
      </c>
      <c r="E1057">
        <v>1</v>
      </c>
      <c r="F1057">
        <v>9990</v>
      </c>
      <c r="G1057">
        <v>2630</v>
      </c>
    </row>
    <row r="1058" spans="1:7" x14ac:dyDescent="0.3">
      <c r="A1058" s="80">
        <v>45816.60670138889</v>
      </c>
      <c r="B1058" t="s">
        <v>719</v>
      </c>
      <c r="C1058" t="s">
        <v>720</v>
      </c>
      <c r="D1058" t="s">
        <v>721</v>
      </c>
      <c r="E1058">
        <v>1</v>
      </c>
      <c r="F1058">
        <v>32990</v>
      </c>
      <c r="G1058">
        <v>5000</v>
      </c>
    </row>
    <row r="1059" spans="1:7" x14ac:dyDescent="0.3">
      <c r="A1059" s="80">
        <v>45816.74863425926</v>
      </c>
      <c r="B1059" t="s">
        <v>677</v>
      </c>
      <c r="C1059" t="s">
        <v>706</v>
      </c>
      <c r="D1059" t="s">
        <v>707</v>
      </c>
      <c r="E1059">
        <v>1</v>
      </c>
      <c r="F1059">
        <v>29990</v>
      </c>
      <c r="G1059">
        <v>5000</v>
      </c>
    </row>
    <row r="1060" spans="1:7" x14ac:dyDescent="0.3">
      <c r="A1060" s="80">
        <v>45817.435324074067</v>
      </c>
      <c r="B1060" t="s">
        <v>719</v>
      </c>
      <c r="C1060" t="s">
        <v>720</v>
      </c>
      <c r="D1060" t="s">
        <v>721</v>
      </c>
      <c r="E1060">
        <v>1</v>
      </c>
      <c r="F1060">
        <v>32990</v>
      </c>
      <c r="G1060">
        <v>5000</v>
      </c>
    </row>
    <row r="1061" spans="1:7" x14ac:dyDescent="0.3">
      <c r="A1061" s="80">
        <v>45817.628750000003</v>
      </c>
      <c r="B1061" t="s">
        <v>719</v>
      </c>
      <c r="C1061" t="s">
        <v>720</v>
      </c>
      <c r="D1061" t="s">
        <v>721</v>
      </c>
      <c r="E1061">
        <v>1</v>
      </c>
      <c r="F1061">
        <v>32990</v>
      </c>
      <c r="G1061">
        <v>5000</v>
      </c>
    </row>
    <row r="1062" spans="1:7" x14ac:dyDescent="0.3">
      <c r="A1062" s="80">
        <v>45817.749363425923</v>
      </c>
      <c r="B1062" t="s">
        <v>719</v>
      </c>
      <c r="C1062" t="s">
        <v>720</v>
      </c>
      <c r="D1062" t="s">
        <v>721</v>
      </c>
      <c r="E1062">
        <v>1</v>
      </c>
      <c r="F1062">
        <v>29990</v>
      </c>
      <c r="G1062">
        <v>5000</v>
      </c>
    </row>
    <row r="1063" spans="1:7" x14ac:dyDescent="0.3">
      <c r="A1063" s="80">
        <v>45817.749363425923</v>
      </c>
      <c r="B1063" t="s">
        <v>677</v>
      </c>
      <c r="C1063" t="s">
        <v>706</v>
      </c>
      <c r="D1063" t="s">
        <v>707</v>
      </c>
      <c r="E1063">
        <v>1</v>
      </c>
      <c r="F1063">
        <v>29990</v>
      </c>
      <c r="G1063">
        <v>5000</v>
      </c>
    </row>
    <row r="1064" spans="1:7" x14ac:dyDescent="0.3">
      <c r="A1064" s="80">
        <v>45817.883657407408</v>
      </c>
      <c r="B1064" t="s">
        <v>677</v>
      </c>
      <c r="C1064" t="s">
        <v>706</v>
      </c>
      <c r="D1064" t="s">
        <v>707</v>
      </c>
      <c r="E1064">
        <v>1</v>
      </c>
      <c r="F1064">
        <v>29990</v>
      </c>
      <c r="G1064">
        <v>5000</v>
      </c>
    </row>
    <row r="1065" spans="1:7" x14ac:dyDescent="0.3">
      <c r="A1065" s="80">
        <v>45818.437337962961</v>
      </c>
      <c r="B1065" t="s">
        <v>719</v>
      </c>
      <c r="C1065" t="s">
        <v>720</v>
      </c>
      <c r="D1065" t="s">
        <v>721</v>
      </c>
      <c r="E1065">
        <v>1</v>
      </c>
      <c r="F1065">
        <v>29990</v>
      </c>
      <c r="G1065">
        <v>5000</v>
      </c>
    </row>
    <row r="1066" spans="1:7" x14ac:dyDescent="0.3">
      <c r="A1066" s="80">
        <v>45818.728564814817</v>
      </c>
      <c r="B1066" t="s">
        <v>682</v>
      </c>
      <c r="C1066" t="s">
        <v>701</v>
      </c>
      <c r="D1066" t="s">
        <v>702</v>
      </c>
      <c r="E1066">
        <v>1</v>
      </c>
      <c r="F1066">
        <v>32990</v>
      </c>
      <c r="G1066">
        <v>4500</v>
      </c>
    </row>
    <row r="1067" spans="1:7" x14ac:dyDescent="0.3">
      <c r="A1067" s="80">
        <v>45818.793194444443</v>
      </c>
      <c r="B1067" t="s">
        <v>682</v>
      </c>
      <c r="C1067" t="s">
        <v>701</v>
      </c>
      <c r="D1067" t="s">
        <v>702</v>
      </c>
      <c r="E1067">
        <v>1</v>
      </c>
      <c r="F1067">
        <v>32990</v>
      </c>
      <c r="G1067">
        <v>4500</v>
      </c>
    </row>
    <row r="1068" spans="1:7" x14ac:dyDescent="0.3">
      <c r="A1068" s="80">
        <v>45818.976990740739</v>
      </c>
      <c r="B1068" t="s">
        <v>719</v>
      </c>
      <c r="C1068" t="s">
        <v>720</v>
      </c>
      <c r="D1068" t="s">
        <v>721</v>
      </c>
      <c r="E1068">
        <v>1</v>
      </c>
      <c r="F1068">
        <v>32990</v>
      </c>
      <c r="G1068">
        <v>5000</v>
      </c>
    </row>
    <row r="1069" spans="1:7" x14ac:dyDescent="0.3">
      <c r="A1069" s="80">
        <v>45819.353668981479</v>
      </c>
      <c r="B1069" t="s">
        <v>677</v>
      </c>
      <c r="C1069" t="s">
        <v>706</v>
      </c>
      <c r="D1069" t="s">
        <v>707</v>
      </c>
      <c r="E1069">
        <v>1</v>
      </c>
      <c r="F1069">
        <v>29990</v>
      </c>
      <c r="G1069">
        <v>5000</v>
      </c>
    </row>
    <row r="1070" spans="1:7" x14ac:dyDescent="0.3">
      <c r="A1070" s="80">
        <v>45819.880995370368</v>
      </c>
      <c r="B1070" t="s">
        <v>703</v>
      </c>
      <c r="C1070" t="s">
        <v>704</v>
      </c>
      <c r="D1070" t="s">
        <v>705</v>
      </c>
      <c r="E1070">
        <v>1</v>
      </c>
      <c r="F1070">
        <v>9990</v>
      </c>
      <c r="G1070">
        <v>500</v>
      </c>
    </row>
    <row r="1071" spans="1:7" x14ac:dyDescent="0.3">
      <c r="A1071" s="80">
        <v>45819.880995370368</v>
      </c>
      <c r="B1071" t="s">
        <v>682</v>
      </c>
      <c r="C1071" t="s">
        <v>701</v>
      </c>
      <c r="D1071" t="s">
        <v>702</v>
      </c>
      <c r="E1071">
        <v>1</v>
      </c>
      <c r="F1071">
        <v>32990</v>
      </c>
      <c r="G1071">
        <v>4500</v>
      </c>
    </row>
    <row r="1072" spans="1:7" x14ac:dyDescent="0.3">
      <c r="A1072" s="80">
        <v>45819.880995370368</v>
      </c>
      <c r="B1072" t="s">
        <v>719</v>
      </c>
      <c r="C1072" t="s">
        <v>720</v>
      </c>
      <c r="D1072" t="s">
        <v>721</v>
      </c>
      <c r="E1072">
        <v>1</v>
      </c>
      <c r="F1072">
        <v>32990</v>
      </c>
      <c r="G1072">
        <v>5000</v>
      </c>
    </row>
    <row r="1073" spans="1:7" x14ac:dyDescent="0.3">
      <c r="A1073" s="80">
        <v>45820.610254629632</v>
      </c>
      <c r="B1073" t="s">
        <v>677</v>
      </c>
      <c r="C1073" t="s">
        <v>706</v>
      </c>
      <c r="D1073" t="s">
        <v>707</v>
      </c>
      <c r="E1073">
        <v>1</v>
      </c>
      <c r="F1073">
        <v>29990</v>
      </c>
      <c r="G1073">
        <v>5000</v>
      </c>
    </row>
    <row r="1074" spans="1:7" x14ac:dyDescent="0.3">
      <c r="A1074" s="80">
        <v>45822.442847222221</v>
      </c>
      <c r="B1074" t="s">
        <v>719</v>
      </c>
      <c r="C1074" t="s">
        <v>720</v>
      </c>
      <c r="D1074" t="s">
        <v>721</v>
      </c>
      <c r="E1074">
        <v>1</v>
      </c>
      <c r="F1074">
        <v>29990</v>
      </c>
      <c r="G1074">
        <v>5000</v>
      </c>
    </row>
    <row r="1075" spans="1:7" x14ac:dyDescent="0.3">
      <c r="A1075" s="80">
        <v>45822.770613425928</v>
      </c>
      <c r="B1075" t="s">
        <v>719</v>
      </c>
      <c r="C1075" t="s">
        <v>720</v>
      </c>
      <c r="D1075" t="s">
        <v>721</v>
      </c>
      <c r="E1075">
        <v>1</v>
      </c>
      <c r="F1075">
        <v>32990</v>
      </c>
      <c r="G1075">
        <v>5000</v>
      </c>
    </row>
    <row r="1076" spans="1:7" x14ac:dyDescent="0.3">
      <c r="A1076" s="80">
        <v>45822.982754629629</v>
      </c>
      <c r="B1076" t="s">
        <v>719</v>
      </c>
      <c r="C1076" t="s">
        <v>720</v>
      </c>
      <c r="D1076" t="s">
        <v>721</v>
      </c>
      <c r="E1076">
        <v>1</v>
      </c>
      <c r="F1076">
        <v>32990</v>
      </c>
      <c r="G1076">
        <v>5000</v>
      </c>
    </row>
    <row r="1077" spans="1:7" x14ac:dyDescent="0.3">
      <c r="A1077" s="80">
        <v>45823.438298611109</v>
      </c>
      <c r="B1077" t="s">
        <v>682</v>
      </c>
      <c r="C1077" t="s">
        <v>701</v>
      </c>
      <c r="D1077" t="s">
        <v>702</v>
      </c>
      <c r="E1077">
        <v>1</v>
      </c>
      <c r="F1077">
        <v>32990</v>
      </c>
      <c r="G1077">
        <v>4500</v>
      </c>
    </row>
    <row r="1078" spans="1:7" x14ac:dyDescent="0.3">
      <c r="A1078" s="80">
        <v>45823.767361111109</v>
      </c>
      <c r="B1078" t="s">
        <v>719</v>
      </c>
      <c r="C1078" t="s">
        <v>720</v>
      </c>
      <c r="D1078" t="s">
        <v>721</v>
      </c>
      <c r="E1078">
        <v>1</v>
      </c>
      <c r="F1078">
        <v>23093</v>
      </c>
      <c r="G1078">
        <v>5000</v>
      </c>
    </row>
    <row r="1079" spans="1:7" x14ac:dyDescent="0.3">
      <c r="A1079" s="80">
        <v>45823.767361111109</v>
      </c>
      <c r="B1079" t="s">
        <v>682</v>
      </c>
      <c r="C1079" t="s">
        <v>701</v>
      </c>
      <c r="D1079" t="s">
        <v>702</v>
      </c>
      <c r="E1079">
        <v>1</v>
      </c>
      <c r="F1079">
        <v>23093</v>
      </c>
      <c r="G1079">
        <v>4500</v>
      </c>
    </row>
    <row r="1080" spans="1:7" x14ac:dyDescent="0.3">
      <c r="A1080" s="80">
        <v>45823.835381944453</v>
      </c>
      <c r="B1080" t="s">
        <v>719</v>
      </c>
      <c r="C1080" t="s">
        <v>720</v>
      </c>
      <c r="D1080" t="s">
        <v>721</v>
      </c>
      <c r="E1080">
        <v>1</v>
      </c>
      <c r="F1080">
        <v>32990</v>
      </c>
      <c r="G1080">
        <v>5000</v>
      </c>
    </row>
    <row r="1081" spans="1:7" x14ac:dyDescent="0.3">
      <c r="A1081" s="80">
        <v>45824.38994212963</v>
      </c>
      <c r="B1081" t="s">
        <v>719</v>
      </c>
      <c r="C1081" t="s">
        <v>720</v>
      </c>
      <c r="D1081" t="s">
        <v>721</v>
      </c>
      <c r="E1081">
        <v>1</v>
      </c>
      <c r="F1081">
        <v>32990</v>
      </c>
      <c r="G1081">
        <v>5000</v>
      </c>
    </row>
    <row r="1082" spans="1:7" x14ac:dyDescent="0.3">
      <c r="A1082" s="80">
        <v>45824.42324074074</v>
      </c>
      <c r="B1082" t="s">
        <v>677</v>
      </c>
      <c r="C1082" t="s">
        <v>706</v>
      </c>
      <c r="D1082" t="s">
        <v>707</v>
      </c>
      <c r="E1082">
        <v>1</v>
      </c>
      <c r="F1082">
        <v>29990</v>
      </c>
      <c r="G1082">
        <v>5000</v>
      </c>
    </row>
    <row r="1083" spans="1:7" x14ac:dyDescent="0.3">
      <c r="A1083" s="80">
        <v>45825.308171296303</v>
      </c>
      <c r="B1083" t="s">
        <v>719</v>
      </c>
      <c r="C1083" t="s">
        <v>720</v>
      </c>
      <c r="D1083" t="s">
        <v>721</v>
      </c>
      <c r="E1083">
        <v>1</v>
      </c>
      <c r="F1083">
        <v>32990</v>
      </c>
      <c r="G1083">
        <v>5000</v>
      </c>
    </row>
    <row r="1084" spans="1:7" x14ac:dyDescent="0.3">
      <c r="A1084" s="80">
        <v>45825.70144675926</v>
      </c>
      <c r="B1084" t="s">
        <v>677</v>
      </c>
      <c r="C1084" t="s">
        <v>706</v>
      </c>
      <c r="D1084" t="s">
        <v>707</v>
      </c>
      <c r="E1084">
        <v>1</v>
      </c>
      <c r="F1084">
        <v>29990</v>
      </c>
      <c r="G1084">
        <v>5000</v>
      </c>
    </row>
    <row r="1085" spans="1:7" x14ac:dyDescent="0.3">
      <c r="A1085" s="80">
        <v>45825.864733796298</v>
      </c>
      <c r="B1085" t="s">
        <v>703</v>
      </c>
      <c r="C1085" t="s">
        <v>704</v>
      </c>
      <c r="D1085" t="s">
        <v>705</v>
      </c>
      <c r="E1085">
        <v>1</v>
      </c>
      <c r="F1085">
        <v>4995</v>
      </c>
      <c r="G1085">
        <v>500</v>
      </c>
    </row>
    <row r="1086" spans="1:7" x14ac:dyDescent="0.3">
      <c r="A1086" s="80">
        <v>45825.864733796298</v>
      </c>
      <c r="B1086" t="s">
        <v>682</v>
      </c>
      <c r="C1086" t="s">
        <v>701</v>
      </c>
      <c r="D1086" t="s">
        <v>702</v>
      </c>
      <c r="E1086">
        <v>1</v>
      </c>
      <c r="F1086">
        <v>32990</v>
      </c>
      <c r="G1086">
        <v>4500</v>
      </c>
    </row>
    <row r="1087" spans="1:7" x14ac:dyDescent="0.3">
      <c r="A1087" s="80">
        <v>45826.051111111112</v>
      </c>
      <c r="B1087" t="s">
        <v>677</v>
      </c>
      <c r="C1087" t="s">
        <v>706</v>
      </c>
      <c r="D1087" t="s">
        <v>707</v>
      </c>
      <c r="E1087">
        <v>1</v>
      </c>
      <c r="F1087">
        <v>29990</v>
      </c>
      <c r="G1087">
        <v>5000</v>
      </c>
    </row>
    <row r="1088" spans="1:7" x14ac:dyDescent="0.3">
      <c r="A1088" s="80">
        <v>45826.568252314813</v>
      </c>
      <c r="B1088" t="s">
        <v>677</v>
      </c>
      <c r="C1088" t="s">
        <v>706</v>
      </c>
      <c r="D1088" t="s">
        <v>707</v>
      </c>
      <c r="E1088">
        <v>1</v>
      </c>
      <c r="F1088">
        <v>29990</v>
      </c>
      <c r="G1088">
        <v>5000</v>
      </c>
    </row>
    <row r="1089" spans="1:7" x14ac:dyDescent="0.3">
      <c r="A1089" s="80">
        <v>45826.890659722223</v>
      </c>
      <c r="B1089" t="s">
        <v>677</v>
      </c>
      <c r="C1089" t="s">
        <v>706</v>
      </c>
      <c r="D1089" t="s">
        <v>707</v>
      </c>
      <c r="E1089">
        <v>1</v>
      </c>
      <c r="F1089">
        <v>29990</v>
      </c>
      <c r="G1089">
        <v>5000</v>
      </c>
    </row>
    <row r="1090" spans="1:7" x14ac:dyDescent="0.3">
      <c r="A1090" s="80">
        <v>45827.565127314818</v>
      </c>
      <c r="B1090" t="s">
        <v>682</v>
      </c>
      <c r="C1090" t="s">
        <v>701</v>
      </c>
      <c r="D1090" t="s">
        <v>702</v>
      </c>
      <c r="E1090">
        <v>1</v>
      </c>
      <c r="F1090">
        <v>32990</v>
      </c>
      <c r="G1090">
        <v>4500</v>
      </c>
    </row>
    <row r="1091" spans="1:7" x14ac:dyDescent="0.3">
      <c r="A1091" s="80">
        <v>45827.650405092587</v>
      </c>
      <c r="B1091" t="s">
        <v>719</v>
      </c>
      <c r="C1091" t="s">
        <v>720</v>
      </c>
      <c r="D1091" t="s">
        <v>721</v>
      </c>
      <c r="E1091">
        <v>1</v>
      </c>
      <c r="F1091">
        <v>32990</v>
      </c>
      <c r="G1091">
        <v>5000</v>
      </c>
    </row>
    <row r="1092" spans="1:7" x14ac:dyDescent="0.3">
      <c r="A1092" s="80">
        <v>45828.392835648148</v>
      </c>
      <c r="B1092" t="s">
        <v>719</v>
      </c>
      <c r="C1092" t="s">
        <v>720</v>
      </c>
      <c r="D1092" t="s">
        <v>721</v>
      </c>
      <c r="E1092">
        <v>1</v>
      </c>
      <c r="F1092">
        <v>29990</v>
      </c>
      <c r="G1092">
        <v>5000</v>
      </c>
    </row>
    <row r="1093" spans="1:7" x14ac:dyDescent="0.3">
      <c r="A1093" s="80">
        <v>45828.868136574078</v>
      </c>
      <c r="B1093" t="s">
        <v>719</v>
      </c>
      <c r="C1093" t="s">
        <v>720</v>
      </c>
      <c r="D1093" t="s">
        <v>721</v>
      </c>
      <c r="E1093">
        <v>1</v>
      </c>
      <c r="F1093">
        <v>29990</v>
      </c>
      <c r="G1093">
        <v>5000</v>
      </c>
    </row>
  </sheetData>
  <pageMargins left="0.7" right="0.7" top="0.75" bottom="0.75" header="0.3" footer="0.3"/>
  <pageSetup paperSize="9" orientation="portrait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2:AC64"/>
  <sheetViews>
    <sheetView showGridLines="0" workbookViewId="0">
      <selection activeCell="F22" sqref="F22"/>
    </sheetView>
  </sheetViews>
  <sheetFormatPr baseColWidth="10" defaultRowHeight="14.4" x14ac:dyDescent="0.3"/>
  <cols>
    <col min="1" max="1" width="35.109375" bestFit="1" customWidth="1"/>
    <col min="2" max="2" width="8.88671875" bestFit="1" customWidth="1"/>
    <col min="3" max="3" width="11.5546875" style="98" customWidth="1"/>
    <col min="4" max="4" width="8.77734375" bestFit="1" customWidth="1"/>
    <col min="5" max="5" width="9.33203125" customWidth="1"/>
    <col min="6" max="6" width="10.109375" bestFit="1" customWidth="1"/>
    <col min="7" max="7" width="10.5546875" bestFit="1" customWidth="1"/>
    <col min="8" max="8" width="7.6640625" customWidth="1"/>
    <col min="9" max="9" width="10.109375" customWidth="1"/>
    <col min="10" max="10" width="9.6640625" customWidth="1"/>
    <col min="11" max="16" width="7.6640625" customWidth="1"/>
    <col min="17" max="28" width="7.77734375" customWidth="1"/>
  </cols>
  <sheetData>
    <row r="2" spans="1:28" ht="14.7" customHeight="1" thickBot="1" x14ac:dyDescent="0.35">
      <c r="A2" s="566" t="s">
        <v>815</v>
      </c>
      <c r="B2" s="567">
        <v>29990</v>
      </c>
      <c r="D2" s="629" t="s">
        <v>688</v>
      </c>
      <c r="E2" s="629" t="s">
        <v>816</v>
      </c>
      <c r="F2" s="806" t="s">
        <v>817</v>
      </c>
      <c r="G2" s="802"/>
      <c r="H2" s="805"/>
      <c r="I2" s="640" t="s">
        <v>818</v>
      </c>
      <c r="J2" s="641" t="s">
        <v>819</v>
      </c>
    </row>
    <row r="3" spans="1:28" x14ac:dyDescent="0.3">
      <c r="A3" s="600" t="s">
        <v>820</v>
      </c>
      <c r="B3" s="601">
        <v>29990</v>
      </c>
      <c r="D3" s="602" t="s">
        <v>821</v>
      </c>
      <c r="E3" s="604">
        <v>1</v>
      </c>
      <c r="F3" s="634" t="s">
        <v>822</v>
      </c>
      <c r="G3" s="635" t="s">
        <v>823</v>
      </c>
      <c r="H3" s="636" t="s">
        <v>824</v>
      </c>
      <c r="I3" s="637">
        <v>1000</v>
      </c>
      <c r="J3" s="638">
        <v>45627</v>
      </c>
    </row>
    <row r="4" spans="1:28" x14ac:dyDescent="0.3">
      <c r="A4" s="600" t="s">
        <v>825</v>
      </c>
      <c r="B4" s="601">
        <v>6400</v>
      </c>
      <c r="D4" s="602" t="s">
        <v>826</v>
      </c>
      <c r="E4" s="605">
        <v>1</v>
      </c>
      <c r="F4" s="624">
        <v>0.5</v>
      </c>
      <c r="G4" s="625">
        <v>0</v>
      </c>
      <c r="H4" s="626">
        <v>0</v>
      </c>
      <c r="I4" s="632"/>
      <c r="J4" s="633"/>
    </row>
    <row r="5" spans="1:28" x14ac:dyDescent="0.3">
      <c r="A5" s="600" t="s">
        <v>827</v>
      </c>
      <c r="B5" s="601">
        <v>5100</v>
      </c>
      <c r="D5" s="602" t="s">
        <v>828</v>
      </c>
      <c r="E5" s="605">
        <v>1</v>
      </c>
      <c r="F5" s="624">
        <v>0.2</v>
      </c>
      <c r="G5" s="625">
        <v>0.2</v>
      </c>
      <c r="H5" s="626">
        <v>0.1</v>
      </c>
      <c r="I5" s="632"/>
      <c r="J5" s="633"/>
    </row>
    <row r="6" spans="1:28" ht="14.7" customHeight="1" thickBot="1" x14ac:dyDescent="0.35">
      <c r="A6" s="568" t="s">
        <v>829</v>
      </c>
      <c r="B6" s="569">
        <v>4100</v>
      </c>
      <c r="D6" s="603"/>
      <c r="E6" s="606"/>
      <c r="F6" s="627"/>
      <c r="G6" s="104"/>
      <c r="H6" s="628"/>
      <c r="I6" s="627"/>
      <c r="J6" s="628"/>
    </row>
    <row r="7" spans="1:28" x14ac:dyDescent="0.3">
      <c r="C7" s="161" t="s">
        <v>830</v>
      </c>
      <c r="D7" s="98">
        <v>37578</v>
      </c>
      <c r="E7" s="98">
        <v>37900</v>
      </c>
      <c r="F7" s="98">
        <v>38000</v>
      </c>
      <c r="G7" s="98">
        <v>38100</v>
      </c>
      <c r="H7" s="98">
        <v>38200</v>
      </c>
      <c r="I7" s="98">
        <v>38300</v>
      </c>
      <c r="J7" s="98">
        <v>38400</v>
      </c>
      <c r="K7" s="98">
        <v>38500</v>
      </c>
      <c r="L7" s="98">
        <v>38600</v>
      </c>
      <c r="M7" s="98">
        <v>38700</v>
      </c>
      <c r="N7" s="98">
        <v>38800</v>
      </c>
      <c r="O7" s="98">
        <v>38900</v>
      </c>
      <c r="P7" s="98">
        <v>39000</v>
      </c>
      <c r="Q7" s="98">
        <v>39200</v>
      </c>
      <c r="R7" s="98">
        <v>39300</v>
      </c>
      <c r="S7" s="98">
        <v>39400</v>
      </c>
      <c r="T7" s="98">
        <v>39500</v>
      </c>
      <c r="U7" s="98">
        <v>39700</v>
      </c>
      <c r="V7" s="98">
        <v>39800</v>
      </c>
      <c r="W7" s="98">
        <v>40000</v>
      </c>
      <c r="X7" s="98">
        <v>40100</v>
      </c>
      <c r="Y7" s="98">
        <v>40200</v>
      </c>
      <c r="Z7" s="98">
        <v>40400</v>
      </c>
      <c r="AA7" s="98">
        <v>40500</v>
      </c>
      <c r="AB7" s="98">
        <v>40600</v>
      </c>
    </row>
    <row r="8" spans="1:28" x14ac:dyDescent="0.3">
      <c r="C8" s="161"/>
      <c r="D8" s="564">
        <v>45444</v>
      </c>
      <c r="E8" s="564">
        <v>45474</v>
      </c>
      <c r="F8" s="564">
        <v>45505</v>
      </c>
      <c r="G8" s="564">
        <v>45536</v>
      </c>
      <c r="H8" s="564">
        <v>45566</v>
      </c>
      <c r="I8" s="564">
        <v>45597</v>
      </c>
      <c r="J8" s="564">
        <v>45627</v>
      </c>
      <c r="K8" s="564">
        <v>45658</v>
      </c>
      <c r="L8" s="564">
        <v>45689</v>
      </c>
      <c r="M8" s="564">
        <v>45717</v>
      </c>
      <c r="N8" s="564">
        <v>45748</v>
      </c>
      <c r="O8" s="564">
        <v>45778</v>
      </c>
      <c r="P8" s="564">
        <v>45809</v>
      </c>
      <c r="Q8" s="564">
        <v>45839</v>
      </c>
      <c r="R8" s="564">
        <v>45870</v>
      </c>
      <c r="S8" s="564">
        <v>45901</v>
      </c>
      <c r="T8" s="564">
        <v>45931</v>
      </c>
      <c r="U8" s="564">
        <v>45962</v>
      </c>
      <c r="V8" s="564">
        <v>45992</v>
      </c>
      <c r="W8" s="564">
        <v>46023</v>
      </c>
      <c r="X8" s="564">
        <v>46054</v>
      </c>
      <c r="Y8" s="564">
        <v>46082</v>
      </c>
      <c r="Z8" s="564">
        <v>46113</v>
      </c>
      <c r="AA8" s="564">
        <v>46143</v>
      </c>
      <c r="AB8" s="564">
        <v>46174</v>
      </c>
    </row>
    <row r="9" spans="1:28" x14ac:dyDescent="0.3">
      <c r="A9" t="s">
        <v>831</v>
      </c>
      <c r="B9" s="98">
        <f>SUM(C9:AZ9)</f>
        <v>2000</v>
      </c>
      <c r="C9" s="98">
        <v>500</v>
      </c>
      <c r="D9">
        <v>65</v>
      </c>
      <c r="E9">
        <v>65</v>
      </c>
      <c r="F9">
        <v>100</v>
      </c>
      <c r="G9">
        <v>150</v>
      </c>
      <c r="H9">
        <v>250</v>
      </c>
      <c r="I9">
        <v>350</v>
      </c>
      <c r="J9">
        <v>450</v>
      </c>
      <c r="K9">
        <v>70</v>
      </c>
      <c r="L9">
        <v>0</v>
      </c>
    </row>
    <row r="10" spans="1:28" x14ac:dyDescent="0.3">
      <c r="A10" t="s">
        <v>832</v>
      </c>
      <c r="B10" s="98">
        <f>SUM(D10:AZ10)</f>
        <v>1000</v>
      </c>
      <c r="K10">
        <v>230</v>
      </c>
      <c r="L10">
        <v>300</v>
      </c>
      <c r="M10">
        <v>250</v>
      </c>
      <c r="N10">
        <v>100</v>
      </c>
      <c r="O10">
        <v>60</v>
      </c>
      <c r="P10">
        <v>60</v>
      </c>
    </row>
    <row r="11" spans="1:28" x14ac:dyDescent="0.3">
      <c r="A11" t="s">
        <v>833</v>
      </c>
      <c r="B11" s="98">
        <f>SUM(D11:AZ11)</f>
        <v>1000</v>
      </c>
      <c r="I11">
        <v>60</v>
      </c>
      <c r="J11">
        <v>120</v>
      </c>
      <c r="K11">
        <v>200</v>
      </c>
      <c r="L11">
        <v>200</v>
      </c>
      <c r="M11">
        <v>300</v>
      </c>
      <c r="N11">
        <v>120</v>
      </c>
    </row>
    <row r="12" spans="1:28" x14ac:dyDescent="0.3">
      <c r="A12" t="s">
        <v>834</v>
      </c>
      <c r="B12" s="98">
        <f>SUM(D12:AZ12)</f>
        <v>0</v>
      </c>
    </row>
    <row r="13" spans="1:28" ht="14.7" customHeight="1" thickBot="1" x14ac:dyDescent="0.35">
      <c r="A13" t="s">
        <v>835</v>
      </c>
      <c r="B13" s="98">
        <f>SUM(D13:AZ13)</f>
        <v>0</v>
      </c>
    </row>
    <row r="14" spans="1:28" ht="14.7" customHeight="1" thickBot="1" x14ac:dyDescent="0.35">
      <c r="B14" s="98"/>
      <c r="C14" s="618" t="s">
        <v>836</v>
      </c>
      <c r="D14" s="631">
        <f t="shared" ref="D14:O14" si="0">D9+D10+D11</f>
        <v>65</v>
      </c>
      <c r="E14" s="631">
        <f t="shared" si="0"/>
        <v>65</v>
      </c>
      <c r="F14" s="631">
        <f t="shared" si="0"/>
        <v>100</v>
      </c>
      <c r="G14" s="631">
        <f t="shared" si="0"/>
        <v>150</v>
      </c>
      <c r="H14" s="631">
        <f t="shared" si="0"/>
        <v>250</v>
      </c>
      <c r="I14" s="631">
        <f t="shared" si="0"/>
        <v>410</v>
      </c>
      <c r="J14" s="631">
        <f t="shared" si="0"/>
        <v>570</v>
      </c>
      <c r="K14" s="631">
        <f t="shared" si="0"/>
        <v>500</v>
      </c>
      <c r="L14" s="631">
        <f t="shared" si="0"/>
        <v>500</v>
      </c>
      <c r="M14" s="631">
        <f t="shared" si="0"/>
        <v>550</v>
      </c>
      <c r="N14" s="631">
        <f t="shared" si="0"/>
        <v>220</v>
      </c>
      <c r="O14" s="631">
        <f t="shared" si="0"/>
        <v>60</v>
      </c>
      <c r="P14" s="631">
        <f t="shared" ref="P14:Z14" si="1">P9+P10+P11+P12+P13</f>
        <v>60</v>
      </c>
      <c r="Q14" s="631">
        <f t="shared" si="1"/>
        <v>0</v>
      </c>
      <c r="R14" s="631">
        <f t="shared" si="1"/>
        <v>0</v>
      </c>
      <c r="S14" s="631">
        <f t="shared" si="1"/>
        <v>0</v>
      </c>
      <c r="T14" s="631">
        <f t="shared" si="1"/>
        <v>0</v>
      </c>
      <c r="U14" s="631">
        <f t="shared" si="1"/>
        <v>0</v>
      </c>
      <c r="V14" s="631">
        <f t="shared" si="1"/>
        <v>0</v>
      </c>
      <c r="W14" s="631">
        <f t="shared" si="1"/>
        <v>0</v>
      </c>
      <c r="X14" s="631">
        <f t="shared" si="1"/>
        <v>0</v>
      </c>
      <c r="Y14" s="631">
        <f t="shared" si="1"/>
        <v>0</v>
      </c>
      <c r="Z14" s="631">
        <f t="shared" si="1"/>
        <v>0</v>
      </c>
    </row>
    <row r="15" spans="1:28" x14ac:dyDescent="0.3">
      <c r="B15" s="561"/>
      <c r="C15" s="609" t="s">
        <v>837</v>
      </c>
      <c r="D15" s="564">
        <v>45444</v>
      </c>
      <c r="E15" s="564">
        <v>45474</v>
      </c>
      <c r="F15" s="564">
        <v>45505</v>
      </c>
      <c r="G15" s="564">
        <v>45536</v>
      </c>
      <c r="H15" s="564">
        <v>45566</v>
      </c>
      <c r="I15" s="564">
        <v>45597</v>
      </c>
      <c r="J15" s="564">
        <v>45627</v>
      </c>
      <c r="K15" s="564">
        <v>45658</v>
      </c>
      <c r="L15" s="564">
        <v>45689</v>
      </c>
      <c r="M15" s="564">
        <v>45717</v>
      </c>
      <c r="N15" s="564">
        <v>45748</v>
      </c>
      <c r="O15" s="564">
        <v>45778</v>
      </c>
      <c r="P15" s="564">
        <v>45809</v>
      </c>
      <c r="Q15" s="564">
        <v>45839</v>
      </c>
      <c r="R15" s="564">
        <v>45870</v>
      </c>
      <c r="S15" s="564">
        <v>45901</v>
      </c>
      <c r="T15" s="564">
        <v>45931</v>
      </c>
      <c r="U15" s="564">
        <v>45962</v>
      </c>
      <c r="V15" s="564">
        <v>45992</v>
      </c>
      <c r="W15" s="564">
        <v>46023</v>
      </c>
      <c r="X15" s="564">
        <v>46054</v>
      </c>
      <c r="Y15" s="564">
        <v>46082</v>
      </c>
      <c r="Z15" s="564">
        <v>46113</v>
      </c>
      <c r="AA15" s="564">
        <v>46143</v>
      </c>
      <c r="AB15" s="564">
        <v>46174</v>
      </c>
    </row>
    <row r="16" spans="1:28" x14ac:dyDescent="0.3">
      <c r="A16" s="559" t="s">
        <v>588</v>
      </c>
      <c r="B16" s="559"/>
      <c r="C16" s="610">
        <f>SUM(C17:C19)</f>
        <v>9881</v>
      </c>
    </row>
    <row r="17" spans="1:28" x14ac:dyDescent="0.3">
      <c r="A17" s="557" t="s">
        <v>460</v>
      </c>
      <c r="B17" s="557"/>
      <c r="C17" s="611">
        <v>250</v>
      </c>
    </row>
    <row r="18" spans="1:28" x14ac:dyDescent="0.3">
      <c r="A18" s="557" t="s">
        <v>521</v>
      </c>
      <c r="B18" s="557"/>
      <c r="C18" s="611">
        <v>8709</v>
      </c>
    </row>
    <row r="19" spans="1:28" x14ac:dyDescent="0.3">
      <c r="A19" s="556" t="s">
        <v>529</v>
      </c>
      <c r="B19" s="556"/>
      <c r="C19" s="612">
        <v>922</v>
      </c>
    </row>
    <row r="20" spans="1:28" x14ac:dyDescent="0.3">
      <c r="A20" s="560" t="s">
        <v>629</v>
      </c>
      <c r="B20" s="560"/>
      <c r="C20" s="610">
        <f>SUM(C21:C23)</f>
        <v>13176</v>
      </c>
    </row>
    <row r="21" spans="1:28" x14ac:dyDescent="0.3">
      <c r="A21" s="556" t="s">
        <v>488</v>
      </c>
      <c r="B21" s="556"/>
      <c r="C21" s="612">
        <v>326</v>
      </c>
    </row>
    <row r="22" spans="1:28" x14ac:dyDescent="0.3">
      <c r="A22" s="556" t="s">
        <v>498</v>
      </c>
      <c r="B22" s="556"/>
      <c r="C22" s="612">
        <v>11850</v>
      </c>
    </row>
    <row r="23" spans="1:28" x14ac:dyDescent="0.3">
      <c r="A23" s="556" t="s">
        <v>535</v>
      </c>
      <c r="B23" s="556"/>
      <c r="C23" s="612">
        <v>1000</v>
      </c>
    </row>
    <row r="24" spans="1:28" x14ac:dyDescent="0.3">
      <c r="A24" s="560" t="s">
        <v>838</v>
      </c>
      <c r="B24" s="560"/>
      <c r="C24" s="613" t="s">
        <v>839</v>
      </c>
      <c r="D24" s="564">
        <v>45444</v>
      </c>
      <c r="E24" s="564">
        <v>45474</v>
      </c>
      <c r="F24" s="564">
        <v>45505</v>
      </c>
      <c r="G24" s="564">
        <v>45536</v>
      </c>
      <c r="H24" s="564">
        <v>45566</v>
      </c>
      <c r="I24" s="564">
        <v>45597</v>
      </c>
      <c r="J24" s="564">
        <v>45627</v>
      </c>
      <c r="K24" s="564">
        <v>45658</v>
      </c>
      <c r="L24" s="564">
        <v>45689</v>
      </c>
      <c r="M24" s="564">
        <v>45717</v>
      </c>
      <c r="N24" s="564">
        <v>45748</v>
      </c>
      <c r="O24" s="564">
        <v>45778</v>
      </c>
      <c r="P24" s="564">
        <v>45809</v>
      </c>
      <c r="Q24" s="564">
        <v>45839</v>
      </c>
      <c r="R24" s="564">
        <v>45870</v>
      </c>
      <c r="S24" s="564">
        <v>45901</v>
      </c>
      <c r="T24" s="564">
        <v>45931</v>
      </c>
      <c r="U24" s="564">
        <v>45962</v>
      </c>
      <c r="V24" s="564">
        <v>45992</v>
      </c>
      <c r="W24" s="564">
        <v>46023</v>
      </c>
      <c r="X24" s="564">
        <v>46054</v>
      </c>
      <c r="Y24" s="564">
        <v>46082</v>
      </c>
      <c r="Z24" s="564">
        <v>46113</v>
      </c>
      <c r="AA24" s="564">
        <v>46143</v>
      </c>
      <c r="AB24" s="564">
        <v>46174</v>
      </c>
    </row>
    <row r="25" spans="1:28" x14ac:dyDescent="0.3">
      <c r="A25" s="557" t="s">
        <v>831</v>
      </c>
      <c r="B25" s="565">
        <f>SUM(D25:AZ25)</f>
        <v>46934.350000000006</v>
      </c>
      <c r="C25" s="612">
        <v>10122.56569290002</v>
      </c>
      <c r="D25" s="98">
        <f>IF($E$3=1,D9*$B$2/1000,0)</f>
        <v>1949.35</v>
      </c>
      <c r="E25" s="98">
        <f t="shared" ref="E25:P25" si="2">IF($E$3=1,D9*$B$2/1000,0)</f>
        <v>1949.35</v>
      </c>
      <c r="F25" s="98">
        <f t="shared" si="2"/>
        <v>1949.35</v>
      </c>
      <c r="G25" s="98">
        <f t="shared" si="2"/>
        <v>2999</v>
      </c>
      <c r="H25" s="98">
        <f t="shared" si="2"/>
        <v>4498.5</v>
      </c>
      <c r="I25" s="98">
        <f t="shared" si="2"/>
        <v>7497.5</v>
      </c>
      <c r="J25" s="98">
        <f t="shared" si="2"/>
        <v>10496.5</v>
      </c>
      <c r="K25" s="98">
        <f t="shared" si="2"/>
        <v>13495.5</v>
      </c>
      <c r="L25" s="98">
        <f t="shared" si="2"/>
        <v>2099.3000000000002</v>
      </c>
      <c r="M25" s="98">
        <f t="shared" si="2"/>
        <v>0</v>
      </c>
      <c r="N25" s="98">
        <f t="shared" si="2"/>
        <v>0</v>
      </c>
      <c r="O25" s="98">
        <f t="shared" si="2"/>
        <v>0</v>
      </c>
      <c r="P25" s="98">
        <f t="shared" si="2"/>
        <v>0</v>
      </c>
    </row>
    <row r="26" spans="1:28" x14ac:dyDescent="0.3">
      <c r="A26" s="557" t="s">
        <v>832</v>
      </c>
      <c r="B26" s="565">
        <f>SUM(D26:AZ26)</f>
        <v>29990.000000000004</v>
      </c>
      <c r="C26" s="612"/>
      <c r="D26" s="98">
        <f t="shared" ref="D26:P26" si="3">IF($E$4=1,D10*$B$2/1000,0)</f>
        <v>0</v>
      </c>
      <c r="E26" s="98">
        <f t="shared" si="3"/>
        <v>0</v>
      </c>
      <c r="F26" s="98">
        <f t="shared" si="3"/>
        <v>0</v>
      </c>
      <c r="G26" s="98">
        <f t="shared" si="3"/>
        <v>0</v>
      </c>
      <c r="H26" s="98">
        <f t="shared" si="3"/>
        <v>0</v>
      </c>
      <c r="I26" s="98">
        <f t="shared" si="3"/>
        <v>0</v>
      </c>
      <c r="J26" s="98">
        <f t="shared" si="3"/>
        <v>0</v>
      </c>
      <c r="K26" s="98">
        <f t="shared" si="3"/>
        <v>6897.7</v>
      </c>
      <c r="L26" s="98">
        <f t="shared" si="3"/>
        <v>8997</v>
      </c>
      <c r="M26" s="98">
        <f t="shared" si="3"/>
        <v>7497.5</v>
      </c>
      <c r="N26" s="98">
        <f t="shared" si="3"/>
        <v>2999</v>
      </c>
      <c r="O26" s="98">
        <f t="shared" si="3"/>
        <v>1799.4</v>
      </c>
      <c r="P26" s="98">
        <f t="shared" si="3"/>
        <v>1799.4</v>
      </c>
    </row>
    <row r="27" spans="1:28" x14ac:dyDescent="0.3">
      <c r="A27" s="557" t="s">
        <v>840</v>
      </c>
      <c r="B27" s="565">
        <f>SUM(D27:AZ27)</f>
        <v>29990</v>
      </c>
      <c r="C27" s="612"/>
      <c r="D27" s="98">
        <f t="shared" ref="D27:Q27" si="4">IF($E$5=1,D11*$B$3/1000,0)</f>
        <v>0</v>
      </c>
      <c r="E27" s="98">
        <f t="shared" si="4"/>
        <v>0</v>
      </c>
      <c r="F27" s="98">
        <f t="shared" si="4"/>
        <v>0</v>
      </c>
      <c r="G27" s="98">
        <f t="shared" si="4"/>
        <v>0</v>
      </c>
      <c r="H27" s="98">
        <f t="shared" si="4"/>
        <v>0</v>
      </c>
      <c r="I27" s="98">
        <f t="shared" si="4"/>
        <v>1799.4</v>
      </c>
      <c r="J27" s="98">
        <f t="shared" si="4"/>
        <v>3598.8</v>
      </c>
      <c r="K27" s="98">
        <f t="shared" si="4"/>
        <v>5998</v>
      </c>
      <c r="L27" s="98">
        <f t="shared" si="4"/>
        <v>5998</v>
      </c>
      <c r="M27" s="98">
        <f t="shared" si="4"/>
        <v>8997</v>
      </c>
      <c r="N27" s="98">
        <f t="shared" si="4"/>
        <v>3598.8</v>
      </c>
      <c r="O27" s="98">
        <f t="shared" si="4"/>
        <v>0</v>
      </c>
      <c r="P27" s="98">
        <f t="shared" si="4"/>
        <v>0</v>
      </c>
      <c r="Q27" s="98">
        <f t="shared" si="4"/>
        <v>0</v>
      </c>
    </row>
    <row r="28" spans="1:28" x14ac:dyDescent="0.3">
      <c r="A28" s="557" t="s">
        <v>834</v>
      </c>
      <c r="B28" s="565">
        <f>SUM(D28:AZ28)</f>
        <v>0</v>
      </c>
      <c r="C28" s="612"/>
      <c r="D28" s="98">
        <f t="shared" ref="D28:AB28" si="5">IF($E$4=1,D12*$B$2/1000,0)</f>
        <v>0</v>
      </c>
      <c r="E28" s="98">
        <f t="shared" si="5"/>
        <v>0</v>
      </c>
      <c r="F28" s="98">
        <f t="shared" si="5"/>
        <v>0</v>
      </c>
      <c r="G28" s="98">
        <f t="shared" si="5"/>
        <v>0</v>
      </c>
      <c r="H28" s="98">
        <f t="shared" si="5"/>
        <v>0</v>
      </c>
      <c r="I28" s="98">
        <f t="shared" si="5"/>
        <v>0</v>
      </c>
      <c r="J28" s="98">
        <f t="shared" si="5"/>
        <v>0</v>
      </c>
      <c r="K28" s="98">
        <f t="shared" si="5"/>
        <v>0</v>
      </c>
      <c r="L28" s="98">
        <f t="shared" si="5"/>
        <v>0</v>
      </c>
      <c r="M28" s="98">
        <f t="shared" si="5"/>
        <v>0</v>
      </c>
      <c r="N28" s="98">
        <f t="shared" si="5"/>
        <v>0</v>
      </c>
      <c r="O28" s="98">
        <f t="shared" si="5"/>
        <v>0</v>
      </c>
      <c r="P28" s="98">
        <f t="shared" si="5"/>
        <v>0</v>
      </c>
      <c r="Q28" s="98">
        <f t="shared" si="5"/>
        <v>0</v>
      </c>
      <c r="R28" s="98">
        <f t="shared" si="5"/>
        <v>0</v>
      </c>
      <c r="S28" s="98">
        <f t="shared" si="5"/>
        <v>0</v>
      </c>
      <c r="T28" s="98">
        <f t="shared" si="5"/>
        <v>0</v>
      </c>
      <c r="U28" s="98">
        <f t="shared" si="5"/>
        <v>0</v>
      </c>
      <c r="V28" s="98">
        <f t="shared" si="5"/>
        <v>0</v>
      </c>
      <c r="W28" s="98">
        <f t="shared" si="5"/>
        <v>0</v>
      </c>
      <c r="X28" s="98">
        <f t="shared" si="5"/>
        <v>0</v>
      </c>
      <c r="Y28" s="98">
        <f t="shared" si="5"/>
        <v>0</v>
      </c>
      <c r="Z28" s="98">
        <f t="shared" si="5"/>
        <v>0</v>
      </c>
      <c r="AA28" s="98">
        <f t="shared" si="5"/>
        <v>0</v>
      </c>
      <c r="AB28" s="98">
        <f t="shared" si="5"/>
        <v>0</v>
      </c>
    </row>
    <row r="29" spans="1:28" x14ac:dyDescent="0.3">
      <c r="A29" s="557" t="s">
        <v>841</v>
      </c>
      <c r="B29" s="565">
        <f>SUM(D29:AZ29)</f>
        <v>0</v>
      </c>
      <c r="C29" s="612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>
        <f t="shared" ref="N29:AB29" si="6">IF($E$5=1,N13*$B$3/1000,0)</f>
        <v>0</v>
      </c>
      <c r="O29" s="98">
        <f t="shared" si="6"/>
        <v>0</v>
      </c>
      <c r="P29" s="98">
        <f t="shared" si="6"/>
        <v>0</v>
      </c>
      <c r="Q29" s="98">
        <f t="shared" si="6"/>
        <v>0</v>
      </c>
      <c r="R29" s="98">
        <f t="shared" si="6"/>
        <v>0</v>
      </c>
      <c r="S29" s="98">
        <f t="shared" si="6"/>
        <v>0</v>
      </c>
      <c r="T29" s="98">
        <f t="shared" si="6"/>
        <v>0</v>
      </c>
      <c r="U29" s="98">
        <f t="shared" si="6"/>
        <v>0</v>
      </c>
      <c r="V29" s="98">
        <f t="shared" si="6"/>
        <v>0</v>
      </c>
      <c r="W29" s="98">
        <f t="shared" si="6"/>
        <v>0</v>
      </c>
      <c r="X29" s="98">
        <f t="shared" si="6"/>
        <v>0</v>
      </c>
      <c r="Y29" s="98">
        <f t="shared" si="6"/>
        <v>0</v>
      </c>
      <c r="Z29" s="98">
        <f t="shared" si="6"/>
        <v>0</v>
      </c>
      <c r="AA29" s="98">
        <f t="shared" si="6"/>
        <v>0</v>
      </c>
      <c r="AB29" s="98">
        <f t="shared" si="6"/>
        <v>0</v>
      </c>
    </row>
    <row r="30" spans="1:28" x14ac:dyDescent="0.3">
      <c r="A30" s="607" t="s">
        <v>842</v>
      </c>
      <c r="B30" s="608">
        <f>B25+B26+B27</f>
        <v>106914.35</v>
      </c>
      <c r="C30" s="614">
        <f>C25+C26+C27</f>
        <v>10122.56569290002</v>
      </c>
      <c r="D30" s="608">
        <f t="shared" ref="D30:AB30" si="7">D25+D26+D27+D28+D29</f>
        <v>1949.35</v>
      </c>
      <c r="E30" s="608">
        <f t="shared" si="7"/>
        <v>1949.35</v>
      </c>
      <c r="F30" s="608">
        <f t="shared" si="7"/>
        <v>1949.35</v>
      </c>
      <c r="G30" s="608">
        <f t="shared" si="7"/>
        <v>2999</v>
      </c>
      <c r="H30" s="608">
        <f t="shared" si="7"/>
        <v>4498.5</v>
      </c>
      <c r="I30" s="608">
        <f t="shared" si="7"/>
        <v>9296.9</v>
      </c>
      <c r="J30" s="608">
        <f t="shared" si="7"/>
        <v>14095.3</v>
      </c>
      <c r="K30" s="608">
        <f t="shared" si="7"/>
        <v>26391.200000000001</v>
      </c>
      <c r="L30" s="608">
        <f t="shared" si="7"/>
        <v>17094.3</v>
      </c>
      <c r="M30" s="608">
        <f t="shared" si="7"/>
        <v>16494.5</v>
      </c>
      <c r="N30" s="608">
        <f t="shared" si="7"/>
        <v>6597.8</v>
      </c>
      <c r="O30" s="608">
        <f t="shared" si="7"/>
        <v>1799.4</v>
      </c>
      <c r="P30" s="608">
        <f t="shared" si="7"/>
        <v>1799.4</v>
      </c>
      <c r="Q30" s="608">
        <f t="shared" si="7"/>
        <v>0</v>
      </c>
      <c r="R30" s="608">
        <f t="shared" si="7"/>
        <v>0</v>
      </c>
      <c r="S30" s="608">
        <f t="shared" si="7"/>
        <v>0</v>
      </c>
      <c r="T30" s="608">
        <f t="shared" si="7"/>
        <v>0</v>
      </c>
      <c r="U30" s="608">
        <f t="shared" si="7"/>
        <v>0</v>
      </c>
      <c r="V30" s="608">
        <f t="shared" si="7"/>
        <v>0</v>
      </c>
      <c r="W30" s="608">
        <f t="shared" si="7"/>
        <v>0</v>
      </c>
      <c r="X30" s="608">
        <f t="shared" si="7"/>
        <v>0</v>
      </c>
      <c r="Y30" s="608">
        <f t="shared" si="7"/>
        <v>0</v>
      </c>
      <c r="Z30" s="608">
        <f t="shared" si="7"/>
        <v>0</v>
      </c>
      <c r="AA30" s="608">
        <f t="shared" si="7"/>
        <v>0</v>
      </c>
      <c r="AB30" s="608">
        <f t="shared" si="7"/>
        <v>0</v>
      </c>
    </row>
    <row r="31" spans="1:28" x14ac:dyDescent="0.3">
      <c r="A31" s="557" t="s">
        <v>843</v>
      </c>
      <c r="B31" s="565">
        <f>SUM(D31:AZ31)</f>
        <v>9600</v>
      </c>
      <c r="C31" s="612">
        <v>3799</v>
      </c>
      <c r="D31" s="98">
        <f t="shared" ref="D31:O31" si="8">IF($E$3=1,D9*$B$4/1000,0)</f>
        <v>416</v>
      </c>
      <c r="E31" s="98">
        <f t="shared" si="8"/>
        <v>416</v>
      </c>
      <c r="F31" s="98">
        <f t="shared" si="8"/>
        <v>640</v>
      </c>
      <c r="G31" s="98">
        <f t="shared" si="8"/>
        <v>960</v>
      </c>
      <c r="H31" s="98">
        <f t="shared" si="8"/>
        <v>1600</v>
      </c>
      <c r="I31" s="98">
        <f t="shared" si="8"/>
        <v>2240</v>
      </c>
      <c r="J31" s="98">
        <f t="shared" si="8"/>
        <v>2880</v>
      </c>
      <c r="K31" s="98">
        <f t="shared" si="8"/>
        <v>448</v>
      </c>
      <c r="L31" s="98">
        <f t="shared" si="8"/>
        <v>0</v>
      </c>
      <c r="M31" s="98">
        <f t="shared" si="8"/>
        <v>0</v>
      </c>
      <c r="N31" s="98">
        <f t="shared" si="8"/>
        <v>0</v>
      </c>
      <c r="O31" s="98">
        <f t="shared" si="8"/>
        <v>0</v>
      </c>
      <c r="P31" s="98">
        <f>O9*5600/1000</f>
        <v>0</v>
      </c>
    </row>
    <row r="32" spans="1:28" x14ac:dyDescent="0.3">
      <c r="A32" s="557" t="s">
        <v>844</v>
      </c>
      <c r="B32" s="565">
        <f>SUM(D32:AZ32)</f>
        <v>5100</v>
      </c>
      <c r="C32" s="612"/>
      <c r="D32" s="98">
        <f t="shared" ref="D32:Q32" si="9">IF($E$4=1,D10*$B$5/1000,0)</f>
        <v>0</v>
      </c>
      <c r="E32" s="98">
        <f t="shared" si="9"/>
        <v>0</v>
      </c>
      <c r="F32" s="98">
        <f t="shared" si="9"/>
        <v>0</v>
      </c>
      <c r="G32" s="98">
        <f t="shared" si="9"/>
        <v>0</v>
      </c>
      <c r="H32" s="98">
        <f t="shared" si="9"/>
        <v>0</v>
      </c>
      <c r="I32" s="98">
        <f t="shared" si="9"/>
        <v>0</v>
      </c>
      <c r="J32" s="98">
        <f t="shared" si="9"/>
        <v>0</v>
      </c>
      <c r="K32" s="98">
        <f t="shared" si="9"/>
        <v>1173</v>
      </c>
      <c r="L32" s="98">
        <f t="shared" si="9"/>
        <v>1530</v>
      </c>
      <c r="M32" s="98">
        <f t="shared" si="9"/>
        <v>1275</v>
      </c>
      <c r="N32" s="98">
        <f t="shared" si="9"/>
        <v>510</v>
      </c>
      <c r="O32" s="98">
        <f t="shared" si="9"/>
        <v>306</v>
      </c>
      <c r="P32" s="98">
        <f t="shared" si="9"/>
        <v>306</v>
      </c>
      <c r="Q32" s="98">
        <f t="shared" si="9"/>
        <v>0</v>
      </c>
    </row>
    <row r="33" spans="1:29" x14ac:dyDescent="0.3">
      <c r="A33" s="557" t="s">
        <v>845</v>
      </c>
      <c r="B33" s="565">
        <f>SUM(D33:AZ33)</f>
        <v>4100</v>
      </c>
      <c r="C33" s="612"/>
      <c r="D33" s="98">
        <f t="shared" ref="D33:Q33" si="10">IF($E$5=1,D11*$B$6/1000,0)</f>
        <v>0</v>
      </c>
      <c r="E33" s="98">
        <f t="shared" si="10"/>
        <v>0</v>
      </c>
      <c r="F33" s="98">
        <f t="shared" si="10"/>
        <v>0</v>
      </c>
      <c r="G33" s="98">
        <f t="shared" si="10"/>
        <v>0</v>
      </c>
      <c r="H33" s="98">
        <f t="shared" si="10"/>
        <v>0</v>
      </c>
      <c r="I33" s="98">
        <f t="shared" si="10"/>
        <v>246</v>
      </c>
      <c r="J33" s="98">
        <f t="shared" si="10"/>
        <v>492</v>
      </c>
      <c r="K33" s="98">
        <f t="shared" si="10"/>
        <v>820</v>
      </c>
      <c r="L33" s="98">
        <f t="shared" si="10"/>
        <v>820</v>
      </c>
      <c r="M33" s="98">
        <f t="shared" si="10"/>
        <v>1230</v>
      </c>
      <c r="N33" s="98">
        <f t="shared" si="10"/>
        <v>492</v>
      </c>
      <c r="O33" s="98">
        <f t="shared" si="10"/>
        <v>0</v>
      </c>
      <c r="P33" s="98">
        <f t="shared" si="10"/>
        <v>0</v>
      </c>
      <c r="Q33" s="98">
        <f t="shared" si="10"/>
        <v>0</v>
      </c>
    </row>
    <row r="34" spans="1:29" x14ac:dyDescent="0.3">
      <c r="A34" s="557" t="s">
        <v>843</v>
      </c>
      <c r="B34" s="565">
        <f>SUM(D34:AZ34)</f>
        <v>0</v>
      </c>
      <c r="C34" s="612"/>
      <c r="D34" s="98">
        <f t="shared" ref="D34:AC34" si="11">IF($E$3=1,D12*$B$4/1000,0)</f>
        <v>0</v>
      </c>
      <c r="E34" s="98">
        <f t="shared" si="11"/>
        <v>0</v>
      </c>
      <c r="F34" s="98">
        <f t="shared" si="11"/>
        <v>0</v>
      </c>
      <c r="G34" s="98">
        <f t="shared" si="11"/>
        <v>0</v>
      </c>
      <c r="H34" s="98">
        <f t="shared" si="11"/>
        <v>0</v>
      </c>
      <c r="I34" s="98">
        <f t="shared" si="11"/>
        <v>0</v>
      </c>
      <c r="J34" s="98">
        <f t="shared" si="11"/>
        <v>0</v>
      </c>
      <c r="K34" s="98">
        <f t="shared" si="11"/>
        <v>0</v>
      </c>
      <c r="L34" s="98">
        <f t="shared" si="11"/>
        <v>0</v>
      </c>
      <c r="M34" s="98">
        <f t="shared" si="11"/>
        <v>0</v>
      </c>
      <c r="N34" s="98">
        <f t="shared" si="11"/>
        <v>0</v>
      </c>
      <c r="O34" s="98">
        <f t="shared" si="11"/>
        <v>0</v>
      </c>
      <c r="P34" s="98">
        <f t="shared" si="11"/>
        <v>0</v>
      </c>
      <c r="Q34" s="98">
        <f t="shared" si="11"/>
        <v>0</v>
      </c>
      <c r="R34" s="98">
        <f t="shared" si="11"/>
        <v>0</v>
      </c>
      <c r="S34" s="98">
        <f t="shared" si="11"/>
        <v>0</v>
      </c>
      <c r="T34" s="98">
        <f t="shared" si="11"/>
        <v>0</v>
      </c>
      <c r="U34" s="98">
        <f t="shared" si="11"/>
        <v>0</v>
      </c>
      <c r="V34" s="98">
        <f t="shared" si="11"/>
        <v>0</v>
      </c>
      <c r="W34" s="98">
        <f t="shared" si="11"/>
        <v>0</v>
      </c>
      <c r="X34" s="98">
        <f t="shared" si="11"/>
        <v>0</v>
      </c>
      <c r="Y34" s="98">
        <f t="shared" si="11"/>
        <v>0</v>
      </c>
      <c r="Z34" s="98">
        <f t="shared" si="11"/>
        <v>0</v>
      </c>
      <c r="AA34" s="98">
        <f t="shared" si="11"/>
        <v>0</v>
      </c>
      <c r="AB34" s="98">
        <f t="shared" si="11"/>
        <v>0</v>
      </c>
      <c r="AC34" s="98">
        <f t="shared" si="11"/>
        <v>0</v>
      </c>
    </row>
    <row r="35" spans="1:29" x14ac:dyDescent="0.3">
      <c r="A35" s="557" t="s">
        <v>846</v>
      </c>
      <c r="B35" s="565">
        <f>SUM(D35:AZ35)</f>
        <v>0</v>
      </c>
      <c r="C35" s="612"/>
      <c r="D35" s="98">
        <f t="shared" ref="D35:AC35" si="12">IF($E$5=1,D13*$B$6/1000,0)</f>
        <v>0</v>
      </c>
      <c r="E35" s="98">
        <f t="shared" si="12"/>
        <v>0</v>
      </c>
      <c r="F35" s="98">
        <f t="shared" si="12"/>
        <v>0</v>
      </c>
      <c r="G35" s="98">
        <f t="shared" si="12"/>
        <v>0</v>
      </c>
      <c r="H35" s="98">
        <f t="shared" si="12"/>
        <v>0</v>
      </c>
      <c r="I35" s="98">
        <f t="shared" si="12"/>
        <v>0</v>
      </c>
      <c r="J35" s="98">
        <f t="shared" si="12"/>
        <v>0</v>
      </c>
      <c r="K35" s="98">
        <f t="shared" si="12"/>
        <v>0</v>
      </c>
      <c r="L35" s="98">
        <f t="shared" si="12"/>
        <v>0</v>
      </c>
      <c r="M35" s="98">
        <f t="shared" si="12"/>
        <v>0</v>
      </c>
      <c r="N35" s="98">
        <f t="shared" si="12"/>
        <v>0</v>
      </c>
      <c r="O35" s="98">
        <f t="shared" si="12"/>
        <v>0</v>
      </c>
      <c r="P35" s="98">
        <f t="shared" si="12"/>
        <v>0</v>
      </c>
      <c r="Q35" s="98">
        <f t="shared" si="12"/>
        <v>0</v>
      </c>
      <c r="R35" s="98">
        <f t="shared" si="12"/>
        <v>0</v>
      </c>
      <c r="S35" s="98">
        <f t="shared" si="12"/>
        <v>0</v>
      </c>
      <c r="T35" s="98">
        <f t="shared" si="12"/>
        <v>0</v>
      </c>
      <c r="U35" s="98">
        <f t="shared" si="12"/>
        <v>0</v>
      </c>
      <c r="V35" s="98">
        <f t="shared" si="12"/>
        <v>0</v>
      </c>
      <c r="W35" s="98">
        <f t="shared" si="12"/>
        <v>0</v>
      </c>
      <c r="X35" s="98">
        <f t="shared" si="12"/>
        <v>0</v>
      </c>
      <c r="Y35" s="98">
        <f t="shared" si="12"/>
        <v>0</v>
      </c>
      <c r="Z35" s="98">
        <f t="shared" si="12"/>
        <v>0</v>
      </c>
      <c r="AA35" s="98">
        <f t="shared" si="12"/>
        <v>0</v>
      </c>
      <c r="AB35" s="98">
        <f t="shared" si="12"/>
        <v>0</v>
      </c>
      <c r="AC35" s="98">
        <f t="shared" si="12"/>
        <v>0</v>
      </c>
    </row>
    <row r="36" spans="1:29" x14ac:dyDescent="0.3">
      <c r="A36" s="607" t="s">
        <v>847</v>
      </c>
      <c r="B36" s="608">
        <f>B31+B32+B33</f>
        <v>18800</v>
      </c>
      <c r="C36" s="614">
        <f>C31+C32+C33</f>
        <v>3799</v>
      </c>
      <c r="D36" s="608">
        <f t="shared" ref="D36:AB36" si="13">D31+D32+D33+D34+D35</f>
        <v>416</v>
      </c>
      <c r="E36" s="608">
        <f t="shared" si="13"/>
        <v>416</v>
      </c>
      <c r="F36" s="608">
        <f t="shared" si="13"/>
        <v>640</v>
      </c>
      <c r="G36" s="608">
        <f t="shared" si="13"/>
        <v>960</v>
      </c>
      <c r="H36" s="608">
        <f t="shared" si="13"/>
        <v>1600</v>
      </c>
      <c r="I36" s="608">
        <f t="shared" si="13"/>
        <v>2486</v>
      </c>
      <c r="J36" s="608">
        <f t="shared" si="13"/>
        <v>3372</v>
      </c>
      <c r="K36" s="608">
        <f t="shared" si="13"/>
        <v>2441</v>
      </c>
      <c r="L36" s="608">
        <f t="shared" si="13"/>
        <v>2350</v>
      </c>
      <c r="M36" s="608">
        <f t="shared" si="13"/>
        <v>2505</v>
      </c>
      <c r="N36" s="608">
        <f t="shared" si="13"/>
        <v>1002</v>
      </c>
      <c r="O36" s="608">
        <f t="shared" si="13"/>
        <v>306</v>
      </c>
      <c r="P36" s="608">
        <f t="shared" si="13"/>
        <v>306</v>
      </c>
      <c r="Q36" s="608">
        <f t="shared" si="13"/>
        <v>0</v>
      </c>
      <c r="R36" s="608">
        <f t="shared" si="13"/>
        <v>0</v>
      </c>
      <c r="S36" s="608">
        <f t="shared" si="13"/>
        <v>0</v>
      </c>
      <c r="T36" s="608">
        <f t="shared" si="13"/>
        <v>0</v>
      </c>
      <c r="U36" s="608">
        <f t="shared" si="13"/>
        <v>0</v>
      </c>
      <c r="V36" s="608">
        <f t="shared" si="13"/>
        <v>0</v>
      </c>
      <c r="W36" s="608">
        <f t="shared" si="13"/>
        <v>0</v>
      </c>
      <c r="X36" s="608">
        <f t="shared" si="13"/>
        <v>0</v>
      </c>
      <c r="Y36" s="608">
        <f t="shared" si="13"/>
        <v>0</v>
      </c>
      <c r="Z36" s="608">
        <f t="shared" si="13"/>
        <v>0</v>
      </c>
      <c r="AA36" s="608">
        <f t="shared" si="13"/>
        <v>0</v>
      </c>
      <c r="AB36" s="608">
        <f t="shared" si="13"/>
        <v>0</v>
      </c>
    </row>
    <row r="37" spans="1:29" ht="15.75" customHeight="1" x14ac:dyDescent="0.3">
      <c r="A37" s="562" t="s">
        <v>468</v>
      </c>
      <c r="B37" s="608">
        <f t="shared" ref="B37:AB37" si="14">B30-B36</f>
        <v>88114.35</v>
      </c>
      <c r="C37" s="614">
        <f t="shared" si="14"/>
        <v>6323.5656929000197</v>
      </c>
      <c r="D37" s="608">
        <f t="shared" si="14"/>
        <v>1533.35</v>
      </c>
      <c r="E37" s="608">
        <f t="shared" si="14"/>
        <v>1533.35</v>
      </c>
      <c r="F37" s="608">
        <f t="shared" si="14"/>
        <v>1309.3499999999999</v>
      </c>
      <c r="G37" s="608">
        <f t="shared" si="14"/>
        <v>2039</v>
      </c>
      <c r="H37" s="608">
        <f t="shared" si="14"/>
        <v>2898.5</v>
      </c>
      <c r="I37" s="608">
        <f t="shared" si="14"/>
        <v>6810.9</v>
      </c>
      <c r="J37" s="608">
        <f t="shared" si="14"/>
        <v>10723.3</v>
      </c>
      <c r="K37" s="608">
        <f t="shared" si="14"/>
        <v>23950.2</v>
      </c>
      <c r="L37" s="608">
        <f t="shared" si="14"/>
        <v>14744.3</v>
      </c>
      <c r="M37" s="608">
        <f t="shared" si="14"/>
        <v>13989.5</v>
      </c>
      <c r="N37" s="608">
        <f t="shared" si="14"/>
        <v>5595.8</v>
      </c>
      <c r="O37" s="608">
        <f t="shared" si="14"/>
        <v>1493.4</v>
      </c>
      <c r="P37" s="608">
        <f t="shared" si="14"/>
        <v>1493.4</v>
      </c>
      <c r="Q37" s="608">
        <f t="shared" si="14"/>
        <v>0</v>
      </c>
      <c r="R37" s="608">
        <f t="shared" si="14"/>
        <v>0</v>
      </c>
      <c r="S37" s="608">
        <f t="shared" si="14"/>
        <v>0</v>
      </c>
      <c r="T37" s="608">
        <f t="shared" si="14"/>
        <v>0</v>
      </c>
      <c r="U37" s="608">
        <f t="shared" si="14"/>
        <v>0</v>
      </c>
      <c r="V37" s="608">
        <f t="shared" si="14"/>
        <v>0</v>
      </c>
      <c r="W37" s="608">
        <f t="shared" si="14"/>
        <v>0</v>
      </c>
      <c r="X37" s="608">
        <f t="shared" si="14"/>
        <v>0</v>
      </c>
      <c r="Y37" s="608">
        <f t="shared" si="14"/>
        <v>0</v>
      </c>
      <c r="Z37" s="608">
        <f t="shared" si="14"/>
        <v>0</v>
      </c>
      <c r="AA37" s="608">
        <f t="shared" si="14"/>
        <v>0</v>
      </c>
      <c r="AB37" s="608">
        <f t="shared" si="14"/>
        <v>0</v>
      </c>
    </row>
    <row r="38" spans="1:29" ht="15.75" customHeight="1" x14ac:dyDescent="0.3">
      <c r="A38" s="558" t="s">
        <v>471</v>
      </c>
      <c r="B38" s="565">
        <f t="shared" ref="B38:B43" si="15">SUM(D38:AZ38)</f>
        <v>2340</v>
      </c>
      <c r="C38" s="612">
        <v>572.61400000000003</v>
      </c>
      <c r="D38" s="98">
        <f t="shared" ref="D38:P38" si="16">IF($E$4=1,IF($E$5=1,100*(1+$F$4)*(1+$F$5),100*(1+$F$4)),100)</f>
        <v>180</v>
      </c>
      <c r="E38" s="98">
        <f t="shared" si="16"/>
        <v>180</v>
      </c>
      <c r="F38" s="98">
        <f t="shared" si="16"/>
        <v>180</v>
      </c>
      <c r="G38" s="98">
        <f t="shared" si="16"/>
        <v>180</v>
      </c>
      <c r="H38" s="98">
        <f t="shared" si="16"/>
        <v>180</v>
      </c>
      <c r="I38" s="98">
        <f t="shared" si="16"/>
        <v>180</v>
      </c>
      <c r="J38" s="98">
        <f t="shared" si="16"/>
        <v>180</v>
      </c>
      <c r="K38" s="98">
        <f t="shared" si="16"/>
        <v>180</v>
      </c>
      <c r="L38" s="98">
        <f t="shared" si="16"/>
        <v>180</v>
      </c>
      <c r="M38" s="98">
        <f t="shared" si="16"/>
        <v>180</v>
      </c>
      <c r="N38" s="98">
        <f t="shared" si="16"/>
        <v>180</v>
      </c>
      <c r="O38" s="98">
        <f t="shared" si="16"/>
        <v>180</v>
      </c>
      <c r="P38" s="98">
        <f t="shared" si="16"/>
        <v>180</v>
      </c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</row>
    <row r="39" spans="1:29" ht="15.75" customHeight="1" x14ac:dyDescent="0.3">
      <c r="A39" s="66" t="s">
        <v>474</v>
      </c>
      <c r="B39" s="565">
        <f t="shared" si="15"/>
        <v>9984</v>
      </c>
      <c r="C39" s="612">
        <v>2070.4279999999999</v>
      </c>
      <c r="D39" s="98">
        <f t="shared" ref="D39:P39" si="17">IF($E$4=1,IF($E$5=1,640*(1+$G$4)*(1+$G$5),640*(1+$G$4)),640)</f>
        <v>768</v>
      </c>
      <c r="E39" s="98">
        <f t="shared" si="17"/>
        <v>768</v>
      </c>
      <c r="F39" s="98">
        <f t="shared" si="17"/>
        <v>768</v>
      </c>
      <c r="G39" s="98">
        <f t="shared" si="17"/>
        <v>768</v>
      </c>
      <c r="H39" s="98">
        <f t="shared" si="17"/>
        <v>768</v>
      </c>
      <c r="I39" s="98">
        <f t="shared" si="17"/>
        <v>768</v>
      </c>
      <c r="J39" s="98">
        <f t="shared" si="17"/>
        <v>768</v>
      </c>
      <c r="K39" s="98">
        <f t="shared" si="17"/>
        <v>768</v>
      </c>
      <c r="L39" s="98">
        <f t="shared" si="17"/>
        <v>768</v>
      </c>
      <c r="M39" s="98">
        <f t="shared" si="17"/>
        <v>768</v>
      </c>
      <c r="N39" s="98">
        <f t="shared" si="17"/>
        <v>768</v>
      </c>
      <c r="O39" s="98">
        <f t="shared" si="17"/>
        <v>768</v>
      </c>
      <c r="P39" s="98">
        <f t="shared" si="17"/>
        <v>768</v>
      </c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</row>
    <row r="40" spans="1:29" ht="15.75" customHeight="1" x14ac:dyDescent="0.3">
      <c r="A40" s="66" t="s">
        <v>477</v>
      </c>
      <c r="B40" s="565">
        <f t="shared" si="15"/>
        <v>12359.67</v>
      </c>
      <c r="C40" s="612">
        <v>1699.866</v>
      </c>
      <c r="D40" s="98">
        <f t="shared" ref="D40:P40" si="18">IF(D14&gt;150,(D14-150)*2500+15*D7,15*D7)/1000</f>
        <v>563.66999999999996</v>
      </c>
      <c r="E40" s="98">
        <f t="shared" si="18"/>
        <v>568.5</v>
      </c>
      <c r="F40" s="98">
        <f t="shared" si="18"/>
        <v>570</v>
      </c>
      <c r="G40" s="98">
        <f t="shared" si="18"/>
        <v>571.5</v>
      </c>
      <c r="H40" s="98">
        <f t="shared" si="18"/>
        <v>823</v>
      </c>
      <c r="I40" s="98">
        <f t="shared" si="18"/>
        <v>1224.5</v>
      </c>
      <c r="J40" s="98">
        <f t="shared" si="18"/>
        <v>1626</v>
      </c>
      <c r="K40" s="98">
        <f t="shared" si="18"/>
        <v>1452.5</v>
      </c>
      <c r="L40" s="98">
        <f t="shared" si="18"/>
        <v>1454</v>
      </c>
      <c r="M40" s="98">
        <f t="shared" si="18"/>
        <v>1580.5</v>
      </c>
      <c r="N40" s="98">
        <f t="shared" si="18"/>
        <v>757</v>
      </c>
      <c r="O40" s="98">
        <f t="shared" si="18"/>
        <v>583.5</v>
      </c>
      <c r="P40" s="98">
        <f t="shared" si="18"/>
        <v>585</v>
      </c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</row>
    <row r="41" spans="1:29" ht="15.75" customHeight="1" x14ac:dyDescent="0.3">
      <c r="A41" s="66" t="s">
        <v>848</v>
      </c>
      <c r="B41" s="565">
        <f t="shared" si="15"/>
        <v>7000</v>
      </c>
      <c r="C41" s="612">
        <v>0</v>
      </c>
      <c r="D41">
        <f t="shared" ref="D41:P41" si="19">IF(D15&gt;=$J$3,$I$3,0)</f>
        <v>0</v>
      </c>
      <c r="E41">
        <f t="shared" si="19"/>
        <v>0</v>
      </c>
      <c r="F41">
        <f t="shared" si="19"/>
        <v>0</v>
      </c>
      <c r="G41">
        <f t="shared" si="19"/>
        <v>0</v>
      </c>
      <c r="H41">
        <f t="shared" si="19"/>
        <v>0</v>
      </c>
      <c r="I41">
        <f t="shared" si="19"/>
        <v>0</v>
      </c>
      <c r="J41">
        <f t="shared" si="19"/>
        <v>1000</v>
      </c>
      <c r="K41">
        <f t="shared" si="19"/>
        <v>1000</v>
      </c>
      <c r="L41">
        <f t="shared" si="19"/>
        <v>1000</v>
      </c>
      <c r="M41">
        <f t="shared" si="19"/>
        <v>1000</v>
      </c>
      <c r="N41">
        <f t="shared" si="19"/>
        <v>1000</v>
      </c>
      <c r="O41">
        <f t="shared" si="19"/>
        <v>1000</v>
      </c>
      <c r="P41">
        <f t="shared" si="19"/>
        <v>1000</v>
      </c>
    </row>
    <row r="42" spans="1:29" ht="15.75" customHeight="1" x14ac:dyDescent="0.3">
      <c r="A42" s="66" t="s">
        <v>483</v>
      </c>
      <c r="B42" s="565">
        <f t="shared" si="15"/>
        <v>4004</v>
      </c>
      <c r="C42" s="612">
        <v>1542.579</v>
      </c>
      <c r="D42" s="152">
        <f t="shared" ref="D42:P42" si="20">IF($E$4=1,IF($E$5=1,280*(1+$H$4)*(1+$H$5),280*(1+$H$4)),280)</f>
        <v>308</v>
      </c>
      <c r="E42" s="152">
        <f t="shared" si="20"/>
        <v>308</v>
      </c>
      <c r="F42" s="152">
        <f t="shared" si="20"/>
        <v>308</v>
      </c>
      <c r="G42" s="152">
        <f t="shared" si="20"/>
        <v>308</v>
      </c>
      <c r="H42" s="152">
        <f t="shared" si="20"/>
        <v>308</v>
      </c>
      <c r="I42" s="152">
        <f t="shared" si="20"/>
        <v>308</v>
      </c>
      <c r="J42" s="152">
        <f t="shared" si="20"/>
        <v>308</v>
      </c>
      <c r="K42" s="152">
        <f t="shared" si="20"/>
        <v>308</v>
      </c>
      <c r="L42" s="152">
        <f t="shared" si="20"/>
        <v>308</v>
      </c>
      <c r="M42" s="152">
        <f t="shared" si="20"/>
        <v>308</v>
      </c>
      <c r="N42" s="152">
        <f t="shared" si="20"/>
        <v>308</v>
      </c>
      <c r="O42" s="152">
        <f t="shared" si="20"/>
        <v>308</v>
      </c>
      <c r="P42" s="152">
        <f t="shared" si="20"/>
        <v>308</v>
      </c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</row>
    <row r="43" spans="1:29" ht="15.75" customHeight="1" x14ac:dyDescent="0.3">
      <c r="A43" s="66" t="s">
        <v>849</v>
      </c>
      <c r="B43" s="565">
        <f t="shared" si="15"/>
        <v>1300</v>
      </c>
      <c r="C43" s="612"/>
      <c r="D43" s="152">
        <v>100</v>
      </c>
      <c r="E43" s="152">
        <v>100</v>
      </c>
      <c r="F43" s="152">
        <v>100</v>
      </c>
      <c r="G43" s="152">
        <v>100</v>
      </c>
      <c r="H43" s="152">
        <v>100</v>
      </c>
      <c r="I43" s="152">
        <v>100</v>
      </c>
      <c r="J43" s="152">
        <v>100</v>
      </c>
      <c r="K43" s="152">
        <v>100</v>
      </c>
      <c r="L43" s="152">
        <v>100</v>
      </c>
      <c r="M43" s="152">
        <v>100</v>
      </c>
      <c r="N43" s="152">
        <v>100</v>
      </c>
      <c r="O43" s="152">
        <v>100</v>
      </c>
      <c r="P43" s="152">
        <v>100</v>
      </c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</row>
    <row r="44" spans="1:29" ht="15.75" customHeight="1" x14ac:dyDescent="0.3">
      <c r="A44" s="562" t="s">
        <v>496</v>
      </c>
      <c r="B44" s="608">
        <f>B37-B38-B39-B40-B41-B42-B43</f>
        <v>51126.680000000008</v>
      </c>
      <c r="C44" s="615">
        <f>C37-C38-C39-C40-C42</f>
        <v>438.07869290002031</v>
      </c>
      <c r="D44" s="563">
        <f t="shared" ref="D44:Z44" si="21">D37-D38-D39-D40-D41-D42-D43</f>
        <v>-386.32000000000005</v>
      </c>
      <c r="E44" s="563">
        <f t="shared" si="21"/>
        <v>-391.15000000000009</v>
      </c>
      <c r="F44" s="563">
        <f t="shared" si="21"/>
        <v>-616.65000000000009</v>
      </c>
      <c r="G44" s="563">
        <f t="shared" si="21"/>
        <v>111.5</v>
      </c>
      <c r="H44" s="563">
        <f t="shared" si="21"/>
        <v>719.5</v>
      </c>
      <c r="I44" s="563">
        <f t="shared" si="21"/>
        <v>4230.3999999999996</v>
      </c>
      <c r="J44" s="563">
        <f t="shared" si="21"/>
        <v>6741.2999999999993</v>
      </c>
      <c r="K44" s="563">
        <f t="shared" si="21"/>
        <v>20141.7</v>
      </c>
      <c r="L44" s="563">
        <f t="shared" si="21"/>
        <v>10934.3</v>
      </c>
      <c r="M44" s="563">
        <f t="shared" si="21"/>
        <v>10053</v>
      </c>
      <c r="N44" s="563">
        <f t="shared" si="21"/>
        <v>2482.8000000000002</v>
      </c>
      <c r="O44" s="563">
        <f t="shared" si="21"/>
        <v>-1446.1</v>
      </c>
      <c r="P44" s="563">
        <f t="shared" si="21"/>
        <v>-1447.6</v>
      </c>
      <c r="Q44" s="563">
        <f t="shared" si="21"/>
        <v>0</v>
      </c>
      <c r="R44" s="563">
        <f t="shared" si="21"/>
        <v>0</v>
      </c>
      <c r="S44" s="563">
        <f t="shared" si="21"/>
        <v>0</v>
      </c>
      <c r="T44" s="563">
        <f t="shared" si="21"/>
        <v>0</v>
      </c>
      <c r="U44" s="563">
        <f t="shared" si="21"/>
        <v>0</v>
      </c>
      <c r="V44" s="563">
        <f t="shared" si="21"/>
        <v>0</v>
      </c>
      <c r="W44" s="563">
        <f t="shared" si="21"/>
        <v>0</v>
      </c>
      <c r="X44" s="563">
        <f t="shared" si="21"/>
        <v>0</v>
      </c>
      <c r="Y44" s="563">
        <f t="shared" si="21"/>
        <v>0</v>
      </c>
      <c r="Z44" s="563">
        <f t="shared" si="21"/>
        <v>0</v>
      </c>
      <c r="AA44" s="563"/>
      <c r="AB44" s="563"/>
    </row>
    <row r="45" spans="1:29" s="148" customFormat="1" x14ac:dyDescent="0.3">
      <c r="A45" t="s">
        <v>850</v>
      </c>
      <c r="B45" s="98">
        <v>11850</v>
      </c>
      <c r="C45" s="616"/>
    </row>
    <row r="46" spans="1:29" s="148" customFormat="1" x14ac:dyDescent="0.3">
      <c r="A46" t="s">
        <v>851</v>
      </c>
      <c r="B46" s="674">
        <f>IF($E$4=1,4100,0)</f>
        <v>4100</v>
      </c>
      <c r="C46" s="616"/>
    </row>
    <row r="47" spans="1:29" s="148" customFormat="1" x14ac:dyDescent="0.3">
      <c r="A47" s="557" t="s">
        <v>852</v>
      </c>
      <c r="B47" s="674">
        <f>IF($E$5=1,5700,0)</f>
        <v>5700</v>
      </c>
      <c r="C47" s="616"/>
    </row>
    <row r="48" spans="1:29" x14ac:dyDescent="0.3">
      <c r="A48" s="622" t="s">
        <v>853</v>
      </c>
      <c r="B48" s="623">
        <f>SUM(B45:B47)</f>
        <v>21650</v>
      </c>
      <c r="C48" s="612"/>
    </row>
    <row r="49" spans="1:27" x14ac:dyDescent="0.3">
      <c r="A49" t="s">
        <v>854</v>
      </c>
      <c r="B49" s="152"/>
      <c r="C49" s="612"/>
    </row>
    <row r="50" spans="1:27" x14ac:dyDescent="0.3">
      <c r="A50" t="s">
        <v>855</v>
      </c>
      <c r="B50" s="152"/>
      <c r="C50" s="612"/>
    </row>
    <row r="51" spans="1:27" x14ac:dyDescent="0.3">
      <c r="A51" s="622" t="s">
        <v>856</v>
      </c>
      <c r="B51" s="623">
        <f>SUM(B49:B50)</f>
        <v>0</v>
      </c>
      <c r="C51" s="612"/>
    </row>
    <row r="52" spans="1:27" ht="15.75" customHeight="1" x14ac:dyDescent="0.3">
      <c r="A52" s="619" t="s">
        <v>514</v>
      </c>
      <c r="B52" s="620"/>
      <c r="C52" s="621">
        <v>3732.7040000000002</v>
      </c>
    </row>
    <row r="53" spans="1:27" ht="16.2" customHeight="1" thickBot="1" x14ac:dyDescent="0.35">
      <c r="A53" s="562" t="s">
        <v>539</v>
      </c>
      <c r="B53" s="608">
        <f>SUM(D53:Z53)</f>
        <v>51126.680000000008</v>
      </c>
      <c r="C53" s="617">
        <f>C44-C52</f>
        <v>-3294.6253070999801</v>
      </c>
      <c r="D53" s="570">
        <f>D44-D48</f>
        <v>-386.32000000000005</v>
      </c>
      <c r="E53" s="570">
        <f>E44-E48</f>
        <v>-391.15000000000009</v>
      </c>
      <c r="F53" s="570">
        <f t="shared" ref="F53:L53" si="22">F44-F48-F45</f>
        <v>-616.65000000000009</v>
      </c>
      <c r="G53" s="643">
        <f t="shared" si="22"/>
        <v>111.5</v>
      </c>
      <c r="H53" s="643">
        <f t="shared" si="22"/>
        <v>719.5</v>
      </c>
      <c r="I53" s="643">
        <f t="shared" si="22"/>
        <v>4230.3999999999996</v>
      </c>
      <c r="J53" s="643">
        <f t="shared" si="22"/>
        <v>6741.2999999999993</v>
      </c>
      <c r="K53" s="643">
        <f t="shared" si="22"/>
        <v>20141.7</v>
      </c>
      <c r="L53" s="643">
        <f t="shared" si="22"/>
        <v>10934.3</v>
      </c>
      <c r="M53" s="643">
        <f t="shared" ref="M53:Z53" si="23">M44-M48</f>
        <v>10053</v>
      </c>
      <c r="N53" s="643">
        <f t="shared" si="23"/>
        <v>2482.8000000000002</v>
      </c>
      <c r="O53" s="643">
        <f t="shared" si="23"/>
        <v>-1446.1</v>
      </c>
      <c r="P53" s="643">
        <f t="shared" si="23"/>
        <v>-1447.6</v>
      </c>
      <c r="Q53" s="643">
        <f t="shared" si="23"/>
        <v>0</v>
      </c>
      <c r="R53" s="643">
        <f t="shared" si="23"/>
        <v>0</v>
      </c>
      <c r="S53" s="643">
        <f t="shared" si="23"/>
        <v>0</v>
      </c>
      <c r="T53" s="643">
        <f t="shared" si="23"/>
        <v>0</v>
      </c>
      <c r="U53" s="643">
        <f t="shared" si="23"/>
        <v>0</v>
      </c>
      <c r="V53" s="643">
        <f t="shared" si="23"/>
        <v>0</v>
      </c>
      <c r="W53" s="643">
        <f t="shared" si="23"/>
        <v>0</v>
      </c>
      <c r="X53" s="643">
        <f t="shared" si="23"/>
        <v>0</v>
      </c>
      <c r="Y53" s="643">
        <f t="shared" si="23"/>
        <v>0</v>
      </c>
      <c r="Z53" s="643">
        <f t="shared" si="23"/>
        <v>0</v>
      </c>
    </row>
    <row r="54" spans="1:27" ht="15.75" customHeight="1" x14ac:dyDescent="0.3">
      <c r="A54" s="66" t="s">
        <v>857</v>
      </c>
      <c r="B54" s="66"/>
      <c r="C54" s="612">
        <v>0</v>
      </c>
    </row>
    <row r="55" spans="1:27" ht="15.75" customHeight="1" x14ac:dyDescent="0.3">
      <c r="A55" s="66" t="s">
        <v>620</v>
      </c>
      <c r="B55" s="557">
        <f>IF($E$5=1,5700,0)</f>
        <v>5700</v>
      </c>
      <c r="C55" s="612">
        <v>0</v>
      </c>
      <c r="D55" s="98">
        <f t="shared" ref="D55:Z55" si="24">(D30*0.19-D36*0.19)</f>
        <v>291.33649999999994</v>
      </c>
      <c r="E55" s="98">
        <f t="shared" si="24"/>
        <v>291.33649999999994</v>
      </c>
      <c r="F55" s="98">
        <f t="shared" si="24"/>
        <v>248.77649999999997</v>
      </c>
      <c r="G55" s="98">
        <f t="shared" si="24"/>
        <v>387.41000000000008</v>
      </c>
      <c r="H55" s="98">
        <f t="shared" si="24"/>
        <v>550.71500000000003</v>
      </c>
      <c r="I55" s="98">
        <f t="shared" si="24"/>
        <v>1294.0709999999999</v>
      </c>
      <c r="J55" s="98">
        <f t="shared" si="24"/>
        <v>2037.4269999999999</v>
      </c>
      <c r="K55" s="98">
        <f t="shared" si="24"/>
        <v>4550.5380000000005</v>
      </c>
      <c r="L55" s="98">
        <f t="shared" si="24"/>
        <v>2801.4169999999999</v>
      </c>
      <c r="M55" s="98">
        <f t="shared" si="24"/>
        <v>2658.0050000000001</v>
      </c>
      <c r="N55" s="98">
        <f t="shared" si="24"/>
        <v>1063.2020000000002</v>
      </c>
      <c r="O55" s="98">
        <f t="shared" si="24"/>
        <v>283.74600000000004</v>
      </c>
      <c r="P55" s="98">
        <f t="shared" si="24"/>
        <v>283.74600000000004</v>
      </c>
      <c r="Q55" s="98">
        <f t="shared" si="24"/>
        <v>0</v>
      </c>
      <c r="R55" s="98">
        <f t="shared" si="24"/>
        <v>0</v>
      </c>
      <c r="S55" s="98">
        <f t="shared" si="24"/>
        <v>0</v>
      </c>
      <c r="T55" s="98">
        <f t="shared" si="24"/>
        <v>0</v>
      </c>
      <c r="U55" s="98">
        <f t="shared" si="24"/>
        <v>0</v>
      </c>
      <c r="V55" s="98">
        <f t="shared" si="24"/>
        <v>0</v>
      </c>
      <c r="W55" s="98">
        <f t="shared" si="24"/>
        <v>0</v>
      </c>
      <c r="X55" s="98">
        <f t="shared" si="24"/>
        <v>0</v>
      </c>
      <c r="Y55" s="98">
        <f t="shared" si="24"/>
        <v>0</v>
      </c>
      <c r="Z55" s="98">
        <f t="shared" si="24"/>
        <v>0</v>
      </c>
    </row>
    <row r="56" spans="1:27" ht="16.2" customHeight="1" thickBot="1" x14ac:dyDescent="0.35">
      <c r="A56" s="698" t="s">
        <v>548</v>
      </c>
      <c r="B56" s="698"/>
      <c r="C56" s="699">
        <f>SUM(D56:P56)</f>
        <v>34384.953500000003</v>
      </c>
      <c r="D56" s="700">
        <f t="shared" ref="D56:Z56" si="25">D53-D54-D55</f>
        <v>-677.65650000000005</v>
      </c>
      <c r="E56" s="700">
        <f t="shared" si="25"/>
        <v>-682.48649999999998</v>
      </c>
      <c r="F56" s="700">
        <f t="shared" si="25"/>
        <v>-865.42650000000003</v>
      </c>
      <c r="G56" s="700">
        <f t="shared" si="25"/>
        <v>-275.91000000000008</v>
      </c>
      <c r="H56" s="700">
        <f t="shared" si="25"/>
        <v>168.78499999999997</v>
      </c>
      <c r="I56" s="700">
        <f t="shared" si="25"/>
        <v>2936.3289999999997</v>
      </c>
      <c r="J56" s="700">
        <f t="shared" si="25"/>
        <v>4703.8729999999996</v>
      </c>
      <c r="K56" s="700">
        <f t="shared" si="25"/>
        <v>15591.162</v>
      </c>
      <c r="L56" s="700">
        <f t="shared" si="25"/>
        <v>8132.8829999999998</v>
      </c>
      <c r="M56" s="700">
        <f t="shared" si="25"/>
        <v>7394.9949999999999</v>
      </c>
      <c r="N56" s="700">
        <f t="shared" si="25"/>
        <v>1419.598</v>
      </c>
      <c r="O56" s="700">
        <f t="shared" si="25"/>
        <v>-1729.846</v>
      </c>
      <c r="P56" s="700">
        <f t="shared" si="25"/>
        <v>-1731.346</v>
      </c>
      <c r="Q56" s="700">
        <f t="shared" si="25"/>
        <v>0</v>
      </c>
      <c r="R56" s="700">
        <f t="shared" si="25"/>
        <v>0</v>
      </c>
      <c r="S56" s="700">
        <f t="shared" si="25"/>
        <v>0</v>
      </c>
      <c r="T56" s="700">
        <f t="shared" si="25"/>
        <v>0</v>
      </c>
      <c r="U56" s="700">
        <f t="shared" si="25"/>
        <v>0</v>
      </c>
      <c r="V56" s="700">
        <f t="shared" si="25"/>
        <v>0</v>
      </c>
      <c r="W56" s="571">
        <f t="shared" si="25"/>
        <v>0</v>
      </c>
      <c r="X56" s="571">
        <f t="shared" si="25"/>
        <v>0</v>
      </c>
      <c r="Y56" s="571">
        <f t="shared" si="25"/>
        <v>0</v>
      </c>
      <c r="Z56" s="571">
        <f t="shared" si="25"/>
        <v>0</v>
      </c>
    </row>
    <row r="57" spans="1:27" ht="15.75" customHeight="1" x14ac:dyDescent="0.3">
      <c r="A57" s="66" t="s">
        <v>858</v>
      </c>
      <c r="B57" s="571">
        <f>SUM(D57:AZ57)</f>
        <v>5962.6715000000004</v>
      </c>
      <c r="D57" s="571">
        <f t="shared" ref="D57:Y57" si="26">IF(D56&lt;0,-D56,0)</f>
        <v>677.65650000000005</v>
      </c>
      <c r="E57" s="571">
        <f t="shared" si="26"/>
        <v>682.48649999999998</v>
      </c>
      <c r="F57" s="571">
        <f t="shared" si="26"/>
        <v>865.42650000000003</v>
      </c>
      <c r="G57" s="571">
        <f t="shared" si="26"/>
        <v>275.91000000000008</v>
      </c>
      <c r="H57" s="571">
        <f t="shared" si="26"/>
        <v>0</v>
      </c>
      <c r="I57" s="571">
        <f t="shared" si="26"/>
        <v>0</v>
      </c>
      <c r="J57" s="571">
        <f t="shared" si="26"/>
        <v>0</v>
      </c>
      <c r="K57" s="571">
        <f t="shared" si="26"/>
        <v>0</v>
      </c>
      <c r="L57" s="571">
        <f t="shared" si="26"/>
        <v>0</v>
      </c>
      <c r="M57" s="571">
        <f t="shared" si="26"/>
        <v>0</v>
      </c>
      <c r="N57" s="571">
        <f t="shared" si="26"/>
        <v>0</v>
      </c>
      <c r="O57" s="571">
        <f t="shared" si="26"/>
        <v>1729.846</v>
      </c>
      <c r="P57" s="571">
        <f t="shared" si="26"/>
        <v>1731.346</v>
      </c>
      <c r="Q57" s="571">
        <f t="shared" si="26"/>
        <v>0</v>
      </c>
      <c r="R57" s="571">
        <f t="shared" si="26"/>
        <v>0</v>
      </c>
      <c r="S57" s="571">
        <f t="shared" si="26"/>
        <v>0</v>
      </c>
      <c r="T57" s="571">
        <f t="shared" si="26"/>
        <v>0</v>
      </c>
      <c r="U57" s="571">
        <f t="shared" si="26"/>
        <v>0</v>
      </c>
      <c r="V57" s="571">
        <f t="shared" si="26"/>
        <v>0</v>
      </c>
      <c r="W57" s="571">
        <f t="shared" si="26"/>
        <v>0</v>
      </c>
      <c r="X57" s="571">
        <f t="shared" si="26"/>
        <v>0</v>
      </c>
      <c r="Y57" s="571">
        <f t="shared" si="26"/>
        <v>0</v>
      </c>
    </row>
    <row r="58" spans="1:27" x14ac:dyDescent="0.3">
      <c r="A58" t="s">
        <v>859</v>
      </c>
      <c r="B58" s="486">
        <f>SUM(D58:P58)</f>
        <v>-21600</v>
      </c>
      <c r="C58" s="572"/>
      <c r="D58" s="572"/>
      <c r="E58" s="572"/>
      <c r="F58" s="572"/>
      <c r="G58" s="572"/>
      <c r="H58" s="572"/>
      <c r="I58" s="572">
        <v>-2000</v>
      </c>
      <c r="J58" s="572">
        <v>-3000</v>
      </c>
      <c r="K58" s="572">
        <v>-10000</v>
      </c>
      <c r="L58" s="572">
        <v>-5000</v>
      </c>
      <c r="M58" s="572">
        <v>-1600</v>
      </c>
      <c r="N58" s="572">
        <v>0</v>
      </c>
      <c r="P58" s="639"/>
    </row>
    <row r="59" spans="1:27" ht="14.7" customHeight="1" thickBot="1" x14ac:dyDescent="0.35">
      <c r="A59" t="s">
        <v>860</v>
      </c>
      <c r="B59" s="486">
        <f>SUM(D59:AZ59)</f>
        <v>0</v>
      </c>
      <c r="C59" s="572"/>
      <c r="D59" s="572"/>
      <c r="E59" s="572"/>
      <c r="F59" s="572"/>
      <c r="G59" s="572"/>
      <c r="H59" s="572"/>
      <c r="I59" s="572"/>
      <c r="J59" s="572"/>
      <c r="K59" s="572"/>
      <c r="L59" s="572"/>
      <c r="M59" s="572"/>
      <c r="N59" s="572"/>
      <c r="P59" s="639"/>
    </row>
    <row r="60" spans="1:27" ht="14.7" customHeight="1" thickBot="1" x14ac:dyDescent="0.35">
      <c r="A60" s="577" t="s">
        <v>861</v>
      </c>
      <c r="B60" s="646">
        <f>SUM(D60:AZ60)</f>
        <v>18747.625</v>
      </c>
      <c r="C60" s="578"/>
      <c r="D60" s="578">
        <f t="shared" ref="D60:T60" si="27">D56+D57+D58</f>
        <v>0</v>
      </c>
      <c r="E60" s="578">
        <f t="shared" si="27"/>
        <v>0</v>
      </c>
      <c r="F60" s="578">
        <f t="shared" si="27"/>
        <v>0</v>
      </c>
      <c r="G60" s="578">
        <f t="shared" si="27"/>
        <v>0</v>
      </c>
      <c r="H60" s="578">
        <f t="shared" si="27"/>
        <v>168.78499999999997</v>
      </c>
      <c r="I60" s="578">
        <f t="shared" si="27"/>
        <v>936.32899999999972</v>
      </c>
      <c r="J60" s="578">
        <f t="shared" si="27"/>
        <v>1703.8729999999996</v>
      </c>
      <c r="K60" s="578">
        <f t="shared" si="27"/>
        <v>5591.1620000000003</v>
      </c>
      <c r="L60" s="578">
        <f t="shared" si="27"/>
        <v>3132.8829999999998</v>
      </c>
      <c r="M60" s="578">
        <f t="shared" si="27"/>
        <v>5794.9949999999999</v>
      </c>
      <c r="N60" s="578">
        <f t="shared" si="27"/>
        <v>1419.598</v>
      </c>
      <c r="O60" s="578">
        <f t="shared" si="27"/>
        <v>0</v>
      </c>
      <c r="P60" s="578">
        <f t="shared" si="27"/>
        <v>0</v>
      </c>
      <c r="Q60" s="578">
        <f t="shared" si="27"/>
        <v>0</v>
      </c>
      <c r="R60" s="578">
        <f t="shared" si="27"/>
        <v>0</v>
      </c>
      <c r="S60" s="578">
        <f t="shared" si="27"/>
        <v>0</v>
      </c>
      <c r="T60" s="578">
        <f t="shared" si="27"/>
        <v>0</v>
      </c>
      <c r="U60" s="578">
        <f t="shared" ref="U60:Z60" si="28">U56+U57+U58+U59</f>
        <v>0</v>
      </c>
      <c r="V60" s="578">
        <f t="shared" si="28"/>
        <v>0</v>
      </c>
      <c r="W60" s="578">
        <f t="shared" si="28"/>
        <v>0</v>
      </c>
      <c r="X60" s="578">
        <f t="shared" si="28"/>
        <v>0</v>
      </c>
      <c r="Y60" s="578">
        <f t="shared" si="28"/>
        <v>0</v>
      </c>
      <c r="Z60" s="578">
        <f t="shared" si="28"/>
        <v>0</v>
      </c>
      <c r="AA60" s="578">
        <f>AA56+AA57+AA58</f>
        <v>0</v>
      </c>
    </row>
    <row r="61" spans="1:27" ht="14.7" customHeight="1" thickBot="1" x14ac:dyDescent="0.35"/>
    <row r="62" spans="1:27" ht="14.7" customHeight="1" thickBot="1" x14ac:dyDescent="0.35">
      <c r="A62" s="644" t="s">
        <v>862</v>
      </c>
      <c r="B62" s="642"/>
      <c r="C62" s="653">
        <f>NPV(12%/12,D55:Z55)</f>
        <v>15455.356419774111</v>
      </c>
      <c r="D62" s="647">
        <v>0</v>
      </c>
      <c r="E62" s="648">
        <v>1</v>
      </c>
      <c r="F62" s="648">
        <v>2</v>
      </c>
      <c r="G62" s="649">
        <v>3</v>
      </c>
      <c r="P62" s="486"/>
    </row>
    <row r="63" spans="1:27" ht="14.7" customHeight="1" thickBot="1" x14ac:dyDescent="0.35">
      <c r="A63" s="650" t="s">
        <v>863</v>
      </c>
      <c r="B63" s="651"/>
      <c r="C63" s="630">
        <f>NPV(12%/12,D63:F63)</f>
        <v>30238.736058685761</v>
      </c>
      <c r="D63" s="104">
        <v>0</v>
      </c>
      <c r="E63" s="464">
        <v>15500</v>
      </c>
      <c r="F63" s="464">
        <v>15500</v>
      </c>
      <c r="G63" s="645">
        <v>15500</v>
      </c>
    </row>
    <row r="64" spans="1:27" ht="14.7" customHeight="1" thickBot="1" x14ac:dyDescent="0.35">
      <c r="A64" s="652" t="s">
        <v>864</v>
      </c>
      <c r="B64" s="104"/>
      <c r="C64" s="207">
        <f>NPV(12%/12,D63:G63)</f>
        <v>45133.931398169407</v>
      </c>
    </row>
  </sheetData>
  <mergeCells count="1">
    <mergeCell ref="F2:H2"/>
  </mergeCells>
  <conditionalFormatting sqref="B15:C15 B57 C16:C29 C31 C38:C43 C52:C55 C56:Z56 C60:C1048576 D53:Z53 D57:Y57">
    <cfRule type="cellIs" dxfId="32" priority="10" operator="lessThan">
      <formula>0</formula>
    </cfRule>
  </conditionalFormatting>
  <conditionalFormatting sqref="D60:AA60">
    <cfRule type="cellIs" dxfId="31" priority="7" operator="lessThan">
      <formula>0</formula>
    </cfRule>
  </conditionalFormatting>
  <conditionalFormatting sqref="J3">
    <cfRule type="cellIs" dxfId="30" priority="5" operator="lessThan">
      <formula>0</formula>
    </cfRule>
  </conditionalFormatting>
  <conditionalFormatting sqref="P58:P59">
    <cfRule type="cellIs" dxfId="29" priority="4" operator="lessThan">
      <formula>0</formula>
    </cfRule>
  </conditionalFormatting>
  <conditionalFormatting sqref="D24:AB24">
    <cfRule type="cellIs" dxfId="28" priority="3" operator="lessThan">
      <formula>0</formula>
    </cfRule>
  </conditionalFormatting>
  <conditionalFormatting sqref="D8:AB8">
    <cfRule type="cellIs" dxfId="27" priority="2" operator="lessThan">
      <formula>0</formula>
    </cfRule>
  </conditionalFormatting>
  <conditionalFormatting sqref="D15:AB15">
    <cfRule type="cellIs" dxfId="26" priority="1" operator="lessThan">
      <formula>0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/>
  <dimension ref="B1:BI67"/>
  <sheetViews>
    <sheetView topLeftCell="B52" zoomScale="85" zoomScaleNormal="85" workbookViewId="0">
      <pane xSplit="4455" topLeftCell="Z1" activePane="topRight"/>
      <selection activeCell="B50" sqref="B50"/>
      <selection pane="topRight" activeCell="L3" sqref="L3:L32"/>
    </sheetView>
  </sheetViews>
  <sheetFormatPr baseColWidth="10" defaultRowHeight="14.4" x14ac:dyDescent="0.3"/>
  <cols>
    <col min="1" max="1" width="4" customWidth="1"/>
    <col min="2" max="2" width="44.6640625" style="78" bestFit="1" customWidth="1"/>
    <col min="3" max="3" width="8.88671875" style="446" customWidth="1"/>
    <col min="4" max="4" width="12.33203125" style="78" bestFit="1" customWidth="1"/>
    <col min="5" max="5" width="6.109375" style="78" bestFit="1" customWidth="1"/>
    <col min="6" max="6" width="12.6640625" style="78" customWidth="1"/>
    <col min="7" max="7" width="6.109375" style="78" bestFit="1" customWidth="1"/>
    <col min="8" max="8" width="12.33203125" style="78" bestFit="1" customWidth="1"/>
    <col min="9" max="9" width="6.109375" style="78" bestFit="1" customWidth="1"/>
    <col min="10" max="10" width="11.6640625" style="78" bestFit="1" customWidth="1"/>
    <col min="11" max="11" width="6.6640625" style="78" bestFit="1" customWidth="1"/>
    <col min="12" max="12" width="11.6640625" style="78" bestFit="1" customWidth="1"/>
    <col min="13" max="13" width="8.21875" style="78" bestFit="1" customWidth="1"/>
    <col min="14" max="14" width="11.6640625" bestFit="1" customWidth="1"/>
    <col min="15" max="15" width="6.21875" bestFit="1" customWidth="1"/>
    <col min="16" max="16" width="12.33203125" style="77" bestFit="1" customWidth="1"/>
    <col min="17" max="17" width="5.6640625" style="77" customWidth="1"/>
    <col min="18" max="18" width="13.44140625" style="77" bestFit="1" customWidth="1"/>
    <col min="19" max="19" width="5.6640625" style="77" customWidth="1"/>
    <col min="20" max="20" width="13.44140625" style="77" bestFit="1" customWidth="1"/>
    <col min="21" max="21" width="6.21875" style="77" bestFit="1" customWidth="1"/>
    <col min="22" max="22" width="12.6640625" style="77" bestFit="1" customWidth="1"/>
    <col min="23" max="23" width="5.6640625" style="77" customWidth="1"/>
    <col min="24" max="24" width="12.6640625" style="77" bestFit="1" customWidth="1"/>
    <col min="25" max="25" width="5.6640625" style="77" customWidth="1"/>
    <col min="26" max="26" width="12.6640625" style="77" bestFit="1" customWidth="1"/>
    <col min="27" max="27" width="5.6640625" style="703" customWidth="1"/>
    <col min="28" max="28" width="11.5546875" style="77" customWidth="1"/>
    <col min="29" max="29" width="11.5546875" style="78" customWidth="1"/>
    <col min="30" max="30" width="17.6640625" bestFit="1" customWidth="1"/>
    <col min="42" max="42" width="8.44140625" bestFit="1" customWidth="1"/>
    <col min="43" max="43" width="11.5546875" bestFit="1" customWidth="1"/>
    <col min="44" max="44" width="17.77734375" bestFit="1" customWidth="1"/>
    <col min="45" max="45" width="9.5546875" bestFit="1" customWidth="1"/>
    <col min="46" max="46" width="11.6640625" bestFit="1" customWidth="1"/>
    <col min="47" max="48" width="10.5546875" bestFit="1" customWidth="1"/>
    <col min="49" max="51" width="11" bestFit="1" customWidth="1"/>
    <col min="52" max="52" width="12.109375" bestFit="1" customWidth="1"/>
    <col min="53" max="53" width="10.5546875" bestFit="1" customWidth="1"/>
  </cols>
  <sheetData>
    <row r="1" spans="2:47" x14ac:dyDescent="0.3">
      <c r="B1" s="807" t="s">
        <v>865</v>
      </c>
      <c r="C1" s="808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2"/>
      <c r="O1" s="792"/>
      <c r="P1" s="809"/>
      <c r="Q1" s="809"/>
      <c r="R1" s="809"/>
      <c r="S1" s="809"/>
      <c r="T1" s="809"/>
      <c r="U1" s="809"/>
      <c r="V1" s="809"/>
      <c r="W1" s="809"/>
      <c r="X1" s="809"/>
      <c r="Y1" s="809"/>
      <c r="Z1" s="809"/>
      <c r="AA1" s="702"/>
      <c r="AB1" s="186"/>
      <c r="AC1" s="186"/>
    </row>
    <row r="2" spans="2:47" ht="14.7" customHeight="1" thickBot="1" x14ac:dyDescent="0.35">
      <c r="B2" s="265"/>
      <c r="C2" s="444"/>
      <c r="D2" s="265">
        <v>45658</v>
      </c>
      <c r="E2" s="265"/>
      <c r="F2" s="265">
        <v>45689</v>
      </c>
      <c r="G2" s="265"/>
      <c r="H2" s="265">
        <v>45717</v>
      </c>
      <c r="J2" s="265">
        <v>45748</v>
      </c>
      <c r="K2" s="265"/>
      <c r="L2" s="265">
        <v>45413</v>
      </c>
      <c r="M2" s="265"/>
      <c r="N2" s="265">
        <v>45444</v>
      </c>
      <c r="O2" s="265"/>
      <c r="P2" s="686">
        <v>45474</v>
      </c>
      <c r="Q2" s="686"/>
      <c r="R2" s="686">
        <v>45505</v>
      </c>
      <c r="S2" s="686"/>
      <c r="T2" s="686">
        <v>45536</v>
      </c>
      <c r="U2" s="686"/>
      <c r="V2" s="686">
        <v>45566</v>
      </c>
      <c r="W2" s="686"/>
      <c r="X2" s="686">
        <v>45597</v>
      </c>
      <c r="Y2" s="686"/>
      <c r="Z2" s="686">
        <v>45627</v>
      </c>
      <c r="AB2" s="686">
        <v>45658</v>
      </c>
      <c r="AC2" s="265"/>
      <c r="AD2" s="195">
        <v>45658</v>
      </c>
      <c r="AE2" s="195">
        <v>45689</v>
      </c>
      <c r="AF2" s="195">
        <v>45717</v>
      </c>
      <c r="AG2" s="195">
        <v>45748</v>
      </c>
      <c r="AH2" s="195">
        <v>45778</v>
      </c>
      <c r="AI2" s="195">
        <v>45444</v>
      </c>
      <c r="AJ2" s="195">
        <v>45474</v>
      </c>
      <c r="AK2" s="195">
        <v>45505</v>
      </c>
      <c r="AL2" s="195">
        <v>45536</v>
      </c>
      <c r="AM2" s="195">
        <v>45566</v>
      </c>
      <c r="AN2" s="195">
        <v>45597</v>
      </c>
      <c r="AO2" s="195">
        <v>45627</v>
      </c>
    </row>
    <row r="3" spans="2:47" ht="15.75" customHeight="1" x14ac:dyDescent="0.3">
      <c r="B3" s="127" t="s">
        <v>462</v>
      </c>
      <c r="C3" s="445"/>
      <c r="D3" s="153">
        <v>13753641.47230006</v>
      </c>
      <c r="E3" s="361">
        <f t="shared" ref="E3:E11" si="0">D3/$D$3</f>
        <v>1</v>
      </c>
      <c r="F3" s="153">
        <v>19944682.9300001</v>
      </c>
      <c r="G3" s="361">
        <f t="shared" ref="G3:G11" si="1">F3/$F$3</f>
        <v>1</v>
      </c>
      <c r="H3" s="153">
        <v>23174447.605000149</v>
      </c>
      <c r="I3" s="361">
        <f t="shared" ref="I3:I11" si="2">H3/$H$3</f>
        <v>1</v>
      </c>
      <c r="J3" s="153">
        <v>26899276.473900061</v>
      </c>
      <c r="K3" s="361">
        <f t="shared" ref="K3:K11" si="3">J3/$J$3</f>
        <v>1</v>
      </c>
      <c r="L3" s="153">
        <v>30259022.810900081</v>
      </c>
      <c r="M3" s="361">
        <f t="shared" ref="M3:M11" si="4">L3/$L$3</f>
        <v>1</v>
      </c>
      <c r="N3" s="655">
        <v>10650808.021800039</v>
      </c>
      <c r="O3" s="685">
        <f t="shared" ref="O3:O11" si="5">N3/$N$3</f>
        <v>1</v>
      </c>
      <c r="P3" s="687">
        <v>11799150.073700059</v>
      </c>
      <c r="Q3" s="688">
        <f t="shared" ref="Q3:Q11" si="6">P3/$N$3</f>
        <v>1.1078173646121119</v>
      </c>
      <c r="R3" s="687">
        <v>13619100.328100059</v>
      </c>
      <c r="S3" s="688">
        <f>R3/$R$3</f>
        <v>1</v>
      </c>
      <c r="T3" s="687">
        <v>16160952.990800049</v>
      </c>
      <c r="U3" s="688">
        <f t="shared" ref="U3:U11" si="7">T3/$T$3</f>
        <v>1</v>
      </c>
      <c r="V3" s="687">
        <v>27230274.016099948</v>
      </c>
      <c r="W3" s="688">
        <f t="shared" ref="W3:W11" si="8">V3/$V$3</f>
        <v>1</v>
      </c>
      <c r="X3" s="687">
        <v>39879745.552800052</v>
      </c>
      <c r="Y3" s="688">
        <f t="shared" ref="Y3:Y11" si="9">X3/$X$3</f>
        <v>1</v>
      </c>
      <c r="Z3" s="687">
        <f>Vaciado!L2</f>
        <v>34196531</v>
      </c>
      <c r="AA3" s="688">
        <f t="shared" ref="AA3:AA11" si="10">Z3/$Z$3</f>
        <v>1</v>
      </c>
      <c r="AB3" s="688"/>
      <c r="AC3" s="491" t="s">
        <v>866</v>
      </c>
      <c r="AD3" s="692">
        <f>D3/1000</f>
        <v>13753.64147230006</v>
      </c>
      <c r="AE3" s="492">
        <f>(F3-D3)/1000</f>
        <v>6191.0414577000402</v>
      </c>
      <c r="AF3" s="492">
        <f>(H3-F3)/1000</f>
        <v>3229.764675000049</v>
      </c>
      <c r="AG3" s="492">
        <f>IF(J3=0,0,(J3-H3)/1000)</f>
        <v>3724.8288688999119</v>
      </c>
      <c r="AH3" s="492">
        <f>IF(K3=0,0,(K3-I3)/1000)</f>
        <v>0</v>
      </c>
      <c r="AI3" s="492">
        <f>IF(L3=0,0,(N3-L3)/1000)</f>
        <v>-19608.214789100042</v>
      </c>
      <c r="AJ3" s="492">
        <f>IF(P3=0,0,(P3-N3)/1000)</f>
        <v>1148.3420519000199</v>
      </c>
      <c r="AK3" s="492">
        <f>IF(R3=0,0,(R3-P3)/1000)</f>
        <v>1819.9502543999999</v>
      </c>
      <c r="AL3" s="492">
        <f>IF(T3=0,0,(T3-R3)/1000)</f>
        <v>2541.8526626999901</v>
      </c>
      <c r="AM3" s="492">
        <f>IF(V3=0,0,(V3-T3)/1000)</f>
        <v>11069.3210252999</v>
      </c>
      <c r="AN3" s="492">
        <f>IF(X3=0,0,(X3-V3)/1000)</f>
        <v>12649.471536700103</v>
      </c>
      <c r="AO3" s="493">
        <f>IF(Z3=0,0,(Z3-X3)/1000)</f>
        <v>-5683.2145528000519</v>
      </c>
    </row>
    <row r="4" spans="2:47" ht="16.2" customHeight="1" thickBot="1" x14ac:dyDescent="0.35">
      <c r="B4" s="130" t="s">
        <v>465</v>
      </c>
      <c r="C4" s="445"/>
      <c r="D4" s="101">
        <v>2060634</v>
      </c>
      <c r="E4" s="362">
        <f t="shared" si="0"/>
        <v>0.14982461220543902</v>
      </c>
      <c r="F4" s="101">
        <v>2995585</v>
      </c>
      <c r="G4" s="362">
        <f t="shared" si="1"/>
        <v>0.15019466644386434</v>
      </c>
      <c r="H4" s="101">
        <v>3681916</v>
      </c>
      <c r="I4" s="362">
        <f t="shared" si="2"/>
        <v>0.15887826379971987</v>
      </c>
      <c r="J4" s="101">
        <v>4401384</v>
      </c>
      <c r="K4" s="362">
        <f t="shared" si="3"/>
        <v>0.16362462404037495</v>
      </c>
      <c r="L4" s="101">
        <v>5226038</v>
      </c>
      <c r="M4" s="362">
        <f t="shared" si="4"/>
        <v>0.17271007172503425</v>
      </c>
      <c r="N4" s="654">
        <v>4220389</v>
      </c>
      <c r="O4" s="362">
        <f t="shared" si="5"/>
        <v>0.39625059351006248</v>
      </c>
      <c r="P4" s="296">
        <v>4770789</v>
      </c>
      <c r="Q4" s="690">
        <f t="shared" si="6"/>
        <v>0.44792742393207768</v>
      </c>
      <c r="R4" s="296">
        <v>5267189</v>
      </c>
      <c r="S4" s="690">
        <f t="shared" ref="S4:S11" si="11">R4/$N$3</f>
        <v>0.49453421648565393</v>
      </c>
      <c r="T4" s="296">
        <v>5955589</v>
      </c>
      <c r="U4" s="688">
        <f t="shared" si="7"/>
        <v>0.36851719099674013</v>
      </c>
      <c r="V4" s="296">
        <v>8461589</v>
      </c>
      <c r="W4" s="688">
        <f t="shared" si="8"/>
        <v>0.31074197031572542</v>
      </c>
      <c r="X4" s="296">
        <v>11483889</v>
      </c>
      <c r="Y4" s="690">
        <f t="shared" si="9"/>
        <v>0.287962945620993</v>
      </c>
      <c r="Z4" s="296">
        <f>Vaciado!L3</f>
        <v>6046338</v>
      </c>
      <c r="AA4" s="690">
        <f t="shared" si="10"/>
        <v>0.1768114432425909</v>
      </c>
      <c r="AB4" s="690"/>
      <c r="AC4" s="494" t="s">
        <v>867</v>
      </c>
      <c r="AD4" s="693">
        <f>D32/1000</f>
        <v>4039.4623599000611</v>
      </c>
      <c r="AE4" s="495">
        <f>(F32-D32)/1000</f>
        <v>1557.6427514000479</v>
      </c>
      <c r="AF4" s="495">
        <f>(H32-F32)/1000</f>
        <v>-809.57914549995212</v>
      </c>
      <c r="AG4" s="495">
        <f>IF(J4=0,0,(J32-H32)/1000)</f>
        <v>786.63402199991606</v>
      </c>
      <c r="AH4" s="495">
        <f>IF(J4=0,0,(L32-J32)/1000)</f>
        <v>-566.18460059997528</v>
      </c>
      <c r="AI4" s="495">
        <f>IF(L4=0,0,(N32-L32)/1000)</f>
        <v>-8714.3520559000517</v>
      </c>
      <c r="AJ4" s="495">
        <f>IF(P4=0,0,(P32-N32)/1000)</f>
        <v>-601.51157209998973</v>
      </c>
      <c r="AK4" s="495">
        <f>IF(R4=0,0,(R32-P32)/1000)</f>
        <v>-1260.4340084999901</v>
      </c>
      <c r="AL4" s="495">
        <f>IF(T4=0,0,(T32-R32)/1000)</f>
        <v>177.8229305999875</v>
      </c>
      <c r="AM4" s="495">
        <f>V47/1000</f>
        <v>6635.9955581999056</v>
      </c>
      <c r="AN4" s="495">
        <f>IF(X4=0,0,(X32)/1000)</f>
        <v>6416.5078185000666</v>
      </c>
      <c r="AO4" s="496">
        <f>IF(Z4=0,0,(Z32)/1000)</f>
        <v>6681.7912800000013</v>
      </c>
    </row>
    <row r="5" spans="2:47" ht="16.2" customHeight="1" thickBot="1" x14ac:dyDescent="0.35">
      <c r="B5" s="24" t="s">
        <v>468</v>
      </c>
      <c r="C5" s="445"/>
      <c r="D5" s="153">
        <v>11693007.47230006</v>
      </c>
      <c r="E5" s="361">
        <f t="shared" si="0"/>
        <v>0.85017538779456092</v>
      </c>
      <c r="F5" s="153">
        <v>16949097.9300001</v>
      </c>
      <c r="G5" s="361">
        <f t="shared" si="1"/>
        <v>0.84980533355613563</v>
      </c>
      <c r="H5" s="153">
        <v>19492531.605000149</v>
      </c>
      <c r="I5" s="361">
        <f t="shared" si="2"/>
        <v>0.84112173620028008</v>
      </c>
      <c r="J5" s="153">
        <v>22497892.473900061</v>
      </c>
      <c r="K5" s="361">
        <f t="shared" si="3"/>
        <v>0.83637537595962508</v>
      </c>
      <c r="L5" s="153">
        <v>25032984.810900081</v>
      </c>
      <c r="M5" s="361">
        <f t="shared" si="4"/>
        <v>0.82728992827496572</v>
      </c>
      <c r="N5" s="655">
        <v>6430419.0218000449</v>
      </c>
      <c r="O5" s="685">
        <f t="shared" si="5"/>
        <v>0.60374940648993802</v>
      </c>
      <c r="P5" s="687">
        <v>7028361.0737000545</v>
      </c>
      <c r="Q5" s="688">
        <f t="shared" si="6"/>
        <v>0.6598899406800337</v>
      </c>
      <c r="R5" s="687">
        <v>8351911.3281000648</v>
      </c>
      <c r="S5" s="688">
        <f t="shared" si="11"/>
        <v>0.78415753161688762</v>
      </c>
      <c r="T5" s="687">
        <v>10205363.990800049</v>
      </c>
      <c r="U5" s="688">
        <f t="shared" si="7"/>
        <v>0.63148280900325993</v>
      </c>
      <c r="V5" s="687">
        <v>18768685.016099948</v>
      </c>
      <c r="W5" s="688">
        <f t="shared" si="8"/>
        <v>0.68925802968427452</v>
      </c>
      <c r="X5" s="687">
        <v>28395856.552800048</v>
      </c>
      <c r="Y5" s="688">
        <f t="shared" si="9"/>
        <v>0.71203705437900688</v>
      </c>
      <c r="Z5" s="687">
        <f>Vaciado!L4</f>
        <v>28150193</v>
      </c>
      <c r="AA5" s="688">
        <f t="shared" si="10"/>
        <v>0.8231885567574091</v>
      </c>
      <c r="AB5" s="688"/>
      <c r="AC5" s="497" t="s">
        <v>868</v>
      </c>
      <c r="AD5" s="694">
        <f>AD4</f>
        <v>4039.4623599000611</v>
      </c>
      <c r="AE5" s="498">
        <f t="shared" ref="AE5:AO5" si="12">AD5+AE4</f>
        <v>5597.1051113001085</v>
      </c>
      <c r="AF5" s="498">
        <f t="shared" si="12"/>
        <v>4787.525965800156</v>
      </c>
      <c r="AG5" s="498">
        <f t="shared" si="12"/>
        <v>5574.1599878000725</v>
      </c>
      <c r="AH5" s="498">
        <f t="shared" si="12"/>
        <v>5007.9753872000974</v>
      </c>
      <c r="AI5" s="498">
        <f t="shared" si="12"/>
        <v>-3706.3766686999543</v>
      </c>
      <c r="AJ5" s="498">
        <f t="shared" si="12"/>
        <v>-4307.8882407999445</v>
      </c>
      <c r="AK5" s="498">
        <f t="shared" si="12"/>
        <v>-5568.3222492999348</v>
      </c>
      <c r="AL5" s="498">
        <f t="shared" si="12"/>
        <v>-5390.4993186999473</v>
      </c>
      <c r="AM5" s="498">
        <f t="shared" si="12"/>
        <v>1245.4962394999584</v>
      </c>
      <c r="AN5" s="498">
        <f t="shared" si="12"/>
        <v>7662.004058000025</v>
      </c>
      <c r="AO5" s="499">
        <f t="shared" si="12"/>
        <v>14343.795338000025</v>
      </c>
    </row>
    <row r="6" spans="2:47" ht="15.75" customHeight="1" x14ac:dyDescent="0.3">
      <c r="B6" s="29" t="s">
        <v>471</v>
      </c>
      <c r="C6" s="445"/>
      <c r="D6" s="101">
        <v>1608679</v>
      </c>
      <c r="E6" s="362">
        <f t="shared" si="0"/>
        <v>0.11696386031582195</v>
      </c>
      <c r="F6" s="101">
        <v>978720</v>
      </c>
      <c r="G6" s="362">
        <f t="shared" si="1"/>
        <v>4.9071725202903239E-2</v>
      </c>
      <c r="H6" s="101">
        <v>1399376</v>
      </c>
      <c r="I6" s="362">
        <f t="shared" si="2"/>
        <v>6.0384438233516677E-2</v>
      </c>
      <c r="J6" s="101">
        <v>1929231</v>
      </c>
      <c r="K6" s="362">
        <f t="shared" si="3"/>
        <v>7.1720553594514042E-2</v>
      </c>
      <c r="L6" s="101">
        <v>2658729</v>
      </c>
      <c r="M6" s="362">
        <f t="shared" si="4"/>
        <v>8.7865659661760701E-2</v>
      </c>
      <c r="N6" s="654">
        <v>2164714</v>
      </c>
      <c r="O6" s="362">
        <f t="shared" si="5"/>
        <v>0.20324411026555642</v>
      </c>
      <c r="P6" s="296">
        <v>2334714</v>
      </c>
      <c r="Q6" s="690">
        <f t="shared" si="6"/>
        <v>0.21920534059212363</v>
      </c>
      <c r="R6" s="296">
        <v>3729713</v>
      </c>
      <c r="S6" s="690">
        <f t="shared" si="11"/>
        <v>0.35018122497054077</v>
      </c>
      <c r="T6" s="296">
        <v>4464102</v>
      </c>
      <c r="U6" s="690">
        <f t="shared" si="7"/>
        <v>0.27622764589076404</v>
      </c>
      <c r="V6" s="296">
        <v>4817227</v>
      </c>
      <c r="W6" s="690">
        <f t="shared" si="8"/>
        <v>0.17690703358885798</v>
      </c>
      <c r="X6" s="296">
        <v>5203346</v>
      </c>
      <c r="Y6" s="690">
        <f t="shared" si="9"/>
        <v>0.13047590770384593</v>
      </c>
      <c r="Z6" s="296">
        <f>Vaciado!L5</f>
        <v>3147198</v>
      </c>
      <c r="AA6" s="690">
        <f t="shared" si="10"/>
        <v>9.2032668459850503E-2</v>
      </c>
      <c r="AB6" s="690"/>
      <c r="AC6" s="362"/>
      <c r="AD6" s="435">
        <f>AD4/AD3</f>
        <v>0.29370129852778043</v>
      </c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</row>
    <row r="7" spans="2:47" ht="15.75" customHeight="1" x14ac:dyDescent="0.3">
      <c r="B7" s="332" t="s">
        <v>474</v>
      </c>
      <c r="C7" s="445"/>
      <c r="D7" s="101">
        <v>1794087</v>
      </c>
      <c r="E7" s="362">
        <f t="shared" si="0"/>
        <v>0.13044450835899024</v>
      </c>
      <c r="F7" s="101">
        <v>2997505</v>
      </c>
      <c r="G7" s="362">
        <f t="shared" si="1"/>
        <v>0.15029093270223198</v>
      </c>
      <c r="H7" s="101">
        <v>3636815</v>
      </c>
      <c r="I7" s="362">
        <f t="shared" si="2"/>
        <v>0.15693211169423155</v>
      </c>
      <c r="J7" s="101">
        <v>3928105</v>
      </c>
      <c r="K7" s="362">
        <f t="shared" si="3"/>
        <v>0.14603013593363293</v>
      </c>
      <c r="L7" s="101">
        <v>4344006</v>
      </c>
      <c r="M7" s="362">
        <f t="shared" si="4"/>
        <v>0.14356068360658286</v>
      </c>
      <c r="N7" s="654">
        <v>2767447</v>
      </c>
      <c r="O7" s="362">
        <f t="shared" si="5"/>
        <v>0.25983446460922011</v>
      </c>
      <c r="P7" s="296">
        <v>2958843</v>
      </c>
      <c r="Q7" s="690">
        <f t="shared" si="6"/>
        <v>0.277804556606771</v>
      </c>
      <c r="R7" s="296">
        <v>3190410</v>
      </c>
      <c r="S7" s="690">
        <f t="shared" si="11"/>
        <v>0.29954628733048977</v>
      </c>
      <c r="T7" s="296">
        <v>3755992</v>
      </c>
      <c r="U7" s="690">
        <f t="shared" si="7"/>
        <v>0.23241154170414174</v>
      </c>
      <c r="V7" s="296">
        <v>4877593</v>
      </c>
      <c r="W7" s="690">
        <f t="shared" si="8"/>
        <v>0.17912390441301157</v>
      </c>
      <c r="X7" s="296">
        <v>7242882</v>
      </c>
      <c r="Y7" s="690">
        <f t="shared" si="9"/>
        <v>0.18161805948361825</v>
      </c>
      <c r="Z7" s="296">
        <f>Vaciado!L6</f>
        <v>4420760</v>
      </c>
      <c r="AA7" s="690">
        <f t="shared" si="10"/>
        <v>0.12927510103290887</v>
      </c>
      <c r="AB7" s="690"/>
      <c r="AC7" s="362"/>
      <c r="AD7" s="118" t="s">
        <v>638</v>
      </c>
    </row>
    <row r="8" spans="2:47" ht="15.75" customHeight="1" x14ac:dyDescent="0.3">
      <c r="B8" s="332" t="s">
        <v>869</v>
      </c>
      <c r="C8" s="445"/>
      <c r="D8" s="101">
        <v>2808343.1123999981</v>
      </c>
      <c r="E8" s="362">
        <f t="shared" si="0"/>
        <v>0.20418905917069474</v>
      </c>
      <c r="F8" s="101">
        <v>4808331.8186999951</v>
      </c>
      <c r="G8" s="362">
        <f t="shared" si="1"/>
        <v>0.24108339227932618</v>
      </c>
      <c r="H8" s="101">
        <v>6001378.6391999926</v>
      </c>
      <c r="I8" s="362">
        <f t="shared" si="2"/>
        <v>0.2589653372322509</v>
      </c>
      <c r="J8" s="101">
        <v>6273960.4860999892</v>
      </c>
      <c r="K8" s="362">
        <f t="shared" si="3"/>
        <v>0.23323900522705557</v>
      </c>
      <c r="L8" s="101">
        <v>7229838.4236999862</v>
      </c>
      <c r="M8" s="362">
        <f t="shared" si="4"/>
        <v>0.23893165581988365</v>
      </c>
      <c r="N8" s="654">
        <v>2938946.6905</v>
      </c>
      <c r="O8" s="362">
        <f t="shared" si="5"/>
        <v>0.27593650026219357</v>
      </c>
      <c r="P8" s="296">
        <v>3777004.3144999999</v>
      </c>
      <c r="Q8" s="690">
        <f t="shared" si="6"/>
        <v>0.35462138710689739</v>
      </c>
      <c r="R8" s="296">
        <v>4734422.5773999998</v>
      </c>
      <c r="S8" s="690">
        <f t="shared" si="11"/>
        <v>0.4445129954187137</v>
      </c>
      <c r="T8" s="296">
        <v>4843979.3095000023</v>
      </c>
      <c r="U8" s="690">
        <f t="shared" si="7"/>
        <v>0.29973351894888478</v>
      </c>
      <c r="V8" s="296">
        <v>5196578.7765999939</v>
      </c>
      <c r="W8" s="690">
        <f t="shared" si="8"/>
        <v>0.19083828438624992</v>
      </c>
      <c r="X8" s="296">
        <v>6801330.7342999857</v>
      </c>
      <c r="Y8" s="690">
        <f t="shared" si="9"/>
        <v>0.17054599120486233</v>
      </c>
      <c r="Z8" s="296">
        <f>Vaciado!L7</f>
        <v>8108007.7199999997</v>
      </c>
      <c r="AA8" s="690">
        <f t="shared" si="10"/>
        <v>0.23710029885779935</v>
      </c>
      <c r="AB8" s="690"/>
      <c r="AC8" s="362"/>
      <c r="AD8" s="118"/>
    </row>
    <row r="9" spans="2:47" ht="15.75" customHeight="1" x14ac:dyDescent="0.3">
      <c r="B9" s="332" t="s">
        <v>480</v>
      </c>
      <c r="C9" s="445"/>
      <c r="D9" s="101">
        <v>0</v>
      </c>
      <c r="E9" s="362">
        <f t="shared" si="0"/>
        <v>0</v>
      </c>
      <c r="F9" s="101">
        <v>0</v>
      </c>
      <c r="G9" s="362">
        <f t="shared" si="1"/>
        <v>0</v>
      </c>
      <c r="H9" s="101">
        <v>0</v>
      </c>
      <c r="I9" s="362">
        <f t="shared" si="2"/>
        <v>0</v>
      </c>
      <c r="J9" s="101">
        <v>0</v>
      </c>
      <c r="K9" s="362">
        <f t="shared" si="3"/>
        <v>0</v>
      </c>
      <c r="L9" s="101">
        <v>0</v>
      </c>
      <c r="M9" s="362">
        <f t="shared" si="4"/>
        <v>0</v>
      </c>
      <c r="N9" s="654">
        <v>0</v>
      </c>
      <c r="O9" s="362">
        <f t="shared" si="5"/>
        <v>0</v>
      </c>
      <c r="P9" s="296">
        <v>0</v>
      </c>
      <c r="Q9" s="690">
        <f t="shared" si="6"/>
        <v>0</v>
      </c>
      <c r="R9" s="296">
        <v>0</v>
      </c>
      <c r="S9" s="690">
        <f t="shared" si="11"/>
        <v>0</v>
      </c>
      <c r="T9" s="296">
        <v>0</v>
      </c>
      <c r="U9" s="690">
        <f t="shared" si="7"/>
        <v>0</v>
      </c>
      <c r="V9" s="296">
        <v>0</v>
      </c>
      <c r="W9" s="690">
        <f t="shared" si="8"/>
        <v>0</v>
      </c>
      <c r="X9" s="296">
        <v>0</v>
      </c>
      <c r="Y9" s="690">
        <f t="shared" si="9"/>
        <v>0</v>
      </c>
      <c r="Z9" s="296">
        <f>Vaciado!L8</f>
        <v>0</v>
      </c>
      <c r="AA9" s="690">
        <f t="shared" si="10"/>
        <v>0</v>
      </c>
      <c r="AB9" s="690"/>
      <c r="AC9" s="362"/>
      <c r="AR9" s="148" t="s">
        <v>870</v>
      </c>
      <c r="AS9" s="489">
        <v>2023</v>
      </c>
      <c r="AT9" s="148">
        <v>2025</v>
      </c>
      <c r="AU9" s="489">
        <v>2025</v>
      </c>
    </row>
    <row r="10" spans="2:47" ht="16.2" customHeight="1" thickBot="1" x14ac:dyDescent="0.35">
      <c r="B10" s="132" t="s">
        <v>483</v>
      </c>
      <c r="C10" s="445"/>
      <c r="D10" s="101">
        <v>1442436</v>
      </c>
      <c r="E10" s="362">
        <f t="shared" si="0"/>
        <v>0.10487666142127358</v>
      </c>
      <c r="F10" s="101">
        <v>2567436</v>
      </c>
      <c r="G10" s="362">
        <f t="shared" si="1"/>
        <v>0.12872784235331974</v>
      </c>
      <c r="H10" s="101">
        <v>3667436</v>
      </c>
      <c r="I10" s="362">
        <f t="shared" si="2"/>
        <v>0.15825343768749461</v>
      </c>
      <c r="J10" s="101">
        <v>4792436</v>
      </c>
      <c r="K10" s="362">
        <f t="shared" si="3"/>
        <v>0.17816226412818292</v>
      </c>
      <c r="L10" s="101">
        <v>5792436</v>
      </c>
      <c r="M10" s="362">
        <f t="shared" si="4"/>
        <v>0.1914283893501483</v>
      </c>
      <c r="N10" s="654">
        <v>2265688</v>
      </c>
      <c r="O10" s="362">
        <f t="shared" si="5"/>
        <v>0.21272451774199638</v>
      </c>
      <c r="P10" s="296">
        <v>2265688</v>
      </c>
      <c r="Q10" s="690">
        <f t="shared" si="6"/>
        <v>0.21272451774199638</v>
      </c>
      <c r="R10" s="296">
        <v>2265688</v>
      </c>
      <c r="S10" s="690">
        <f t="shared" si="11"/>
        <v>0.21272451774199638</v>
      </c>
      <c r="T10" s="296">
        <v>2531790</v>
      </c>
      <c r="U10" s="690">
        <f t="shared" si="7"/>
        <v>0.15666093462689193</v>
      </c>
      <c r="V10" s="296">
        <v>2631790</v>
      </c>
      <c r="W10" s="690">
        <f t="shared" si="8"/>
        <v>9.6649413018904964E-2</v>
      </c>
      <c r="X10" s="296">
        <v>2731790</v>
      </c>
      <c r="Y10" s="690">
        <f t="shared" si="9"/>
        <v>6.8500687808631083E-2</v>
      </c>
      <c r="Z10" s="296">
        <f>Vaciado!L9</f>
        <v>5792436</v>
      </c>
      <c r="AA10" s="690">
        <f t="shared" si="10"/>
        <v>0.16938665503819672</v>
      </c>
      <c r="AB10" s="690"/>
      <c r="AC10" s="362"/>
      <c r="AR10" t="s">
        <v>871</v>
      </c>
      <c r="AS10" s="488"/>
      <c r="AT10" s="488">
        <f>D14/1000</f>
        <v>4039.4623599000611</v>
      </c>
      <c r="AU10" s="152"/>
    </row>
    <row r="11" spans="2:47" ht="16.2" customHeight="1" thickBot="1" x14ac:dyDescent="0.35">
      <c r="B11" s="10" t="s">
        <v>872</v>
      </c>
      <c r="C11" s="445"/>
      <c r="D11" s="153">
        <v>4039462.359900061</v>
      </c>
      <c r="E11" s="361">
        <f t="shared" si="0"/>
        <v>0.29370129852778037</v>
      </c>
      <c r="F11" s="153">
        <v>5597105.111300109</v>
      </c>
      <c r="G11" s="361">
        <f t="shared" si="1"/>
        <v>0.28063144101835469</v>
      </c>
      <c r="H11" s="153">
        <v>4787525.9658001568</v>
      </c>
      <c r="I11" s="361">
        <f t="shared" si="2"/>
        <v>0.20658641135278641</v>
      </c>
      <c r="J11" s="153">
        <v>5574159.9878000729</v>
      </c>
      <c r="K11" s="361">
        <f t="shared" si="3"/>
        <v>0.20722341707623962</v>
      </c>
      <c r="L11" s="153">
        <v>5007975.3872000976</v>
      </c>
      <c r="M11" s="361">
        <f t="shared" si="4"/>
        <v>0.16550353983659036</v>
      </c>
      <c r="N11" s="655">
        <v>-3706376.6686999551</v>
      </c>
      <c r="O11" s="685">
        <f t="shared" si="5"/>
        <v>-0.34799018638902846</v>
      </c>
      <c r="P11" s="687">
        <v>-4307888.2407999448</v>
      </c>
      <c r="Q11" s="688">
        <f t="shared" si="6"/>
        <v>-0.40446586136775475</v>
      </c>
      <c r="R11" s="687">
        <v>-5568322.2492999351</v>
      </c>
      <c r="S11" s="688">
        <f t="shared" si="11"/>
        <v>-0.52280749384485303</v>
      </c>
      <c r="T11" s="687">
        <v>-5390499.3186999476</v>
      </c>
      <c r="U11" s="688">
        <f t="shared" si="7"/>
        <v>-0.33355083216742221</v>
      </c>
      <c r="V11" s="687">
        <v>1245496.239499958</v>
      </c>
      <c r="W11" s="688">
        <f t="shared" si="8"/>
        <v>4.5739394277250246E-2</v>
      </c>
      <c r="X11" s="687">
        <v>6416507.8185000662</v>
      </c>
      <c r="Y11" s="688">
        <f t="shared" si="9"/>
        <v>0.16089640817804937</v>
      </c>
      <c r="Z11" s="687">
        <f>Vaciado!L10</f>
        <v>6681791.2800000012</v>
      </c>
      <c r="AA11" s="688">
        <f t="shared" si="10"/>
        <v>0.19539383336865371</v>
      </c>
      <c r="AB11" s="688"/>
      <c r="AC11" s="362"/>
      <c r="AR11" t="s">
        <v>873</v>
      </c>
      <c r="AS11" s="488"/>
      <c r="AT11" s="488">
        <f>F14/1000</f>
        <v>5597.1051113001085</v>
      </c>
    </row>
    <row r="12" spans="2:47" ht="15.75" customHeight="1" x14ac:dyDescent="0.3">
      <c r="B12" s="133" t="s">
        <v>489</v>
      </c>
      <c r="C12" s="445"/>
      <c r="D12" s="101"/>
      <c r="E12" s="101"/>
      <c r="F12" s="101"/>
      <c r="G12" s="362"/>
      <c r="H12" s="101"/>
      <c r="I12" s="362"/>
      <c r="J12" s="101"/>
      <c r="K12" s="362"/>
      <c r="L12" s="101"/>
      <c r="M12" s="362"/>
      <c r="N12" s="654"/>
      <c r="O12" s="362"/>
      <c r="P12" s="296"/>
      <c r="Q12" s="690"/>
      <c r="R12" s="296"/>
      <c r="S12" s="690"/>
      <c r="T12" s="296"/>
      <c r="U12" s="690"/>
      <c r="V12" s="296"/>
      <c r="W12" s="690"/>
      <c r="X12" s="296"/>
      <c r="Y12" s="690"/>
      <c r="Z12" s="296"/>
      <c r="AA12" s="690"/>
      <c r="AB12" s="690"/>
      <c r="AC12" s="362"/>
      <c r="AR12" t="s">
        <v>874</v>
      </c>
      <c r="AS12" s="488"/>
      <c r="AT12" s="487">
        <f>H14/1000</f>
        <v>4787.5259658001569</v>
      </c>
    </row>
    <row r="13" spans="2:47" ht="16.2" customHeight="1" thickBot="1" x14ac:dyDescent="0.35">
      <c r="B13" s="33" t="s">
        <v>493</v>
      </c>
      <c r="C13" s="445"/>
      <c r="D13" s="101">
        <v>0</v>
      </c>
      <c r="E13" s="101"/>
      <c r="F13" s="101">
        <v>0</v>
      </c>
      <c r="G13" s="362"/>
      <c r="H13" s="101">
        <v>0</v>
      </c>
      <c r="I13" s="362"/>
      <c r="J13" s="101">
        <v>0</v>
      </c>
      <c r="K13" s="362"/>
      <c r="L13" s="101">
        <v>0</v>
      </c>
      <c r="M13" s="362"/>
      <c r="N13" s="654"/>
      <c r="O13" s="362"/>
      <c r="P13" s="296"/>
      <c r="Q13" s="690"/>
      <c r="R13" s="296"/>
      <c r="S13" s="690"/>
      <c r="T13" s="296"/>
      <c r="U13" s="690"/>
      <c r="V13" s="296">
        <v>0</v>
      </c>
      <c r="W13" s="690"/>
      <c r="X13" s="296">
        <v>0</v>
      </c>
      <c r="Y13" s="690"/>
      <c r="Z13" s="296"/>
      <c r="AA13" s="690"/>
      <c r="AB13" s="690"/>
      <c r="AC13" s="362"/>
      <c r="AR13" t="s">
        <v>875</v>
      </c>
      <c r="AS13" s="488"/>
      <c r="AT13" s="487">
        <f>J14/1000</f>
        <v>5574.1599878000725</v>
      </c>
    </row>
    <row r="14" spans="2:47" ht="16.2" customHeight="1" thickBot="1" x14ac:dyDescent="0.35">
      <c r="B14" s="37" t="s">
        <v>496</v>
      </c>
      <c r="C14" s="445"/>
      <c r="D14" s="153">
        <v>4039462.359900061</v>
      </c>
      <c r="E14" s="153"/>
      <c r="F14" s="153">
        <v>5597105.111300109</v>
      </c>
      <c r="G14" s="361">
        <f>F14/$F$3</f>
        <v>0.28063144101835469</v>
      </c>
      <c r="H14" s="153">
        <v>4787525.9658001568</v>
      </c>
      <c r="I14" s="361">
        <f>H14/$H$3</f>
        <v>0.20658641135278641</v>
      </c>
      <c r="J14" s="153">
        <v>5574159.9878000729</v>
      </c>
      <c r="K14" s="361">
        <f>J14/$J$3</f>
        <v>0.20722341707623962</v>
      </c>
      <c r="L14" s="153">
        <v>5007975.3872000976</v>
      </c>
      <c r="M14" s="361">
        <f>L14/$L$3</f>
        <v>0.16550353983659036</v>
      </c>
      <c r="N14" s="655">
        <v>-3706376.6686999551</v>
      </c>
      <c r="O14" s="685">
        <f>N14/$N$3</f>
        <v>-0.34799018638902846</v>
      </c>
      <c r="P14" s="687">
        <v>-4307888.2407999448</v>
      </c>
      <c r="Q14" s="688">
        <f>P14/$N$3</f>
        <v>-0.40446586136775475</v>
      </c>
      <c r="R14" s="687">
        <v>-5568322.2492999351</v>
      </c>
      <c r="S14" s="688">
        <f>R14/$N$3</f>
        <v>-0.52280749384485303</v>
      </c>
      <c r="T14" s="687">
        <v>-5390499.3186999476</v>
      </c>
      <c r="U14" s="688">
        <f>T14/$T$3</f>
        <v>-0.33355083216742221</v>
      </c>
      <c r="V14" s="687">
        <v>1245496.239499958</v>
      </c>
      <c r="W14" s="688">
        <f>V14/$V$3</f>
        <v>4.5739394277250246E-2</v>
      </c>
      <c r="X14" s="687">
        <v>6416507.8185000662</v>
      </c>
      <c r="Y14" s="688">
        <f>X14/$X$3</f>
        <v>0.16089640817804937</v>
      </c>
      <c r="Z14" s="687">
        <f>Vaciado!L13</f>
        <v>6681791.2800000012</v>
      </c>
      <c r="AA14" s="688">
        <f>Z14/$Z$3</f>
        <v>0.19539383336865371</v>
      </c>
      <c r="AB14" s="688"/>
      <c r="AC14" s="362"/>
      <c r="AR14" t="s">
        <v>876</v>
      </c>
      <c r="AS14" s="488"/>
      <c r="AT14" s="487">
        <f>L14/1000</f>
        <v>5007.9753872000974</v>
      </c>
    </row>
    <row r="15" spans="2:47" ht="16.5" customHeight="1" thickTop="1" thickBot="1" x14ac:dyDescent="0.35">
      <c r="B15" s="41" t="s">
        <v>499</v>
      </c>
      <c r="C15" s="445"/>
      <c r="D15" s="101">
        <v>0</v>
      </c>
      <c r="E15" s="101"/>
      <c r="F15" s="101">
        <v>0</v>
      </c>
      <c r="G15" s="101"/>
      <c r="H15" s="101">
        <v>0</v>
      </c>
      <c r="I15" s="101"/>
      <c r="J15" s="101">
        <v>0</v>
      </c>
      <c r="K15" s="101"/>
      <c r="L15" s="101">
        <v>0</v>
      </c>
      <c r="M15" s="101"/>
      <c r="N15" s="654"/>
      <c r="O15" s="362"/>
      <c r="P15" s="296"/>
      <c r="Q15" s="690"/>
      <c r="R15" s="296"/>
      <c r="S15" s="690"/>
      <c r="T15" s="296"/>
      <c r="U15" s="690"/>
      <c r="V15" s="296">
        <v>0</v>
      </c>
      <c r="W15" s="690"/>
      <c r="X15" s="296">
        <v>0</v>
      </c>
      <c r="Y15" s="690"/>
      <c r="Z15" s="296"/>
      <c r="AA15" s="690"/>
      <c r="AB15" s="296"/>
      <c r="AC15" s="101"/>
      <c r="AR15" t="s">
        <v>877</v>
      </c>
      <c r="AS15" s="488"/>
      <c r="AT15" s="487">
        <f ca="1">IF(AQ30&lt;TODAY(),N14/1000,"")</f>
        <v>-3706.3766686999552</v>
      </c>
    </row>
    <row r="16" spans="2:47" ht="15.75" customHeight="1" x14ac:dyDescent="0.3">
      <c r="B16" s="29" t="s">
        <v>502</v>
      </c>
      <c r="C16" s="445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654"/>
      <c r="O16" s="362"/>
      <c r="P16" s="296"/>
      <c r="Q16" s="690"/>
      <c r="R16" s="296"/>
      <c r="S16" s="690"/>
      <c r="T16" s="296"/>
      <c r="U16" s="690"/>
      <c r="V16" s="296"/>
      <c r="W16" s="690"/>
      <c r="X16" s="296"/>
      <c r="Y16" s="690"/>
      <c r="Z16" s="296"/>
      <c r="AA16" s="690"/>
      <c r="AB16" s="296"/>
      <c r="AC16" s="101"/>
      <c r="AR16" t="s">
        <v>878</v>
      </c>
      <c r="AS16" s="488"/>
      <c r="AT16" s="487">
        <f ca="1">IF(AQ31&lt;TODAY(),P14/1000,"")</f>
        <v>-4307.8882407999445</v>
      </c>
    </row>
    <row r="17" spans="2:46" ht="15.75" customHeight="1" x14ac:dyDescent="0.3">
      <c r="B17" s="133" t="s">
        <v>505</v>
      </c>
      <c r="C17" s="445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654"/>
      <c r="O17" s="362"/>
      <c r="P17" s="296"/>
      <c r="Q17" s="690"/>
      <c r="R17" s="296"/>
      <c r="S17" s="690"/>
      <c r="T17" s="296"/>
      <c r="U17" s="690"/>
      <c r="V17" s="296"/>
      <c r="W17" s="690"/>
      <c r="X17" s="296"/>
      <c r="Y17" s="690"/>
      <c r="Z17" s="296"/>
      <c r="AA17" s="690"/>
      <c r="AB17" s="296"/>
      <c r="AC17" s="101"/>
      <c r="AR17" t="s">
        <v>879</v>
      </c>
      <c r="AS17" s="488"/>
      <c r="AT17" s="487" t="str">
        <f ca="1">IF(AQ32&lt;TODAY(),R14/1000,"")</f>
        <v/>
      </c>
    </row>
    <row r="18" spans="2:46" ht="15.75" customHeight="1" x14ac:dyDescent="0.3">
      <c r="B18" s="133" t="s">
        <v>508</v>
      </c>
      <c r="C18" s="445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654"/>
      <c r="O18" s="362"/>
      <c r="P18" s="296"/>
      <c r="Q18" s="690"/>
      <c r="R18" s="296"/>
      <c r="S18" s="690"/>
      <c r="T18" s="296"/>
      <c r="U18" s="690"/>
      <c r="V18" s="296"/>
      <c r="W18" s="690"/>
      <c r="X18" s="296"/>
      <c r="Y18" s="690"/>
      <c r="Z18" s="296"/>
      <c r="AA18" s="690"/>
      <c r="AB18" s="296"/>
      <c r="AC18" s="101"/>
      <c r="AR18" t="s">
        <v>880</v>
      </c>
      <c r="AS18" s="488"/>
      <c r="AT18" s="487" t="str">
        <f ca="1">IF(AQ33&lt;TODAY(),T14/1000,"")</f>
        <v/>
      </c>
    </row>
    <row r="19" spans="2:46" ht="16.2" customHeight="1" thickBot="1" x14ac:dyDescent="0.35">
      <c r="B19" s="132" t="s">
        <v>511</v>
      </c>
      <c r="C19" s="445"/>
      <c r="D19" s="101">
        <v>0</v>
      </c>
      <c r="E19" s="101"/>
      <c r="F19" s="101">
        <v>0</v>
      </c>
      <c r="G19" s="101"/>
      <c r="H19" s="101">
        <v>0</v>
      </c>
      <c r="I19" s="101"/>
      <c r="J19" s="101">
        <v>0</v>
      </c>
      <c r="K19" s="101"/>
      <c r="L19" s="101">
        <v>0</v>
      </c>
      <c r="M19" s="101"/>
      <c r="N19" s="654"/>
      <c r="O19" s="362"/>
      <c r="P19" s="296"/>
      <c r="Q19" s="690"/>
      <c r="R19" s="296"/>
      <c r="S19" s="690"/>
      <c r="T19" s="296"/>
      <c r="U19" s="690"/>
      <c r="V19" s="296">
        <v>0</v>
      </c>
      <c r="W19" s="690"/>
      <c r="X19" s="296">
        <v>0</v>
      </c>
      <c r="Y19" s="690"/>
      <c r="Z19" s="296"/>
      <c r="AA19" s="690"/>
      <c r="AB19" s="296"/>
      <c r="AC19" s="101"/>
      <c r="AR19" t="s">
        <v>881</v>
      </c>
      <c r="AS19" s="488"/>
      <c r="AT19" s="487" t="str">
        <f ca="1">IF(AQ34&lt;TODAY(),V14/1000,"")</f>
        <v/>
      </c>
    </row>
    <row r="20" spans="2:46" ht="16.2" customHeight="1" thickBot="1" x14ac:dyDescent="0.35">
      <c r="B20" s="48" t="s">
        <v>514</v>
      </c>
      <c r="C20" s="445"/>
      <c r="D20" s="101">
        <v>0</v>
      </c>
      <c r="E20" s="101"/>
      <c r="F20" s="101">
        <v>0</v>
      </c>
      <c r="G20" s="101"/>
      <c r="H20" s="101">
        <v>0</v>
      </c>
      <c r="I20" s="101"/>
      <c r="J20" s="101">
        <v>0</v>
      </c>
      <c r="K20" s="101"/>
      <c r="L20" s="101">
        <v>0</v>
      </c>
      <c r="M20" s="101"/>
      <c r="N20" s="654"/>
      <c r="O20" s="362"/>
      <c r="P20" s="296"/>
      <c r="Q20" s="690"/>
      <c r="R20" s="296"/>
      <c r="S20" s="690"/>
      <c r="T20" s="296"/>
      <c r="U20" s="690"/>
      <c r="V20" s="296">
        <v>0</v>
      </c>
      <c r="W20" s="690"/>
      <c r="X20" s="296">
        <v>0</v>
      </c>
      <c r="Y20" s="690"/>
      <c r="Z20" s="296"/>
      <c r="AA20" s="690"/>
      <c r="AB20" s="296"/>
      <c r="AC20" s="101"/>
      <c r="AR20" t="s">
        <v>882</v>
      </c>
      <c r="AS20" s="488"/>
      <c r="AT20" s="487" t="str">
        <f ca="1">IF(AQ35&lt;TODAY(),X14/1000,"")</f>
        <v/>
      </c>
    </row>
    <row r="21" spans="2:46" ht="15.75" customHeight="1" x14ac:dyDescent="0.3">
      <c r="B21" s="29" t="s">
        <v>517</v>
      </c>
      <c r="C21" s="445"/>
      <c r="D21" s="101">
        <v>0</v>
      </c>
      <c r="E21" s="101"/>
      <c r="F21" s="101">
        <v>0</v>
      </c>
      <c r="G21" s="101"/>
      <c r="H21" s="101">
        <v>0</v>
      </c>
      <c r="I21" s="101"/>
      <c r="J21" s="101">
        <v>0</v>
      </c>
      <c r="K21" s="101"/>
      <c r="L21" s="101">
        <v>0</v>
      </c>
      <c r="M21" s="101"/>
      <c r="N21" s="654"/>
      <c r="O21" s="362"/>
      <c r="P21" s="296"/>
      <c r="Q21" s="690"/>
      <c r="R21" s="296"/>
      <c r="S21" s="690"/>
      <c r="T21" s="296"/>
      <c r="U21" s="690"/>
      <c r="V21" s="296">
        <v>0</v>
      </c>
      <c r="W21" s="690"/>
      <c r="X21" s="296">
        <v>0</v>
      </c>
      <c r="Y21" s="690"/>
      <c r="Z21" s="296"/>
      <c r="AA21" s="690"/>
      <c r="AB21" s="296"/>
      <c r="AC21" s="101"/>
      <c r="AR21" t="s">
        <v>883</v>
      </c>
      <c r="AS21" s="488"/>
      <c r="AT21" s="487" t="str">
        <f ca="1">IF(AQ36&lt;TODAY(),Z14/1000,"")</f>
        <v/>
      </c>
    </row>
    <row r="22" spans="2:46" ht="15.75" customHeight="1" x14ac:dyDescent="0.3">
      <c r="B22" s="133" t="s">
        <v>520</v>
      </c>
      <c r="C22" s="445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654"/>
      <c r="O22" s="362"/>
      <c r="P22" s="296"/>
      <c r="Q22" s="690"/>
      <c r="R22" s="296"/>
      <c r="S22" s="690"/>
      <c r="T22" s="296"/>
      <c r="U22" s="690"/>
      <c r="V22" s="296"/>
      <c r="W22" s="690"/>
      <c r="X22" s="296"/>
      <c r="Y22" s="690"/>
      <c r="Z22" s="296"/>
      <c r="AA22" s="690"/>
      <c r="AB22" s="296"/>
      <c r="AC22" s="101"/>
    </row>
    <row r="23" spans="2:46" ht="15.75" customHeight="1" x14ac:dyDescent="0.3">
      <c r="B23" s="133" t="s">
        <v>523</v>
      </c>
      <c r="C23" s="445"/>
      <c r="D23" s="101">
        <v>0</v>
      </c>
      <c r="E23" s="101"/>
      <c r="F23" s="101">
        <v>0</v>
      </c>
      <c r="G23" s="101"/>
      <c r="H23" s="101">
        <v>0</v>
      </c>
      <c r="I23" s="101"/>
      <c r="J23" s="101">
        <v>0</v>
      </c>
      <c r="K23" s="101"/>
      <c r="L23" s="101">
        <v>0</v>
      </c>
      <c r="M23" s="101"/>
      <c r="N23" s="654"/>
      <c r="O23" s="362"/>
      <c r="P23" s="296"/>
      <c r="Q23" s="690"/>
      <c r="R23" s="296"/>
      <c r="S23" s="690"/>
      <c r="T23" s="296"/>
      <c r="U23" s="690"/>
      <c r="V23" s="296">
        <v>0</v>
      </c>
      <c r="W23" s="690"/>
      <c r="X23" s="296">
        <v>0</v>
      </c>
      <c r="Y23" s="690"/>
      <c r="Z23" s="296"/>
      <c r="AA23" s="690"/>
      <c r="AB23" s="296"/>
      <c r="AC23" s="101"/>
    </row>
    <row r="24" spans="2:46" ht="16.2" customHeight="1" thickBot="1" x14ac:dyDescent="0.35">
      <c r="B24" s="132" t="s">
        <v>525</v>
      </c>
      <c r="C24" s="445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654"/>
      <c r="O24" s="362"/>
      <c r="P24" s="296"/>
      <c r="Q24" s="690"/>
      <c r="R24" s="296"/>
      <c r="S24" s="690"/>
      <c r="T24" s="296"/>
      <c r="U24" s="690"/>
      <c r="V24" s="296"/>
      <c r="W24" s="690"/>
      <c r="X24" s="296"/>
      <c r="Y24" s="690"/>
      <c r="Z24" s="296"/>
      <c r="AA24" s="690"/>
      <c r="AB24" s="296"/>
      <c r="AC24" s="101"/>
      <c r="AR24" s="148" t="s">
        <v>884</v>
      </c>
      <c r="AS24" s="148"/>
      <c r="AT24" s="148">
        <v>2024</v>
      </c>
    </row>
    <row r="25" spans="2:46" ht="16.2" customHeight="1" thickBot="1" x14ac:dyDescent="0.35">
      <c r="B25" s="51" t="s">
        <v>528</v>
      </c>
      <c r="C25" s="445"/>
      <c r="D25" s="153">
        <v>4039462.359900061</v>
      </c>
      <c r="E25" s="153"/>
      <c r="F25" s="153">
        <v>5597105.111300109</v>
      </c>
      <c r="G25" s="153"/>
      <c r="H25" s="153">
        <v>4787525.9658001568</v>
      </c>
      <c r="I25" s="153"/>
      <c r="J25" s="153">
        <v>5574159.9878000729</v>
      </c>
      <c r="K25" s="153"/>
      <c r="L25" s="153">
        <v>5007975.3872000976</v>
      </c>
      <c r="M25" s="153"/>
      <c r="N25" s="655">
        <v>-3706376.6686999551</v>
      </c>
      <c r="O25" s="685">
        <f>N25/$N$3</f>
        <v>-0.34799018638902846</v>
      </c>
      <c r="P25" s="687">
        <v>-4307888.2407999448</v>
      </c>
      <c r="Q25" s="688">
        <f>P25/$N$3</f>
        <v>-0.40446586136775475</v>
      </c>
      <c r="R25" s="687">
        <v>-5568322.2492999351</v>
      </c>
      <c r="S25" s="688">
        <f>R25/$N$3</f>
        <v>-0.52280749384485303</v>
      </c>
      <c r="T25" s="687">
        <v>-5390499.3186999476</v>
      </c>
      <c r="U25" s="688">
        <f>T25/$T$3</f>
        <v>-0.33355083216742221</v>
      </c>
      <c r="V25" s="687">
        <v>1245496.239499958</v>
      </c>
      <c r="W25" s="688">
        <f>V25/$V$3</f>
        <v>4.5739394277250246E-2</v>
      </c>
      <c r="X25" s="687">
        <v>6416507.8185000662</v>
      </c>
      <c r="Y25" s="688">
        <f>X25/$X$3</f>
        <v>0.16089640817804937</v>
      </c>
      <c r="Z25" s="687">
        <f>Vaciado!L24</f>
        <v>6681791.2800000012</v>
      </c>
      <c r="AA25" s="688">
        <f>Z25/$Z$3</f>
        <v>0.19539383336865371</v>
      </c>
      <c r="AB25" s="687"/>
      <c r="AC25" s="153"/>
      <c r="AR25" t="s">
        <v>871</v>
      </c>
      <c r="AS25" s="478"/>
      <c r="AT25" s="488">
        <f>D3/1000</f>
        <v>13753.64147230006</v>
      </c>
    </row>
    <row r="26" spans="2:46" ht="16.5" customHeight="1" thickTop="1" thickBot="1" x14ac:dyDescent="0.35">
      <c r="B26" s="41" t="s">
        <v>530</v>
      </c>
      <c r="C26" s="445"/>
      <c r="D26" s="101">
        <v>0</v>
      </c>
      <c r="E26" s="101"/>
      <c r="F26" s="101">
        <v>0</v>
      </c>
      <c r="G26" s="101"/>
      <c r="H26" s="101">
        <v>0</v>
      </c>
      <c r="I26" s="101"/>
      <c r="J26" s="101">
        <v>0</v>
      </c>
      <c r="K26" s="101"/>
      <c r="L26" s="101">
        <v>0</v>
      </c>
      <c r="M26" s="101"/>
      <c r="N26" s="654"/>
      <c r="O26" s="362"/>
      <c r="P26" s="296"/>
      <c r="Q26" s="690"/>
      <c r="R26" s="296"/>
      <c r="S26" s="690"/>
      <c r="T26" s="296"/>
      <c r="U26" s="690"/>
      <c r="V26" s="296">
        <v>0</v>
      </c>
      <c r="W26" s="690"/>
      <c r="X26" s="296">
        <v>0</v>
      </c>
      <c r="Y26" s="690"/>
      <c r="Z26" s="296"/>
      <c r="AA26" s="690"/>
      <c r="AB26" s="296"/>
      <c r="AC26" s="101"/>
      <c r="AR26" t="s">
        <v>873</v>
      </c>
      <c r="AS26" s="166"/>
      <c r="AT26" s="488">
        <f>F3/1000</f>
        <v>19944.682930000101</v>
      </c>
    </row>
    <row r="27" spans="2:46" ht="15.75" customHeight="1" x14ac:dyDescent="0.3">
      <c r="B27" s="29" t="s">
        <v>533</v>
      </c>
      <c r="C27" s="445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654"/>
      <c r="O27" s="362"/>
      <c r="P27" s="296"/>
      <c r="Q27" s="690"/>
      <c r="R27" s="296"/>
      <c r="S27" s="690"/>
      <c r="T27" s="296"/>
      <c r="U27" s="690"/>
      <c r="V27" s="296"/>
      <c r="W27" s="690"/>
      <c r="X27" s="296"/>
      <c r="Y27" s="690"/>
      <c r="Z27" s="296"/>
      <c r="AA27" s="690"/>
      <c r="AB27" s="296"/>
      <c r="AC27" s="101"/>
      <c r="AR27" t="s">
        <v>874</v>
      </c>
      <c r="AS27" s="166"/>
      <c r="AT27" s="487">
        <f>H3/1000</f>
        <v>23174.44760500015</v>
      </c>
    </row>
    <row r="28" spans="2:46" ht="16.2" customHeight="1" thickBot="1" x14ac:dyDescent="0.35">
      <c r="B28" s="132" t="s">
        <v>536</v>
      </c>
      <c r="C28" s="445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654"/>
      <c r="O28" s="362"/>
      <c r="P28" s="296"/>
      <c r="Q28" s="690"/>
      <c r="R28" s="296"/>
      <c r="S28" s="690"/>
      <c r="T28" s="296"/>
      <c r="U28" s="690"/>
      <c r="V28" s="296"/>
      <c r="W28" s="690"/>
      <c r="X28" s="296"/>
      <c r="Y28" s="690"/>
      <c r="Z28" s="296"/>
      <c r="AA28" s="690"/>
      <c r="AB28" s="296"/>
      <c r="AC28" s="101"/>
      <c r="AR28" t="s">
        <v>875</v>
      </c>
      <c r="AS28" s="166"/>
      <c r="AT28" s="487">
        <f>J3/1000</f>
        <v>26899.27647390006</v>
      </c>
    </row>
    <row r="29" spans="2:46" ht="16.2" customHeight="1" thickBot="1" x14ac:dyDescent="0.35">
      <c r="B29" s="62" t="s">
        <v>539</v>
      </c>
      <c r="C29" s="445"/>
      <c r="D29" s="153">
        <v>4039462.359900061</v>
      </c>
      <c r="E29" s="153"/>
      <c r="F29" s="153">
        <v>5597105.111300109</v>
      </c>
      <c r="G29" s="153"/>
      <c r="H29" s="153">
        <v>4787525.9658001568</v>
      </c>
      <c r="I29" s="153"/>
      <c r="J29" s="153">
        <v>5574159.9878000729</v>
      </c>
      <c r="K29" s="153"/>
      <c r="L29" s="153">
        <v>5007975.3872000976</v>
      </c>
      <c r="M29" s="153"/>
      <c r="N29" s="655">
        <v>-3706376.6686999551</v>
      </c>
      <c r="O29" s="685">
        <f>N29/$N$3</f>
        <v>-0.34799018638902846</v>
      </c>
      <c r="P29" s="687">
        <v>-4307888.2407999448</v>
      </c>
      <c r="Q29" s="688">
        <f>P29/$N$3</f>
        <v>-0.40446586136775475</v>
      </c>
      <c r="R29" s="687">
        <v>-5568322.2492999351</v>
      </c>
      <c r="S29" s="688">
        <f>R29/$N$3</f>
        <v>-0.52280749384485303</v>
      </c>
      <c r="T29" s="687">
        <v>-5390499.3186999476</v>
      </c>
      <c r="U29" s="688">
        <f>T29/$T$3</f>
        <v>-0.33355083216742221</v>
      </c>
      <c r="V29" s="687">
        <v>1245496.239499958</v>
      </c>
      <c r="W29" s="688">
        <f>V29/$V$3</f>
        <v>4.5739394277250246E-2</v>
      </c>
      <c r="X29" s="687">
        <v>6416507.8185000662</v>
      </c>
      <c r="Y29" s="688">
        <f>X29/$X$3</f>
        <v>0.16089640817804937</v>
      </c>
      <c r="Z29" s="687">
        <f>Vaciado!L28</f>
        <v>6681791.2800000012</v>
      </c>
      <c r="AA29" s="688">
        <f>Z29/$Z$3</f>
        <v>0.19539383336865371</v>
      </c>
      <c r="AB29" s="687"/>
      <c r="AC29" s="153"/>
      <c r="AR29" t="s">
        <v>876</v>
      </c>
      <c r="AS29" s="166"/>
      <c r="AT29" s="487">
        <f>L3/1000</f>
        <v>30259.022810900082</v>
      </c>
    </row>
    <row r="30" spans="2:46" ht="15.75" customHeight="1" x14ac:dyDescent="0.3">
      <c r="B30" s="29" t="s">
        <v>541</v>
      </c>
      <c r="C30" s="445"/>
      <c r="D30" s="101">
        <v>0</v>
      </c>
      <c r="E30" s="101"/>
      <c r="F30" s="101">
        <v>0</v>
      </c>
      <c r="G30" s="101"/>
      <c r="H30" s="101">
        <v>0</v>
      </c>
      <c r="I30" s="101"/>
      <c r="J30" s="101">
        <v>0</v>
      </c>
      <c r="K30" s="101"/>
      <c r="L30" s="101">
        <v>0</v>
      </c>
      <c r="M30" s="101"/>
      <c r="N30" s="654"/>
      <c r="O30" s="362"/>
      <c r="P30" s="296"/>
      <c r="Q30" s="690"/>
      <c r="R30" s="296"/>
      <c r="S30" s="690"/>
      <c r="T30" s="296"/>
      <c r="U30" s="690"/>
      <c r="V30" s="296">
        <v>0</v>
      </c>
      <c r="W30" s="690"/>
      <c r="X30" s="296">
        <v>0</v>
      </c>
      <c r="Y30" s="690"/>
      <c r="Z30" s="296"/>
      <c r="AA30" s="704"/>
      <c r="AB30" s="296"/>
      <c r="AC30" s="101"/>
      <c r="AQ30" s="760">
        <v>45809</v>
      </c>
      <c r="AR30" t="s">
        <v>877</v>
      </c>
      <c r="AS30" s="166"/>
      <c r="AT30" s="487">
        <f ca="1">IF(AQ30&lt;TODAY(),N3/1000,"")</f>
        <v>10650.80802180004</v>
      </c>
    </row>
    <row r="31" spans="2:46" ht="16.2" customHeight="1" thickBot="1" x14ac:dyDescent="0.35">
      <c r="B31" s="132" t="s">
        <v>544</v>
      </c>
      <c r="C31" s="445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654"/>
      <c r="O31" s="362"/>
      <c r="P31" s="296"/>
      <c r="Q31" s="690"/>
      <c r="R31" s="296"/>
      <c r="S31" s="690"/>
      <c r="T31" s="296"/>
      <c r="U31" s="690"/>
      <c r="V31" s="296"/>
      <c r="W31" s="690"/>
      <c r="X31" s="296"/>
      <c r="Y31" s="690"/>
      <c r="Z31" s="296"/>
      <c r="AA31" s="704"/>
      <c r="AB31" s="296"/>
      <c r="AC31" s="101"/>
      <c r="AQ31" s="760">
        <v>45839</v>
      </c>
      <c r="AR31" t="s">
        <v>878</v>
      </c>
      <c r="AS31" s="166"/>
      <c r="AT31" s="487">
        <f ca="1">IF(AQ31&lt;TODAY(),P3/1000,"")</f>
        <v>11799.150073700059</v>
      </c>
    </row>
    <row r="32" spans="2:46" ht="16.2" customHeight="1" thickBot="1" x14ac:dyDescent="0.35">
      <c r="B32" s="45" t="s">
        <v>548</v>
      </c>
      <c r="C32" s="445"/>
      <c r="D32" s="153">
        <v>4039462.359900061</v>
      </c>
      <c r="E32" s="153"/>
      <c r="F32" s="153">
        <v>5597105.111300109</v>
      </c>
      <c r="G32" s="153"/>
      <c r="H32" s="153">
        <v>4787525.9658001568</v>
      </c>
      <c r="I32" s="153"/>
      <c r="J32" s="153">
        <v>5574159.9878000729</v>
      </c>
      <c r="K32" s="153"/>
      <c r="L32" s="153">
        <v>5007975.3872000976</v>
      </c>
      <c r="M32" s="153"/>
      <c r="N32" s="655">
        <v>-3706376.6686999551</v>
      </c>
      <c r="O32" s="685">
        <f>N32/$N$3</f>
        <v>-0.34799018638902846</v>
      </c>
      <c r="P32" s="687">
        <v>-4307888.2407999448</v>
      </c>
      <c r="Q32" s="688">
        <f>P32/$N$3</f>
        <v>-0.40446586136775475</v>
      </c>
      <c r="R32" s="687">
        <v>-5568322.2492999351</v>
      </c>
      <c r="S32" s="688">
        <f>R32/$N$3</f>
        <v>-0.52280749384485303</v>
      </c>
      <c r="T32" s="687">
        <v>-5390499.3186999476</v>
      </c>
      <c r="U32" s="688">
        <f>T32/$T$3</f>
        <v>-0.33355083216742221</v>
      </c>
      <c r="V32" s="687">
        <v>1245496.239499958</v>
      </c>
      <c r="W32" s="688">
        <f>V32/$V$3</f>
        <v>4.5739394277250246E-2</v>
      </c>
      <c r="X32" s="687">
        <v>6416507.8185000662</v>
      </c>
      <c r="Y32" s="688">
        <f>X32/$N$3</f>
        <v>0.60244328931352242</v>
      </c>
      <c r="Z32" s="687">
        <f>Vaciado!L31</f>
        <v>6681791.2800000012</v>
      </c>
      <c r="AA32" s="688">
        <f>Z32/$N$3</f>
        <v>0.62735064478898994</v>
      </c>
      <c r="AB32" s="687"/>
      <c r="AC32" s="153"/>
      <c r="AQ32" s="760">
        <v>45870</v>
      </c>
      <c r="AR32" t="s">
        <v>879</v>
      </c>
      <c r="AS32" s="166"/>
      <c r="AT32" s="487" t="str">
        <f ca="1">IF(AQ32&lt;TODAY(),R3/1000,"")</f>
        <v/>
      </c>
    </row>
    <row r="33" spans="2:46" x14ac:dyDescent="0.3">
      <c r="AQ33" s="760">
        <v>45901</v>
      </c>
      <c r="AR33" t="s">
        <v>880</v>
      </c>
      <c r="AS33" s="166"/>
      <c r="AT33" s="487" t="str">
        <f ca="1">IF(AQ33&lt;TODAY(),T3/1000,"")</f>
        <v/>
      </c>
    </row>
    <row r="34" spans="2:46" x14ac:dyDescent="0.3">
      <c r="D34" s="810" t="s">
        <v>885</v>
      </c>
      <c r="E34" s="793"/>
      <c r="F34" s="793"/>
      <c r="G34" s="793"/>
      <c r="H34" s="793"/>
      <c r="I34" s="793"/>
      <c r="J34" s="793"/>
      <c r="K34" s="793"/>
      <c r="L34" s="793"/>
      <c r="M34" s="793"/>
      <c r="N34" s="792"/>
      <c r="O34" s="792"/>
      <c r="P34" s="809"/>
      <c r="Q34" s="809"/>
      <c r="R34" s="809"/>
      <c r="S34" s="809"/>
      <c r="T34" s="809"/>
      <c r="U34" s="809"/>
      <c r="V34" s="809"/>
      <c r="W34" s="809"/>
      <c r="X34" s="809"/>
      <c r="Y34" s="809"/>
      <c r="Z34" s="809"/>
      <c r="AA34" s="811"/>
      <c r="AB34" s="809"/>
      <c r="AC34" s="793"/>
      <c r="AQ34" s="760">
        <v>45931</v>
      </c>
      <c r="AR34" t="s">
        <v>881</v>
      </c>
      <c r="AS34" s="166"/>
      <c r="AT34" s="487" t="str">
        <f ca="1">IF(AQ34&lt;TODAY(),AV3/1000,"")</f>
        <v/>
      </c>
    </row>
    <row r="35" spans="2:46" ht="14.7" customHeight="1" thickBot="1" x14ac:dyDescent="0.35">
      <c r="D35" s="265">
        <v>45658</v>
      </c>
      <c r="E35" s="265"/>
      <c r="F35" s="265">
        <v>45689</v>
      </c>
      <c r="G35" s="265"/>
      <c r="H35" s="265">
        <v>45717</v>
      </c>
      <c r="I35" s="265"/>
      <c r="J35" s="265">
        <v>45748</v>
      </c>
      <c r="K35" s="265"/>
      <c r="L35" s="265">
        <v>45413</v>
      </c>
      <c r="M35" s="265"/>
      <c r="N35" s="265">
        <v>45444</v>
      </c>
      <c r="O35" s="265"/>
      <c r="P35" s="686">
        <v>45474</v>
      </c>
      <c r="Q35" s="686"/>
      <c r="R35" s="686">
        <v>45505</v>
      </c>
      <c r="S35" s="686"/>
      <c r="T35" s="686">
        <v>45536</v>
      </c>
      <c r="U35" s="686"/>
      <c r="V35" s="686">
        <v>45566</v>
      </c>
      <c r="W35" s="686"/>
      <c r="X35" s="686">
        <v>45597</v>
      </c>
      <c r="Y35" s="686"/>
      <c r="Z35" s="686">
        <v>45627</v>
      </c>
      <c r="AB35" s="686">
        <v>45658</v>
      </c>
      <c r="AQ35" s="760">
        <v>45962</v>
      </c>
      <c r="AR35" t="s">
        <v>882</v>
      </c>
      <c r="AS35" s="166"/>
      <c r="AT35" s="487" t="str">
        <f ca="1">IF(AQ35&lt;TODAY(),X3/1000,"")</f>
        <v/>
      </c>
    </row>
    <row r="36" spans="2:46" ht="15.75" customHeight="1" x14ac:dyDescent="0.3">
      <c r="B36" s="127" t="s">
        <v>462</v>
      </c>
      <c r="D36" s="153">
        <v>13824461.422300059</v>
      </c>
      <c r="E36" s="361">
        <f t="shared" ref="E36:E47" si="13">D36/D$36</f>
        <v>1</v>
      </c>
      <c r="F36" s="153">
        <f t="shared" ref="F36:F47" si="14">F3-D3</f>
        <v>6191041.4577000402</v>
      </c>
      <c r="G36" s="361">
        <f>F36/F$36</f>
        <v>1</v>
      </c>
      <c r="H36" s="153">
        <f t="shared" ref="H36:H47" si="15">H3-F3</f>
        <v>3229764.6750000492</v>
      </c>
      <c r="I36" s="361">
        <f t="shared" ref="I36:I47" si="16">H36/H$36</f>
        <v>1</v>
      </c>
      <c r="J36" s="153">
        <f t="shared" ref="J36:J47" si="17">J3-H3</f>
        <v>3724828.8688999116</v>
      </c>
      <c r="K36" s="361">
        <f t="shared" ref="K36:K47" si="18">J36/J$36</f>
        <v>1</v>
      </c>
      <c r="L36" s="153">
        <f t="shared" ref="L36:L47" si="19">L3-J3</f>
        <v>3359746.3370000198</v>
      </c>
      <c r="M36" s="361">
        <f t="shared" ref="M36:M47" si="20">L36/L$36</f>
        <v>1</v>
      </c>
      <c r="N36" s="656">
        <f t="shared" ref="N36:N47" si="21">N3-L3</f>
        <v>-19608214.789100043</v>
      </c>
      <c r="O36" s="691">
        <f t="shared" ref="O36:O47" si="22">N36/$N$36</f>
        <v>1</v>
      </c>
      <c r="P36" s="687">
        <f t="shared" ref="P36:P47" si="23">P3-N3</f>
        <v>1148342.0519000199</v>
      </c>
      <c r="Q36" s="688">
        <f t="shared" ref="Q36:Q47" si="24">P36/$P$36</f>
        <v>1</v>
      </c>
      <c r="R36" s="687">
        <f t="shared" ref="R36:R47" si="25">R3-P3</f>
        <v>1819950.2544</v>
      </c>
      <c r="S36" s="688">
        <f t="shared" ref="S36:S47" si="26">R36/$R$36</f>
        <v>1</v>
      </c>
      <c r="T36" s="687">
        <f t="shared" ref="T36:T47" si="27">T3-R3</f>
        <v>2541852.66269999</v>
      </c>
      <c r="U36" s="688">
        <f t="shared" ref="U36:U47" si="28">T36/$T$36</f>
        <v>1</v>
      </c>
      <c r="V36" s="687">
        <f t="shared" ref="V36:V47" si="29">V3-T3</f>
        <v>11069321.025299899</v>
      </c>
      <c r="W36" s="688">
        <f t="shared" ref="W36:W47" si="30">V36/$V$36</f>
        <v>1</v>
      </c>
      <c r="X36" s="687">
        <f t="shared" ref="X36:X47" si="31">X3-V3</f>
        <v>12649471.536700103</v>
      </c>
      <c r="Y36" s="688">
        <f t="shared" ref="Y36:Y47" si="32">X36/$X$36</f>
        <v>1</v>
      </c>
      <c r="Z36" s="687">
        <f t="shared" ref="Z36:Z47" si="33">Z3-X3</f>
        <v>-5683214.5528000519</v>
      </c>
      <c r="AA36" s="688">
        <f t="shared" ref="AA36:AA47" si="34">Z36/$Z$36</f>
        <v>1</v>
      </c>
      <c r="AB36" s="688"/>
      <c r="AQ36" s="760">
        <v>45992</v>
      </c>
      <c r="AR36" t="s">
        <v>883</v>
      </c>
      <c r="AS36" s="166"/>
      <c r="AT36" s="487" t="str">
        <f ca="1">IF(AQ36&lt;TODAY(),Z3/1000,"")</f>
        <v/>
      </c>
    </row>
    <row r="37" spans="2:46" ht="16.2" customHeight="1" thickBot="1" x14ac:dyDescent="0.35">
      <c r="B37" s="130" t="s">
        <v>465</v>
      </c>
      <c r="D37" s="101">
        <v>2111365</v>
      </c>
      <c r="E37" s="362">
        <f t="shared" si="13"/>
        <v>0.15272674540464806</v>
      </c>
      <c r="F37" s="101">
        <f t="shared" si="14"/>
        <v>934951</v>
      </c>
      <c r="G37" s="362">
        <f t="shared" ref="G37:G47" si="35">F37/$F$36</f>
        <v>0.15101675645172186</v>
      </c>
      <c r="H37" s="101">
        <f t="shared" si="15"/>
        <v>686331</v>
      </c>
      <c r="I37" s="362">
        <f t="shared" si="16"/>
        <v>0.21250185975236402</v>
      </c>
      <c r="J37" s="101">
        <f t="shared" si="17"/>
        <v>719468</v>
      </c>
      <c r="K37" s="362">
        <f t="shared" si="18"/>
        <v>0.19315464557502937</v>
      </c>
      <c r="L37" s="101">
        <f t="shared" si="19"/>
        <v>824654</v>
      </c>
      <c r="M37" s="362">
        <f t="shared" si="20"/>
        <v>0.24545126842413614</v>
      </c>
      <c r="N37" s="152">
        <f t="shared" si="21"/>
        <v>-1005649</v>
      </c>
      <c r="O37" s="156">
        <f t="shared" si="22"/>
        <v>5.1287126891277603E-2</v>
      </c>
      <c r="P37" s="296">
        <f t="shared" si="23"/>
        <v>550400</v>
      </c>
      <c r="Q37" s="688">
        <f t="shared" si="24"/>
        <v>0.47929969915263582</v>
      </c>
      <c r="R37" s="296">
        <f t="shared" si="25"/>
        <v>496400</v>
      </c>
      <c r="S37" s="688">
        <f t="shared" si="26"/>
        <v>0.27275470788274531</v>
      </c>
      <c r="T37" s="296">
        <f t="shared" si="27"/>
        <v>688400</v>
      </c>
      <c r="U37" s="688">
        <f t="shared" si="28"/>
        <v>0.27082608292046806</v>
      </c>
      <c r="V37" s="296">
        <f t="shared" si="29"/>
        <v>2506000</v>
      </c>
      <c r="W37" s="688">
        <f t="shared" si="30"/>
        <v>0.22639148275421034</v>
      </c>
      <c r="X37" s="296">
        <f t="shared" si="31"/>
        <v>3022300</v>
      </c>
      <c r="Y37" s="688">
        <f t="shared" si="32"/>
        <v>0.23892697740228555</v>
      </c>
      <c r="Z37" s="296">
        <f t="shared" si="33"/>
        <v>-5437551</v>
      </c>
      <c r="AA37" s="690">
        <f t="shared" si="34"/>
        <v>0.95677383802464111</v>
      </c>
      <c r="AB37" s="690"/>
    </row>
    <row r="38" spans="2:46" ht="16.2" customHeight="1" thickBot="1" x14ac:dyDescent="0.35">
      <c r="B38" s="24" t="s">
        <v>468</v>
      </c>
      <c r="D38" s="153">
        <v>11713096.422300059</v>
      </c>
      <c r="E38" s="361">
        <f t="shared" si="13"/>
        <v>0.84727325459535197</v>
      </c>
      <c r="F38" s="153">
        <f t="shared" si="14"/>
        <v>5256090.4577000402</v>
      </c>
      <c r="G38" s="361">
        <f t="shared" si="35"/>
        <v>0.84898324354827814</v>
      </c>
      <c r="H38" s="153">
        <f t="shared" si="15"/>
        <v>2543433.6750000492</v>
      </c>
      <c r="I38" s="361">
        <f t="shared" si="16"/>
        <v>0.78749814024763598</v>
      </c>
      <c r="J38" s="153">
        <f t="shared" si="17"/>
        <v>3005360.8688999116</v>
      </c>
      <c r="K38" s="361">
        <f t="shared" si="18"/>
        <v>0.80684535442497063</v>
      </c>
      <c r="L38" s="153">
        <f t="shared" si="19"/>
        <v>2535092.3370000198</v>
      </c>
      <c r="M38" s="361">
        <f t="shared" si="20"/>
        <v>0.75454873157586388</v>
      </c>
      <c r="N38" s="656">
        <f t="shared" si="21"/>
        <v>-18602565.789100036</v>
      </c>
      <c r="O38" s="691">
        <f t="shared" si="22"/>
        <v>0.94871287310872199</v>
      </c>
      <c r="P38" s="687">
        <f t="shared" si="23"/>
        <v>597942.05190000962</v>
      </c>
      <c r="Q38" s="688">
        <f t="shared" si="24"/>
        <v>0.5207003008473553</v>
      </c>
      <c r="R38" s="687">
        <f t="shared" si="25"/>
        <v>1323550.2544000102</v>
      </c>
      <c r="S38" s="688">
        <f t="shared" si="26"/>
        <v>0.7272452921172603</v>
      </c>
      <c r="T38" s="687">
        <f t="shared" si="27"/>
        <v>1853452.6626999844</v>
      </c>
      <c r="U38" s="688">
        <f t="shared" si="28"/>
        <v>0.72917391707952972</v>
      </c>
      <c r="V38" s="687">
        <f t="shared" si="29"/>
        <v>8563321.0252998993</v>
      </c>
      <c r="W38" s="688">
        <f t="shared" si="30"/>
        <v>0.77360851724578972</v>
      </c>
      <c r="X38" s="687">
        <f t="shared" si="31"/>
        <v>9627171.5367000997</v>
      </c>
      <c r="Y38" s="688">
        <f t="shared" si="32"/>
        <v>0.76107302259771414</v>
      </c>
      <c r="Z38" s="687">
        <f t="shared" si="33"/>
        <v>-245663.55280004814</v>
      </c>
      <c r="AA38" s="688">
        <f t="shared" si="34"/>
        <v>4.3226161975358231E-2</v>
      </c>
      <c r="AB38" s="688"/>
    </row>
    <row r="39" spans="2:46" ht="15.75" customHeight="1" x14ac:dyDescent="0.3">
      <c r="B39" s="29" t="s">
        <v>471</v>
      </c>
      <c r="D39" s="101">
        <v>2108679</v>
      </c>
      <c r="E39" s="362">
        <f t="shared" si="13"/>
        <v>0.15253245212131861</v>
      </c>
      <c r="F39" s="101">
        <f t="shared" si="14"/>
        <v>-629959</v>
      </c>
      <c r="G39" s="362">
        <f t="shared" si="35"/>
        <v>-0.10175331635301769</v>
      </c>
      <c r="H39" s="101">
        <f t="shared" si="15"/>
        <v>420656</v>
      </c>
      <c r="I39" s="362">
        <f t="shared" si="16"/>
        <v>0.13024354475608771</v>
      </c>
      <c r="J39" s="101">
        <f t="shared" si="17"/>
        <v>529855</v>
      </c>
      <c r="K39" s="362">
        <f t="shared" si="18"/>
        <v>0.14224948813728644</v>
      </c>
      <c r="L39" s="101">
        <f t="shared" si="19"/>
        <v>729498</v>
      </c>
      <c r="M39" s="362">
        <f t="shared" si="20"/>
        <v>0.21712889213278594</v>
      </c>
      <c r="N39" s="152">
        <f t="shared" si="21"/>
        <v>-494015</v>
      </c>
      <c r="O39" s="156">
        <f t="shared" si="22"/>
        <v>2.5194287461325477E-2</v>
      </c>
      <c r="P39" s="296">
        <f t="shared" si="23"/>
        <v>170000</v>
      </c>
      <c r="Q39" s="690">
        <f t="shared" si="24"/>
        <v>0.14803951463653359</v>
      </c>
      <c r="R39" s="296">
        <f t="shared" si="25"/>
        <v>1394999</v>
      </c>
      <c r="S39" s="690">
        <f t="shared" si="26"/>
        <v>0.76650391769081749</v>
      </c>
      <c r="T39" s="296">
        <f t="shared" si="27"/>
        <v>734389</v>
      </c>
      <c r="U39" s="690">
        <f t="shared" si="28"/>
        <v>0.28891879170522894</v>
      </c>
      <c r="V39" s="296">
        <f t="shared" si="29"/>
        <v>353125</v>
      </c>
      <c r="W39" s="690">
        <f t="shared" si="30"/>
        <v>3.1901233977486246E-2</v>
      </c>
      <c r="X39" s="296">
        <f t="shared" si="31"/>
        <v>386119</v>
      </c>
      <c r="Y39" s="690">
        <f t="shared" si="32"/>
        <v>3.0524516291431391E-2</v>
      </c>
      <c r="Z39" s="296">
        <f t="shared" si="33"/>
        <v>-2056148</v>
      </c>
      <c r="AA39" s="690">
        <f t="shared" si="34"/>
        <v>0.36179313325184254</v>
      </c>
      <c r="AB39" s="690"/>
      <c r="AR39" s="148" t="s">
        <v>886</v>
      </c>
      <c r="AS39" s="148">
        <v>2023</v>
      </c>
      <c r="AT39" s="148">
        <v>2024</v>
      </c>
    </row>
    <row r="40" spans="2:46" ht="15.75" customHeight="1" x14ac:dyDescent="0.3">
      <c r="B40" s="332" t="s">
        <v>474</v>
      </c>
      <c r="D40" s="101">
        <v>1294087</v>
      </c>
      <c r="E40" s="362">
        <f t="shared" si="13"/>
        <v>9.360849297988022E-2</v>
      </c>
      <c r="F40" s="101">
        <f t="shared" si="14"/>
        <v>1203418</v>
      </c>
      <c r="G40" s="362">
        <f t="shared" si="35"/>
        <v>0.19438054295424917</v>
      </c>
      <c r="H40" s="101">
        <f t="shared" si="15"/>
        <v>639310</v>
      </c>
      <c r="I40" s="362">
        <f t="shared" si="16"/>
        <v>0.19794321392780428</v>
      </c>
      <c r="J40" s="101">
        <f t="shared" si="17"/>
        <v>291290</v>
      </c>
      <c r="K40" s="362">
        <f t="shared" si="18"/>
        <v>7.8202250426079145E-2</v>
      </c>
      <c r="L40" s="101">
        <f t="shared" si="19"/>
        <v>415901</v>
      </c>
      <c r="M40" s="362">
        <f t="shared" si="20"/>
        <v>0.12378940499757067</v>
      </c>
      <c r="N40" s="152">
        <f t="shared" si="21"/>
        <v>-1576559</v>
      </c>
      <c r="O40" s="156">
        <f t="shared" si="22"/>
        <v>8.0402985022195339E-2</v>
      </c>
      <c r="P40" s="296">
        <f t="shared" si="23"/>
        <v>191396</v>
      </c>
      <c r="Q40" s="690">
        <f t="shared" si="24"/>
        <v>0.16667159378455285</v>
      </c>
      <c r="R40" s="296">
        <f t="shared" si="25"/>
        <v>231567</v>
      </c>
      <c r="S40" s="690">
        <f t="shared" si="26"/>
        <v>0.12723809315125642</v>
      </c>
      <c r="T40" s="296">
        <f t="shared" si="27"/>
        <v>565582</v>
      </c>
      <c r="U40" s="690">
        <f t="shared" si="28"/>
        <v>0.22250778272853597</v>
      </c>
      <c r="V40" s="296">
        <f t="shared" si="29"/>
        <v>1121601</v>
      </c>
      <c r="W40" s="690">
        <f t="shared" si="30"/>
        <v>0.1013251849355966</v>
      </c>
      <c r="X40" s="296">
        <f t="shared" si="31"/>
        <v>2365289</v>
      </c>
      <c r="Y40" s="690">
        <f t="shared" si="32"/>
        <v>0.18698717911950322</v>
      </c>
      <c r="Z40" s="296">
        <f t="shared" si="33"/>
        <v>-2822122</v>
      </c>
      <c r="AA40" s="690">
        <f t="shared" si="34"/>
        <v>0.49657143396241732</v>
      </c>
      <c r="AB40" s="690"/>
      <c r="AR40" t="s">
        <v>871</v>
      </c>
      <c r="AS40" s="486"/>
      <c r="AT40" s="488">
        <f>D36/1000</f>
        <v>13824.461422300059</v>
      </c>
    </row>
    <row r="41" spans="2:46" ht="15.75" customHeight="1" x14ac:dyDescent="0.3">
      <c r="B41" s="332" t="s">
        <v>869</v>
      </c>
      <c r="D41" s="101">
        <v>2811400.7077999981</v>
      </c>
      <c r="E41" s="362">
        <f t="shared" si="13"/>
        <v>0.20336421231318019</v>
      </c>
      <c r="F41" s="101">
        <f t="shared" si="14"/>
        <v>1999988.7062999969</v>
      </c>
      <c r="G41" s="362">
        <f t="shared" si="35"/>
        <v>0.32304560064163884</v>
      </c>
      <c r="H41" s="101">
        <f t="shared" si="15"/>
        <v>1193046.8204999976</v>
      </c>
      <c r="I41" s="362">
        <f t="shared" si="16"/>
        <v>0.36939125309492693</v>
      </c>
      <c r="J41" s="101">
        <f t="shared" si="17"/>
        <v>272581.84689999651</v>
      </c>
      <c r="K41" s="362">
        <f t="shared" si="18"/>
        <v>7.3179696703891975E-2</v>
      </c>
      <c r="L41" s="101">
        <f t="shared" si="19"/>
        <v>955877.93759999704</v>
      </c>
      <c r="M41" s="362">
        <f t="shared" si="20"/>
        <v>0.28450896041560036</v>
      </c>
      <c r="N41" s="152">
        <f t="shared" si="21"/>
        <v>-4290891.7331999857</v>
      </c>
      <c r="O41" s="156">
        <f t="shared" si="22"/>
        <v>0.21883133061074167</v>
      </c>
      <c r="P41" s="296">
        <f t="shared" si="23"/>
        <v>838057.62399999984</v>
      </c>
      <c r="Q41" s="690">
        <f t="shared" si="24"/>
        <v>0.72979790526121491</v>
      </c>
      <c r="R41" s="296">
        <f t="shared" si="25"/>
        <v>957418.26289999997</v>
      </c>
      <c r="S41" s="690">
        <f t="shared" si="26"/>
        <v>0.5260683694981767</v>
      </c>
      <c r="T41" s="296">
        <f t="shared" si="27"/>
        <v>109556.73210000247</v>
      </c>
      <c r="U41" s="690">
        <f t="shared" si="28"/>
        <v>4.3101133951497346E-2</v>
      </c>
      <c r="V41" s="296">
        <f t="shared" si="29"/>
        <v>352599.46709999163</v>
      </c>
      <c r="W41" s="690">
        <f t="shared" si="30"/>
        <v>3.1853757452159417E-2</v>
      </c>
      <c r="X41" s="296">
        <f t="shared" si="31"/>
        <v>1604751.9576999918</v>
      </c>
      <c r="Y41" s="690">
        <f t="shared" si="32"/>
        <v>0.1268631620731428</v>
      </c>
      <c r="Z41" s="296">
        <f t="shared" si="33"/>
        <v>1306676.985700014</v>
      </c>
      <c r="AA41" s="690">
        <f t="shared" si="34"/>
        <v>-0.22991864437991874</v>
      </c>
      <c r="AB41" s="690"/>
      <c r="AR41" t="s">
        <v>873</v>
      </c>
      <c r="AS41" s="486"/>
      <c r="AT41" s="488">
        <f>F36/1000</f>
        <v>6191.0414577000402</v>
      </c>
    </row>
    <row r="42" spans="2:46" ht="15.75" customHeight="1" x14ac:dyDescent="0.3">
      <c r="B42" s="332" t="s">
        <v>480</v>
      </c>
      <c r="D42" s="101">
        <v>0</v>
      </c>
      <c r="E42" s="362">
        <f t="shared" si="13"/>
        <v>0</v>
      </c>
      <c r="F42" s="101">
        <f t="shared" si="14"/>
        <v>0</v>
      </c>
      <c r="G42" s="362">
        <f t="shared" si="35"/>
        <v>0</v>
      </c>
      <c r="H42" s="101">
        <f t="shared" si="15"/>
        <v>0</v>
      </c>
      <c r="I42" s="362">
        <f t="shared" si="16"/>
        <v>0</v>
      </c>
      <c r="J42" s="101">
        <f t="shared" si="17"/>
        <v>0</v>
      </c>
      <c r="K42" s="362">
        <f t="shared" si="18"/>
        <v>0</v>
      </c>
      <c r="L42" s="101">
        <f t="shared" si="19"/>
        <v>0</v>
      </c>
      <c r="M42" s="362">
        <f t="shared" si="20"/>
        <v>0</v>
      </c>
      <c r="N42" s="152">
        <f t="shared" si="21"/>
        <v>0</v>
      </c>
      <c r="O42" s="156">
        <f t="shared" si="22"/>
        <v>0</v>
      </c>
      <c r="P42" s="296">
        <f t="shared" si="23"/>
        <v>0</v>
      </c>
      <c r="Q42" s="690">
        <f t="shared" si="24"/>
        <v>0</v>
      </c>
      <c r="R42" s="296">
        <f t="shared" si="25"/>
        <v>0</v>
      </c>
      <c r="S42" s="690">
        <f t="shared" si="26"/>
        <v>0</v>
      </c>
      <c r="T42" s="296">
        <f t="shared" si="27"/>
        <v>0</v>
      </c>
      <c r="U42" s="690">
        <f t="shared" si="28"/>
        <v>0</v>
      </c>
      <c r="V42" s="296">
        <f t="shared" si="29"/>
        <v>0</v>
      </c>
      <c r="W42" s="690">
        <f t="shared" si="30"/>
        <v>0</v>
      </c>
      <c r="X42" s="296">
        <f t="shared" si="31"/>
        <v>0</v>
      </c>
      <c r="Y42" s="690">
        <f t="shared" si="32"/>
        <v>0</v>
      </c>
      <c r="Z42" s="296">
        <f t="shared" si="33"/>
        <v>0</v>
      </c>
      <c r="AA42" s="690">
        <f t="shared" si="34"/>
        <v>0</v>
      </c>
      <c r="AB42" s="690"/>
      <c r="AR42" t="s">
        <v>874</v>
      </c>
      <c r="AS42" s="486"/>
      <c r="AT42" s="487">
        <f>H36/1000</f>
        <v>3229.764675000049</v>
      </c>
    </row>
    <row r="43" spans="2:46" ht="16.2" customHeight="1" thickBot="1" x14ac:dyDescent="0.35">
      <c r="B43" s="132" t="s">
        <v>483</v>
      </c>
      <c r="D43" s="101">
        <v>1442436</v>
      </c>
      <c r="E43" s="362">
        <f t="shared" si="13"/>
        <v>0.10433939926753495</v>
      </c>
      <c r="F43" s="101">
        <f t="shared" si="14"/>
        <v>1125000</v>
      </c>
      <c r="G43" s="362">
        <f t="shared" si="35"/>
        <v>0.18171417647361957</v>
      </c>
      <c r="H43" s="101">
        <f t="shared" si="15"/>
        <v>1100000</v>
      </c>
      <c r="I43" s="362">
        <f t="shared" si="16"/>
        <v>0.34058208900312009</v>
      </c>
      <c r="J43" s="101">
        <f t="shared" si="17"/>
        <v>1125000</v>
      </c>
      <c r="K43" s="362">
        <f t="shared" si="18"/>
        <v>0.30202729832585751</v>
      </c>
      <c r="L43" s="101">
        <f t="shared" si="19"/>
        <v>1000000</v>
      </c>
      <c r="M43" s="362">
        <f t="shared" si="20"/>
        <v>0.29764151804773414</v>
      </c>
      <c r="N43" s="152">
        <f t="shared" si="21"/>
        <v>-3526748</v>
      </c>
      <c r="O43" s="156">
        <f t="shared" si="22"/>
        <v>0.17986073887565093</v>
      </c>
      <c r="P43" s="296">
        <f t="shared" si="23"/>
        <v>0</v>
      </c>
      <c r="Q43" s="690">
        <f t="shared" si="24"/>
        <v>0</v>
      </c>
      <c r="R43" s="296">
        <f t="shared" si="25"/>
        <v>0</v>
      </c>
      <c r="S43" s="690">
        <f t="shared" si="26"/>
        <v>0</v>
      </c>
      <c r="T43" s="296">
        <f t="shared" si="27"/>
        <v>266102</v>
      </c>
      <c r="U43" s="690">
        <f t="shared" si="28"/>
        <v>0.10468820789846367</v>
      </c>
      <c r="V43" s="296">
        <f t="shared" si="29"/>
        <v>100000</v>
      </c>
      <c r="W43" s="690">
        <f t="shared" si="30"/>
        <v>9.0339777635359275E-3</v>
      </c>
      <c r="X43" s="296">
        <f t="shared" si="31"/>
        <v>100000</v>
      </c>
      <c r="Y43" s="690">
        <f t="shared" si="32"/>
        <v>7.9054685968396772E-3</v>
      </c>
      <c r="Z43" s="296">
        <f t="shared" si="33"/>
        <v>3060646</v>
      </c>
      <c r="AA43" s="690">
        <f t="shared" si="34"/>
        <v>-0.53854134338321902</v>
      </c>
      <c r="AB43" s="690"/>
      <c r="AR43" t="s">
        <v>875</v>
      </c>
      <c r="AS43" s="486"/>
      <c r="AT43" s="487">
        <f>J36/1000</f>
        <v>3724.8288688999119</v>
      </c>
    </row>
    <row r="44" spans="2:46" ht="16.2" customHeight="1" thickBot="1" x14ac:dyDescent="0.35">
      <c r="B44" s="10" t="s">
        <v>872</v>
      </c>
      <c r="D44" s="153">
        <v>4056493.714500064</v>
      </c>
      <c r="E44" s="361">
        <f t="shared" si="13"/>
        <v>0.29342869791343817</v>
      </c>
      <c r="F44" s="153">
        <f t="shared" si="14"/>
        <v>1557642.7514000479</v>
      </c>
      <c r="G44" s="361">
        <f t="shared" si="35"/>
        <v>0.25159623983178903</v>
      </c>
      <c r="H44" s="153">
        <f t="shared" si="15"/>
        <v>-809579.14549995214</v>
      </c>
      <c r="I44" s="361">
        <f t="shared" si="16"/>
        <v>-0.25066196053430417</v>
      </c>
      <c r="J44" s="153">
        <f t="shared" si="17"/>
        <v>786634.02199991606</v>
      </c>
      <c r="K44" s="361">
        <f t="shared" si="18"/>
        <v>0.21118662083185583</v>
      </c>
      <c r="L44" s="153">
        <f t="shared" si="19"/>
        <v>-566184.60059997533</v>
      </c>
      <c r="M44" s="361">
        <f t="shared" si="20"/>
        <v>-0.16852004401782669</v>
      </c>
      <c r="N44" s="656">
        <f t="shared" si="21"/>
        <v>-8714352.0559000522</v>
      </c>
      <c r="O44" s="691">
        <f t="shared" si="22"/>
        <v>0.44442353113880867</v>
      </c>
      <c r="P44" s="687">
        <f t="shared" si="23"/>
        <v>-601511.57209998975</v>
      </c>
      <c r="Q44" s="688">
        <f t="shared" si="24"/>
        <v>-0.52380871283494568</v>
      </c>
      <c r="R44" s="687">
        <f t="shared" si="25"/>
        <v>-1260434.0084999902</v>
      </c>
      <c r="S44" s="688">
        <f t="shared" si="26"/>
        <v>-0.69256508822299068</v>
      </c>
      <c r="T44" s="687">
        <f t="shared" si="27"/>
        <v>177822.93059998751</v>
      </c>
      <c r="U44" s="688">
        <f t="shared" si="28"/>
        <v>6.9958000795805997E-2</v>
      </c>
      <c r="V44" s="687">
        <f t="shared" si="29"/>
        <v>6635995.5581999058</v>
      </c>
      <c r="W44" s="688">
        <f t="shared" si="30"/>
        <v>0.59949436311701132</v>
      </c>
      <c r="X44" s="687">
        <f t="shared" si="31"/>
        <v>5171011.5790001079</v>
      </c>
      <c r="Y44" s="688">
        <f t="shared" si="32"/>
        <v>0.40879269651679706</v>
      </c>
      <c r="Z44" s="687">
        <f t="shared" si="33"/>
        <v>265283.46149993502</v>
      </c>
      <c r="AA44" s="688">
        <f t="shared" si="34"/>
        <v>-4.6678417475763435E-2</v>
      </c>
      <c r="AB44" s="688"/>
      <c r="AR44" t="s">
        <v>876</v>
      </c>
      <c r="AS44" s="486"/>
      <c r="AT44" s="487">
        <f>L36/1000</f>
        <v>3359.74633700002</v>
      </c>
    </row>
    <row r="45" spans="2:46" ht="15.75" customHeight="1" x14ac:dyDescent="0.3">
      <c r="B45" s="133" t="s">
        <v>489</v>
      </c>
      <c r="D45" s="101"/>
      <c r="E45" s="362">
        <f t="shared" si="13"/>
        <v>0</v>
      </c>
      <c r="F45" s="101">
        <f t="shared" si="14"/>
        <v>0</v>
      </c>
      <c r="G45" s="362">
        <f t="shared" si="35"/>
        <v>0</v>
      </c>
      <c r="H45" s="101">
        <f t="shared" si="15"/>
        <v>0</v>
      </c>
      <c r="I45" s="362">
        <f t="shared" si="16"/>
        <v>0</v>
      </c>
      <c r="J45" s="101">
        <f t="shared" si="17"/>
        <v>0</v>
      </c>
      <c r="K45" s="362">
        <f t="shared" si="18"/>
        <v>0</v>
      </c>
      <c r="L45" s="101">
        <f t="shared" si="19"/>
        <v>0</v>
      </c>
      <c r="M45" s="362">
        <f t="shared" si="20"/>
        <v>0</v>
      </c>
      <c r="N45" s="152">
        <f t="shared" si="21"/>
        <v>0</v>
      </c>
      <c r="O45" s="156">
        <f t="shared" si="22"/>
        <v>0</v>
      </c>
      <c r="P45" s="296">
        <f t="shared" si="23"/>
        <v>0</v>
      </c>
      <c r="Q45" s="690">
        <f t="shared" si="24"/>
        <v>0</v>
      </c>
      <c r="R45" s="296">
        <f t="shared" si="25"/>
        <v>0</v>
      </c>
      <c r="S45" s="690">
        <f t="shared" si="26"/>
        <v>0</v>
      </c>
      <c r="T45" s="296">
        <f t="shared" si="27"/>
        <v>0</v>
      </c>
      <c r="U45" s="690">
        <f t="shared" si="28"/>
        <v>0</v>
      </c>
      <c r="V45" s="296">
        <f t="shared" si="29"/>
        <v>0</v>
      </c>
      <c r="W45" s="690">
        <f t="shared" si="30"/>
        <v>0</v>
      </c>
      <c r="X45" s="296">
        <f t="shared" si="31"/>
        <v>0</v>
      </c>
      <c r="Y45" s="690">
        <f t="shared" si="32"/>
        <v>0</v>
      </c>
      <c r="Z45" s="296">
        <f t="shared" si="33"/>
        <v>0</v>
      </c>
      <c r="AA45" s="690">
        <f t="shared" si="34"/>
        <v>0</v>
      </c>
      <c r="AB45" s="690"/>
      <c r="AR45" t="s">
        <v>877</v>
      </c>
      <c r="AS45" s="486"/>
      <c r="AT45" s="487">
        <f ca="1">IF(AQ30&lt;TODAY(),N36/1000,"")</f>
        <v>-19608.214789100042</v>
      </c>
    </row>
    <row r="46" spans="2:46" ht="16.2" customHeight="1" thickBot="1" x14ac:dyDescent="0.35">
      <c r="B46" s="33" t="s">
        <v>493</v>
      </c>
      <c r="D46" s="101">
        <v>0</v>
      </c>
      <c r="E46" s="362">
        <f t="shared" si="13"/>
        <v>0</v>
      </c>
      <c r="F46" s="101">
        <f t="shared" si="14"/>
        <v>0</v>
      </c>
      <c r="G46" s="362">
        <f t="shared" si="35"/>
        <v>0</v>
      </c>
      <c r="H46" s="101">
        <f t="shared" si="15"/>
        <v>0</v>
      </c>
      <c r="I46" s="362">
        <f t="shared" si="16"/>
        <v>0</v>
      </c>
      <c r="J46" s="101">
        <f t="shared" si="17"/>
        <v>0</v>
      </c>
      <c r="K46" s="362">
        <f t="shared" si="18"/>
        <v>0</v>
      </c>
      <c r="L46" s="101">
        <f t="shared" si="19"/>
        <v>0</v>
      </c>
      <c r="M46" s="362">
        <f t="shared" si="20"/>
        <v>0</v>
      </c>
      <c r="N46" s="152">
        <f t="shared" si="21"/>
        <v>0</v>
      </c>
      <c r="O46" s="156">
        <f t="shared" si="22"/>
        <v>0</v>
      </c>
      <c r="P46" s="296">
        <f t="shared" si="23"/>
        <v>0</v>
      </c>
      <c r="Q46" s="690">
        <f t="shared" si="24"/>
        <v>0</v>
      </c>
      <c r="R46" s="296">
        <f t="shared" si="25"/>
        <v>0</v>
      </c>
      <c r="S46" s="690">
        <f t="shared" si="26"/>
        <v>0</v>
      </c>
      <c r="T46" s="296">
        <f t="shared" si="27"/>
        <v>0</v>
      </c>
      <c r="U46" s="690">
        <f t="shared" si="28"/>
        <v>0</v>
      </c>
      <c r="V46" s="296">
        <f t="shared" si="29"/>
        <v>0</v>
      </c>
      <c r="W46" s="690">
        <f t="shared" si="30"/>
        <v>0</v>
      </c>
      <c r="X46" s="296">
        <f t="shared" si="31"/>
        <v>0</v>
      </c>
      <c r="Y46" s="690">
        <f t="shared" si="32"/>
        <v>0</v>
      </c>
      <c r="Z46" s="296">
        <f t="shared" si="33"/>
        <v>0</v>
      </c>
      <c r="AA46" s="690">
        <f t="shared" si="34"/>
        <v>0</v>
      </c>
      <c r="AB46" s="690"/>
      <c r="AR46" t="s">
        <v>878</v>
      </c>
      <c r="AS46" s="486"/>
      <c r="AT46" s="487">
        <f ca="1">IF(AQ31&lt;TODAY(),R36/1000,"")</f>
        <v>1819.9502543999999</v>
      </c>
    </row>
    <row r="47" spans="2:46" ht="16.2" customHeight="1" thickBot="1" x14ac:dyDescent="0.35">
      <c r="B47" s="37" t="s">
        <v>496</v>
      </c>
      <c r="D47" s="153">
        <v>4056493.714500064</v>
      </c>
      <c r="E47" s="361">
        <f t="shared" si="13"/>
        <v>0.29342869791343817</v>
      </c>
      <c r="F47" s="153">
        <f t="shared" si="14"/>
        <v>1557642.7514000479</v>
      </c>
      <c r="G47" s="361">
        <f t="shared" si="35"/>
        <v>0.25159623983178903</v>
      </c>
      <c r="H47" s="153">
        <f t="shared" si="15"/>
        <v>-809579.14549995214</v>
      </c>
      <c r="I47" s="361">
        <f t="shared" si="16"/>
        <v>-0.25066196053430417</v>
      </c>
      <c r="J47" s="153">
        <f t="shared" si="17"/>
        <v>786634.02199991606</v>
      </c>
      <c r="K47" s="361">
        <f t="shared" si="18"/>
        <v>0.21118662083185583</v>
      </c>
      <c r="L47" s="153">
        <f t="shared" si="19"/>
        <v>-566184.60059997533</v>
      </c>
      <c r="M47" s="361">
        <f t="shared" si="20"/>
        <v>-0.16852004401782669</v>
      </c>
      <c r="N47" s="656">
        <f t="shared" si="21"/>
        <v>-8714352.0559000522</v>
      </c>
      <c r="O47" s="691">
        <f t="shared" si="22"/>
        <v>0.44442353113880867</v>
      </c>
      <c r="P47" s="687">
        <f t="shared" si="23"/>
        <v>-601511.57209998975</v>
      </c>
      <c r="Q47" s="688">
        <f t="shared" si="24"/>
        <v>-0.52380871283494568</v>
      </c>
      <c r="R47" s="687">
        <f t="shared" si="25"/>
        <v>-1260434.0084999902</v>
      </c>
      <c r="S47" s="688">
        <f t="shared" si="26"/>
        <v>-0.69256508822299068</v>
      </c>
      <c r="T47" s="687">
        <f t="shared" si="27"/>
        <v>177822.93059998751</v>
      </c>
      <c r="U47" s="688">
        <f t="shared" si="28"/>
        <v>6.9958000795805997E-2</v>
      </c>
      <c r="V47" s="687">
        <f t="shared" si="29"/>
        <v>6635995.5581999058</v>
      </c>
      <c r="W47" s="688">
        <f t="shared" si="30"/>
        <v>0.59949436311701132</v>
      </c>
      <c r="X47" s="687">
        <f t="shared" si="31"/>
        <v>5171011.5790001079</v>
      </c>
      <c r="Y47" s="688">
        <f t="shared" si="32"/>
        <v>0.40879269651679706</v>
      </c>
      <c r="Z47" s="687">
        <f t="shared" si="33"/>
        <v>265283.46149993502</v>
      </c>
      <c r="AA47" s="688">
        <f t="shared" si="34"/>
        <v>-4.6678417475763435E-2</v>
      </c>
      <c r="AB47" s="688"/>
      <c r="AR47" t="s">
        <v>879</v>
      </c>
      <c r="AS47" s="486"/>
      <c r="AT47" s="487" t="str">
        <f ca="1">IF(AQ32&lt;TODAY(),P36/1000,"")</f>
        <v/>
      </c>
    </row>
    <row r="48" spans="2:46" ht="14.7" customHeight="1" thickTop="1" x14ac:dyDescent="0.3"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296"/>
      <c r="Q48" s="296"/>
      <c r="R48" s="296"/>
      <c r="S48" s="296"/>
      <c r="T48" s="296"/>
      <c r="U48" s="296"/>
      <c r="V48" s="296"/>
      <c r="W48" s="296"/>
      <c r="X48" s="296"/>
      <c r="Y48" s="296"/>
      <c r="Z48" s="689"/>
      <c r="AA48" s="704"/>
      <c r="AB48" s="296"/>
      <c r="AR48" t="s">
        <v>880</v>
      </c>
      <c r="AS48" s="486"/>
      <c r="AT48" s="487" t="str">
        <f ca="1">IF(AQ33&lt;TODAY(),T36/1000,"")</f>
        <v/>
      </c>
    </row>
    <row r="49" spans="44:61" x14ac:dyDescent="0.3">
      <c r="AR49" t="s">
        <v>881</v>
      </c>
      <c r="AS49" s="486"/>
      <c r="AT49" s="487" t="str">
        <f ca="1">IF(AQ34&lt;TODAY(),V36/1000,"")</f>
        <v/>
      </c>
    </row>
    <row r="50" spans="44:61" x14ac:dyDescent="0.3">
      <c r="AR50" t="s">
        <v>882</v>
      </c>
      <c r="AS50" s="486"/>
      <c r="AT50" s="487" t="str">
        <f ca="1">IF(AQ35&lt;TODAY(),X36/1000,"")</f>
        <v/>
      </c>
    </row>
    <row r="51" spans="44:61" x14ac:dyDescent="0.3">
      <c r="AR51" t="s">
        <v>883</v>
      </c>
      <c r="AS51" s="486"/>
      <c r="AT51" s="487" t="str">
        <f ca="1">IF(AQ36&lt;TODAY(),Z36/1000,"")</f>
        <v/>
      </c>
    </row>
    <row r="54" spans="44:61" x14ac:dyDescent="0.3">
      <c r="AR54" s="148" t="s">
        <v>887</v>
      </c>
      <c r="AS54" s="148">
        <v>2023</v>
      </c>
      <c r="AT54" s="148">
        <v>2024</v>
      </c>
    </row>
    <row r="55" spans="44:61" x14ac:dyDescent="0.3">
      <c r="AR55" t="s">
        <v>871</v>
      </c>
      <c r="AS55" s="487">
        <f>AS10</f>
        <v>0</v>
      </c>
      <c r="AT55" s="488">
        <f>D47/1000</f>
        <v>4056.493714500064</v>
      </c>
    </row>
    <row r="56" spans="44:61" x14ac:dyDescent="0.3">
      <c r="AR56" t="s">
        <v>873</v>
      </c>
      <c r="AS56" s="487">
        <f t="shared" ref="AS56:AS66" si="36">AS11-AS10</f>
        <v>0</v>
      </c>
      <c r="AT56" s="488">
        <f>F47/1000</f>
        <v>1557.6427514000479</v>
      </c>
    </row>
    <row r="57" spans="44:61" x14ac:dyDescent="0.3">
      <c r="AR57" t="s">
        <v>874</v>
      </c>
      <c r="AS57" s="487">
        <f t="shared" si="36"/>
        <v>0</v>
      </c>
      <c r="AT57" s="487">
        <f>H47/1000</f>
        <v>-809.57914549995212</v>
      </c>
    </row>
    <row r="58" spans="44:61" x14ac:dyDescent="0.3">
      <c r="AR58" t="s">
        <v>875</v>
      </c>
      <c r="AS58" s="487">
        <f t="shared" si="36"/>
        <v>0</v>
      </c>
      <c r="AT58" s="487">
        <f>J47/1000</f>
        <v>786.63402199991606</v>
      </c>
    </row>
    <row r="59" spans="44:61" x14ac:dyDescent="0.3">
      <c r="AR59" t="s">
        <v>876</v>
      </c>
      <c r="AS59" s="487">
        <f t="shared" si="36"/>
        <v>0</v>
      </c>
      <c r="AT59" s="487">
        <f>L47/1000</f>
        <v>-566.18460059997528</v>
      </c>
    </row>
    <row r="60" spans="44:61" x14ac:dyDescent="0.3">
      <c r="AR60" t="s">
        <v>877</v>
      </c>
      <c r="AS60" s="487">
        <f t="shared" si="36"/>
        <v>0</v>
      </c>
      <c r="AT60" s="487">
        <f ca="1">IF(AQ30&lt;TODAY(),N47/1000,"")</f>
        <v>-8714.3520559000517</v>
      </c>
    </row>
    <row r="61" spans="44:61" x14ac:dyDescent="0.3">
      <c r="AR61" t="s">
        <v>878</v>
      </c>
      <c r="AS61" s="487">
        <f t="shared" si="36"/>
        <v>0</v>
      </c>
      <c r="AT61" s="487">
        <f ca="1">IF(AQ31&lt;TODAY(),P47/1000,"")</f>
        <v>-601.51157209998973</v>
      </c>
    </row>
    <row r="62" spans="44:61" x14ac:dyDescent="0.3">
      <c r="AR62" t="s">
        <v>879</v>
      </c>
      <c r="AS62" s="487">
        <f t="shared" si="36"/>
        <v>0</v>
      </c>
      <c r="AT62" s="487" t="str">
        <f ca="1">IF(AQ32&lt;TODAY(),R47/1000,"")</f>
        <v/>
      </c>
    </row>
    <row r="63" spans="44:61" x14ac:dyDescent="0.3">
      <c r="AR63" t="s">
        <v>880</v>
      </c>
      <c r="AS63" s="487">
        <f t="shared" si="36"/>
        <v>0</v>
      </c>
      <c r="AT63" s="487" t="str">
        <f ca="1">IF(AQ33&lt;TODAY(),T47/1000,"")</f>
        <v/>
      </c>
    </row>
    <row r="64" spans="44:61" x14ac:dyDescent="0.3">
      <c r="AR64" t="s">
        <v>881</v>
      </c>
      <c r="AS64" s="487">
        <f t="shared" si="36"/>
        <v>0</v>
      </c>
      <c r="AT64" s="487" t="str">
        <f ca="1">IF(AQ34&lt;TODAY(),V47/1000,"")</f>
        <v/>
      </c>
    </row>
    <row r="65" spans="44:46" x14ac:dyDescent="0.3">
      <c r="AR65" t="s">
        <v>882</v>
      </c>
      <c r="AS65" s="487">
        <f t="shared" si="36"/>
        <v>0</v>
      </c>
      <c r="AT65" s="487" t="str">
        <f ca="1">IF(AQ35&lt;TODAY(),X47/1000,"")</f>
        <v/>
      </c>
    </row>
    <row r="66" spans="44:46" x14ac:dyDescent="0.3">
      <c r="AR66" t="s">
        <v>883</v>
      </c>
      <c r="AS66" s="487">
        <f t="shared" si="36"/>
        <v>0</v>
      </c>
      <c r="AT66" s="487" t="str">
        <f ca="1">IF(AQ36&lt;TODAY(),Z47/1000,"")</f>
        <v/>
      </c>
    </row>
    <row r="67" spans="44:46" x14ac:dyDescent="0.3">
      <c r="AR67" t="s">
        <v>888</v>
      </c>
      <c r="AS67" s="487">
        <f>SUM(AS55:AS66)</f>
        <v>0</v>
      </c>
      <c r="AT67" s="487">
        <f ca="1">SUM(AT55:AT66)</f>
        <v>-4290.8568861999411</v>
      </c>
    </row>
  </sheetData>
  <mergeCells count="2">
    <mergeCell ref="B1:Z1"/>
    <mergeCell ref="D34:AC34"/>
  </mergeCells>
  <conditionalFormatting sqref="H47 J47 L47 N47 P47 R47 T47">
    <cfRule type="cellIs" dxfId="25" priority="1" operator="lessThan">
      <formula>0</formula>
    </cfRule>
  </conditionalFormatting>
  <pageMargins left="0.7" right="0.7" top="0.75" bottom="0.75" header="0.3" footer="0.3"/>
  <pageSetup orientation="portrait" horizontalDpi="300" verticalDpi="300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/>
  <dimension ref="A1:BL179"/>
  <sheetViews>
    <sheetView showGridLines="0" zoomScale="75" zoomScaleNormal="95" workbookViewId="0">
      <selection activeCell="M26" sqref="M26"/>
    </sheetView>
  </sheetViews>
  <sheetFormatPr baseColWidth="10" defaultRowHeight="14.4" x14ac:dyDescent="0.3"/>
  <cols>
    <col min="1" max="1" width="11.88671875" style="77" customWidth="1"/>
    <col min="2" max="2" width="12.88671875" style="77" customWidth="1"/>
    <col min="3" max="3" width="20.5546875" style="77" bestFit="1" customWidth="1"/>
    <col min="4" max="4" width="20.88671875" style="78" customWidth="1"/>
    <col min="5" max="5" width="5.44140625" style="77" customWidth="1"/>
    <col min="6" max="6" width="12.33203125" style="227" bestFit="1" customWidth="1"/>
    <col min="7" max="7" width="13" style="227" customWidth="1"/>
    <col min="8" max="8" width="10.77734375" style="77" bestFit="1" customWidth="1"/>
    <col min="10" max="10" width="18.21875" bestFit="1" customWidth="1"/>
    <col min="11" max="11" width="11.33203125" style="77" customWidth="1"/>
    <col min="12" max="12" width="13.109375" customWidth="1"/>
    <col min="13" max="13" width="29" bestFit="1" customWidth="1"/>
    <col min="14" max="14" width="6.88671875" style="77" customWidth="1"/>
    <col min="15" max="15" width="14.88671875" style="98" bestFit="1" customWidth="1"/>
    <col min="16" max="16" width="11.5546875" style="98" customWidth="1"/>
    <col min="17" max="17" width="11.77734375" bestFit="1" customWidth="1"/>
    <col min="18" max="18" width="12.44140625" customWidth="1"/>
    <col min="19" max="19" width="9.44140625" bestFit="1" customWidth="1"/>
    <col min="20" max="20" width="10.5546875" bestFit="1" customWidth="1"/>
    <col min="21" max="21" width="29" bestFit="1" customWidth="1"/>
    <col min="22" max="22" width="7.5546875" bestFit="1" customWidth="1"/>
    <col min="23" max="23" width="12.44140625" style="98" customWidth="1"/>
    <col min="24" max="24" width="11.6640625" style="98" bestFit="1" customWidth="1"/>
    <col min="25" max="25" width="10.77734375" bestFit="1" customWidth="1"/>
    <col min="26" max="26" width="10.5546875" customWidth="1"/>
    <col min="27" max="27" width="8.88671875" bestFit="1" customWidth="1"/>
    <col min="28" max="28" width="15" customWidth="1"/>
    <col min="29" max="29" width="26.88671875" customWidth="1"/>
    <col min="30" max="30" width="10.77734375" customWidth="1"/>
    <col min="31" max="31" width="19.6640625" style="98" customWidth="1"/>
    <col min="32" max="32" width="14.33203125" style="98" customWidth="1"/>
    <col min="33" max="33" width="12.109375" customWidth="1"/>
    <col min="34" max="34" width="11.44140625" customWidth="1"/>
    <col min="35" max="35" width="9.77734375" customWidth="1"/>
    <col min="36" max="36" width="15.5546875" customWidth="1"/>
    <col min="37" max="37" width="29.77734375" customWidth="1"/>
    <col min="38" max="38" width="7.5546875" bestFit="1" customWidth="1"/>
    <col min="39" max="39" width="12.6640625" style="98" bestFit="1" customWidth="1"/>
    <col min="40" max="40" width="12" style="98" bestFit="1" customWidth="1"/>
    <col min="41" max="41" width="13" bestFit="1" customWidth="1"/>
    <col min="42" max="42" width="11.21875" bestFit="1" customWidth="1"/>
    <col min="43" max="44" width="9.77734375" customWidth="1"/>
    <col min="45" max="45" width="26.33203125" bestFit="1" customWidth="1"/>
    <col min="46" max="46" width="9.77734375" customWidth="1"/>
    <col min="47" max="47" width="13.44140625" style="98" bestFit="1" customWidth="1"/>
    <col min="48" max="48" width="11.21875" style="98" bestFit="1" customWidth="1"/>
    <col min="49" max="49" width="11.21875" bestFit="1" customWidth="1"/>
    <col min="50" max="50" width="8.88671875" bestFit="1" customWidth="1"/>
    <col min="51" max="51" width="0.44140625" customWidth="1"/>
    <col min="52" max="52" width="13" customWidth="1"/>
    <col min="53" max="53" width="15" bestFit="1" customWidth="1"/>
    <col min="54" max="54" width="17.21875" bestFit="1" customWidth="1"/>
    <col min="55" max="55" width="18.21875" style="98" bestFit="1" customWidth="1"/>
    <col min="56" max="56" width="18.88671875" customWidth="1"/>
    <col min="57" max="57" width="21.88671875" style="77" customWidth="1"/>
    <col min="58" max="58" width="7.5546875" bestFit="1" customWidth="1"/>
    <col min="59" max="59" width="8.88671875" bestFit="1" customWidth="1"/>
    <col min="60" max="60" width="28.6640625" bestFit="1" customWidth="1"/>
    <col min="61" max="61" width="26" style="151" bestFit="1" customWidth="1"/>
    <col min="62" max="62" width="18.33203125" style="151" bestFit="1" customWidth="1"/>
    <col min="63" max="63" width="9.77734375" style="151" bestFit="1" customWidth="1"/>
    <col min="64" max="64" width="12.44140625" style="151" bestFit="1" customWidth="1"/>
    <col min="65" max="65" width="7.5546875" bestFit="1" customWidth="1"/>
    <col min="66" max="66" width="19.33203125" bestFit="1" customWidth="1"/>
    <col min="67" max="67" width="23.88671875" bestFit="1" customWidth="1"/>
    <col min="68" max="84" width="7.5546875" bestFit="1" customWidth="1"/>
    <col min="85" max="91" width="8.5546875" bestFit="1" customWidth="1"/>
    <col min="92" max="92" width="12.88671875" bestFit="1" customWidth="1"/>
  </cols>
  <sheetData>
    <row r="1" spans="1:64" ht="16.2" customHeight="1" thickBot="1" x14ac:dyDescent="0.35">
      <c r="A1" s="812" t="s">
        <v>889</v>
      </c>
      <c r="B1" s="795"/>
      <c r="C1" s="795"/>
      <c r="D1" s="795"/>
      <c r="E1" s="283"/>
      <c r="F1" s="98">
        <f>SUM(F3:F40000)</f>
        <v>0</v>
      </c>
      <c r="G1" s="98">
        <f>SUM(G3:G40000)</f>
        <v>0</v>
      </c>
      <c r="H1" s="329">
        <f>balance!Q146</f>
        <v>0</v>
      </c>
      <c r="I1" s="818" t="s">
        <v>890</v>
      </c>
      <c r="J1" s="792"/>
      <c r="K1" s="809"/>
      <c r="L1" s="792"/>
      <c r="M1" s="792"/>
      <c r="N1" s="284"/>
      <c r="O1" s="308">
        <f>SUM(O3:O40000)</f>
        <v>0</v>
      </c>
      <c r="P1" s="308">
        <f>SUM(P3:P40000)</f>
        <v>0</v>
      </c>
      <c r="Q1" s="329">
        <f>balance!Q145</f>
        <v>1222058.72</v>
      </c>
      <c r="R1" s="813" t="s">
        <v>891</v>
      </c>
      <c r="S1" s="795"/>
      <c r="T1" s="795"/>
      <c r="U1" s="795"/>
      <c r="V1" s="283"/>
      <c r="W1" s="308">
        <f>SUM(W3:W40000)</f>
        <v>0</v>
      </c>
      <c r="X1" s="308">
        <f>SUM(X3:X40000)</f>
        <v>0</v>
      </c>
      <c r="Y1" s="329">
        <f>balance!Q148</f>
        <v>0</v>
      </c>
      <c r="Z1" s="813" t="s">
        <v>892</v>
      </c>
      <c r="AA1" s="795"/>
      <c r="AB1" s="795"/>
      <c r="AC1" s="795"/>
      <c r="AD1" s="283"/>
      <c r="AE1" s="815" t="s">
        <v>893</v>
      </c>
      <c r="AF1" s="798"/>
      <c r="AG1" s="330">
        <f>balance!Q147</f>
        <v>0</v>
      </c>
      <c r="AH1" s="813" t="s">
        <v>894</v>
      </c>
      <c r="AI1" s="795"/>
      <c r="AJ1" s="795"/>
      <c r="AK1" s="795"/>
      <c r="AL1" s="307">
        <f>SUM(AL3:AL40000)</f>
        <v>0</v>
      </c>
      <c r="AM1" s="307">
        <f>SUM(AM3:AM40000)</f>
        <v>0</v>
      </c>
      <c r="AN1" s="307">
        <f>SUM(AN3:AN40000)</f>
        <v>0</v>
      </c>
      <c r="AO1" s="501">
        <f>balance!Q144</f>
        <v>6885949</v>
      </c>
      <c r="AP1" s="818" t="s">
        <v>895</v>
      </c>
      <c r="AQ1" s="792"/>
      <c r="AR1" s="792"/>
      <c r="AS1" s="792"/>
      <c r="AT1" s="792"/>
      <c r="AU1" s="468">
        <f>SUM(AU3:AU40000)</f>
        <v>0</v>
      </c>
      <c r="AV1" s="468">
        <f>SUM(AV3:AV40000)</f>
        <v>0</v>
      </c>
      <c r="AW1" s="501">
        <f>balance!Q149</f>
        <v>0</v>
      </c>
      <c r="BH1" s="163" t="s">
        <v>681</v>
      </c>
      <c r="BI1" s="155">
        <f>SUM(BI5:BI30000)</f>
        <v>402</v>
      </c>
      <c r="BJ1" s="155">
        <f>SUM(BJ5:BJ30000)</f>
        <v>352</v>
      </c>
      <c r="BK1" s="155">
        <f>SUM(BK5:BK30000)</f>
        <v>872</v>
      </c>
      <c r="BL1" s="412">
        <f>SUM(BL5:BL30000)</f>
        <v>1626</v>
      </c>
    </row>
    <row r="2" spans="1:64" ht="14.7" customHeight="1" thickBot="1" x14ac:dyDescent="0.35">
      <c r="A2" s="189" t="s">
        <v>0</v>
      </c>
      <c r="B2" s="189" t="s">
        <v>674</v>
      </c>
      <c r="C2" s="189" t="s">
        <v>687</v>
      </c>
      <c r="D2" s="190" t="s">
        <v>688</v>
      </c>
      <c r="E2" s="189" t="s">
        <v>896</v>
      </c>
      <c r="F2" s="247" t="s">
        <v>897</v>
      </c>
      <c r="G2" s="247" t="s">
        <v>801</v>
      </c>
      <c r="H2" s="77" t="s">
        <v>898</v>
      </c>
      <c r="I2" s="189" t="s">
        <v>0</v>
      </c>
      <c r="J2" s="189" t="s">
        <v>899</v>
      </c>
      <c r="K2" s="189" t="s">
        <v>674</v>
      </c>
      <c r="L2" s="189" t="s">
        <v>687</v>
      </c>
      <c r="M2" s="190" t="s">
        <v>688</v>
      </c>
      <c r="N2" s="189" t="s">
        <v>896</v>
      </c>
      <c r="O2" s="247" t="s">
        <v>897</v>
      </c>
      <c r="P2" s="247" t="s">
        <v>689</v>
      </c>
      <c r="Q2" s="77" t="s">
        <v>898</v>
      </c>
      <c r="R2" s="189" t="s">
        <v>0</v>
      </c>
      <c r="S2" s="189" t="s">
        <v>674</v>
      </c>
      <c r="T2" s="189" t="s">
        <v>687</v>
      </c>
      <c r="U2" s="190" t="s">
        <v>688</v>
      </c>
      <c r="V2" s="189" t="s">
        <v>896</v>
      </c>
      <c r="W2" s="247" t="s">
        <v>897</v>
      </c>
      <c r="X2" s="247" t="s">
        <v>689</v>
      </c>
      <c r="Y2" s="77" t="s">
        <v>898</v>
      </c>
      <c r="Z2" s="189" t="s">
        <v>0</v>
      </c>
      <c r="AA2" s="189" t="s">
        <v>674</v>
      </c>
      <c r="AB2" s="189" t="s">
        <v>687</v>
      </c>
      <c r="AC2" s="190" t="s">
        <v>688</v>
      </c>
      <c r="AD2" s="189" t="s">
        <v>896</v>
      </c>
      <c r="AE2" s="247" t="s">
        <v>897</v>
      </c>
      <c r="AF2" s="247" t="s">
        <v>689</v>
      </c>
      <c r="AH2" s="189" t="s">
        <v>0</v>
      </c>
      <c r="AI2" s="189" t="s">
        <v>674</v>
      </c>
      <c r="AJ2" s="189" t="s">
        <v>687</v>
      </c>
      <c r="AK2" s="190" t="s">
        <v>688</v>
      </c>
      <c r="AL2" s="189" t="s">
        <v>896</v>
      </c>
      <c r="AM2" s="247" t="s">
        <v>897</v>
      </c>
      <c r="AN2" s="247" t="s">
        <v>689</v>
      </c>
      <c r="AO2" s="500" t="s">
        <v>898</v>
      </c>
      <c r="AP2" s="189" t="s">
        <v>0</v>
      </c>
      <c r="AQ2" s="189" t="s">
        <v>674</v>
      </c>
      <c r="AR2" s="189" t="s">
        <v>687</v>
      </c>
      <c r="AS2" s="190" t="s">
        <v>688</v>
      </c>
      <c r="AT2" s="189" t="s">
        <v>896</v>
      </c>
      <c r="AU2" s="247" t="s">
        <v>897</v>
      </c>
      <c r="AV2" s="247" t="s">
        <v>689</v>
      </c>
      <c r="AW2" s="502" t="s">
        <v>900</v>
      </c>
      <c r="AZ2" s="814" t="s">
        <v>901</v>
      </c>
      <c r="BA2" s="776"/>
      <c r="BB2" s="776"/>
      <c r="BC2" s="776"/>
      <c r="BD2" s="776"/>
      <c r="BE2" s="413">
        <f>'Ficha Financiera'!D4</f>
        <v>45846</v>
      </c>
      <c r="BH2" s="816" t="s">
        <v>902</v>
      </c>
      <c r="BI2" s="817"/>
      <c r="BJ2" s="817"/>
      <c r="BK2" s="817"/>
      <c r="BL2" s="817"/>
    </row>
    <row r="3" spans="1:64" ht="14.7" customHeight="1" thickBot="1" x14ac:dyDescent="0.35">
      <c r="A3" s="80"/>
      <c r="I3" s="80"/>
      <c r="AX3" s="466" t="s">
        <v>903</v>
      </c>
      <c r="AZ3" s="310" t="s">
        <v>899</v>
      </c>
      <c r="BA3" s="311" t="s">
        <v>904</v>
      </c>
      <c r="BB3" s="311" t="s">
        <v>905</v>
      </c>
      <c r="BC3" s="312" t="s">
        <v>906</v>
      </c>
      <c r="BD3" s="311" t="s">
        <v>907</v>
      </c>
      <c r="BE3" s="313" t="s">
        <v>908</v>
      </c>
      <c r="BH3" s="79" t="s">
        <v>909</v>
      </c>
      <c r="BI3" s="382" t="s">
        <v>806</v>
      </c>
    </row>
    <row r="4" spans="1:64" ht="15.75" customHeight="1" x14ac:dyDescent="0.3">
      <c r="A4" s="80"/>
      <c r="I4" s="80"/>
      <c r="AX4" s="460" t="e">
        <f>BA4/$BA$9</f>
        <v>#DIV/0!</v>
      </c>
      <c r="AZ4" s="314" t="s">
        <v>910</v>
      </c>
      <c r="BA4" s="98">
        <f>SUM(AM3:AM30000)</f>
        <v>0</v>
      </c>
      <c r="BB4" s="98">
        <f>SUM(AN3:AN30000)</f>
        <v>0</v>
      </c>
      <c r="BC4" s="308">
        <f>AO1</f>
        <v>6885949</v>
      </c>
      <c r="BD4" s="152">
        <f>BA4-BB4-BC4</f>
        <v>-6885949</v>
      </c>
      <c r="BE4" s="309" t="e">
        <f>BD4/BA4</f>
        <v>#DIV/0!</v>
      </c>
      <c r="BH4" s="79" t="s">
        <v>678</v>
      </c>
      <c r="BI4" s="151" t="s">
        <v>911</v>
      </c>
      <c r="BJ4" s="151" t="s">
        <v>912</v>
      </c>
      <c r="BK4" s="151" t="s">
        <v>913</v>
      </c>
      <c r="BL4" s="151" t="s">
        <v>684</v>
      </c>
    </row>
    <row r="5" spans="1:64" ht="15.75" customHeight="1" x14ac:dyDescent="0.3">
      <c r="A5" s="80"/>
      <c r="I5" s="80"/>
      <c r="AX5" s="467" t="e">
        <f>BA5/$BA$9</f>
        <v>#DIV/0!</v>
      </c>
      <c r="AZ5" s="315" t="s">
        <v>914</v>
      </c>
      <c r="BA5" s="316">
        <f>SUM(O3:O30002)</f>
        <v>0</v>
      </c>
      <c r="BB5" s="316">
        <f>SUM(P3:P30002)</f>
        <v>0</v>
      </c>
      <c r="BC5" s="316">
        <f>Q1</f>
        <v>1222058.72</v>
      </c>
      <c r="BD5" s="457">
        <f>BA5-BB5-BC5</f>
        <v>-1222058.72</v>
      </c>
      <c r="BE5" s="317" t="e">
        <f>BD5/BA5</f>
        <v>#DIV/0!</v>
      </c>
      <c r="BH5" s="78" t="s">
        <v>915</v>
      </c>
      <c r="BI5" s="151">
        <v>1</v>
      </c>
      <c r="BK5" s="151">
        <v>2</v>
      </c>
      <c r="BL5" s="151">
        <v>3</v>
      </c>
    </row>
    <row r="6" spans="1:64" ht="15.75" customHeight="1" x14ac:dyDescent="0.3">
      <c r="A6" s="80"/>
      <c r="I6" s="80"/>
      <c r="AX6" s="460" t="e">
        <f>BA6/$BA$9</f>
        <v>#DIV/0!</v>
      </c>
      <c r="AZ6" s="314" t="s">
        <v>916</v>
      </c>
      <c r="BA6" s="98">
        <f>SUM(F3:F30001)</f>
        <v>0</v>
      </c>
      <c r="BB6" s="98">
        <f>SUM(G3:G30001)</f>
        <v>0</v>
      </c>
      <c r="BC6" s="98">
        <f>H1</f>
        <v>0</v>
      </c>
      <c r="BD6" s="152">
        <f>BA6-BB6-BC6</f>
        <v>0</v>
      </c>
      <c r="BE6" s="309" t="e">
        <f>BD6/BA6</f>
        <v>#DIV/0!</v>
      </c>
      <c r="BH6" s="78" t="s">
        <v>917</v>
      </c>
      <c r="BJ6" s="151">
        <v>1</v>
      </c>
      <c r="BK6" s="151">
        <v>3</v>
      </c>
      <c r="BL6" s="151">
        <v>4</v>
      </c>
    </row>
    <row r="7" spans="1:64" ht="15.75" customHeight="1" x14ac:dyDescent="0.3">
      <c r="A7" s="80"/>
      <c r="I7" s="80"/>
      <c r="AX7" s="467" t="e">
        <f>BA7/$BA$9</f>
        <v>#DIV/0!</v>
      </c>
      <c r="AZ7" s="315" t="s">
        <v>918</v>
      </c>
      <c r="BA7" s="316">
        <f>SUM(W3:W30003)</f>
        <v>0</v>
      </c>
      <c r="BB7" s="316">
        <f>SUM(X3:X30003)</f>
        <v>0</v>
      </c>
      <c r="BC7" s="316">
        <f>Y1</f>
        <v>0</v>
      </c>
      <c r="BD7" s="457">
        <f>BA7-BB7-BC7</f>
        <v>0</v>
      </c>
      <c r="BE7" s="317" t="e">
        <f>BD7/BA7</f>
        <v>#DIV/0!</v>
      </c>
      <c r="BH7" s="78" t="s">
        <v>919</v>
      </c>
      <c r="BK7" s="151">
        <v>1</v>
      </c>
      <c r="BL7" s="151">
        <v>1</v>
      </c>
    </row>
    <row r="8" spans="1:64" ht="16.2" customHeight="1" thickBot="1" x14ac:dyDescent="0.35">
      <c r="A8" s="80"/>
      <c r="I8" s="80"/>
      <c r="AX8" s="461" t="e">
        <f>BA8/$BA$9</f>
        <v>#DIV/0!</v>
      </c>
      <c r="AZ8" s="462" t="s">
        <v>920</v>
      </c>
      <c r="BA8" s="463">
        <f>SUM(AU3:AU40000)</f>
        <v>0</v>
      </c>
      <c r="BB8" s="463">
        <f>SUM(AV3:AV40000)</f>
        <v>0</v>
      </c>
      <c r="BC8" s="464">
        <f>AW1</f>
        <v>0</v>
      </c>
      <c r="BD8" s="463">
        <f>BA8-BB8-BC8</f>
        <v>0</v>
      </c>
      <c r="BE8" s="465" t="e">
        <f>BD8/BA8</f>
        <v>#DIV/0!</v>
      </c>
      <c r="BH8" s="78" t="s">
        <v>921</v>
      </c>
      <c r="BJ8" s="151">
        <v>3</v>
      </c>
      <c r="BK8" s="151">
        <v>2</v>
      </c>
      <c r="BL8" s="151">
        <v>5</v>
      </c>
    </row>
    <row r="9" spans="1:64" ht="15.75" customHeight="1" x14ac:dyDescent="0.3">
      <c r="A9" s="80"/>
      <c r="I9" s="80"/>
      <c r="AX9" s="470">
        <v>1</v>
      </c>
      <c r="AY9" s="164"/>
      <c r="AZ9" s="471" t="s">
        <v>922</v>
      </c>
      <c r="BA9" s="469">
        <f>SUM(BA4:BA7)</f>
        <v>0</v>
      </c>
      <c r="BB9" s="469">
        <f>SUM(BB4:BB7)</f>
        <v>0</v>
      </c>
      <c r="BC9" s="469">
        <f>SUM(BC4:BC7)</f>
        <v>8108007.7199999997</v>
      </c>
      <c r="BD9" s="469">
        <f>SUM(BD4:BD8)</f>
        <v>-8108007.7199999997</v>
      </c>
      <c r="BE9" s="474" t="e">
        <f>BA9/BB9</f>
        <v>#DIV/0!</v>
      </c>
      <c r="BH9" s="78" t="s">
        <v>923</v>
      </c>
      <c r="BJ9" s="151">
        <v>1</v>
      </c>
      <c r="BL9" s="151">
        <v>1</v>
      </c>
    </row>
    <row r="10" spans="1:64" x14ac:dyDescent="0.3">
      <c r="A10" s="80"/>
      <c r="I10" s="80"/>
      <c r="BB10" s="458" t="e">
        <f>BA9/BB9</f>
        <v>#DIV/0!</v>
      </c>
      <c r="BC10" s="459" t="s">
        <v>924</v>
      </c>
      <c r="BH10" s="78" t="s">
        <v>925</v>
      </c>
      <c r="BI10" s="151">
        <v>2</v>
      </c>
      <c r="BJ10" s="151">
        <v>1</v>
      </c>
      <c r="BK10" s="151">
        <v>10</v>
      </c>
      <c r="BL10" s="151">
        <v>13</v>
      </c>
    </row>
    <row r="11" spans="1:64" x14ac:dyDescent="0.3">
      <c r="A11" s="80"/>
      <c r="I11" s="80"/>
      <c r="BH11" s="78" t="s">
        <v>926</v>
      </c>
      <c r="BI11" s="151">
        <v>3</v>
      </c>
      <c r="BL11" s="151">
        <v>3</v>
      </c>
    </row>
    <row r="12" spans="1:64" x14ac:dyDescent="0.3">
      <c r="A12" s="80"/>
      <c r="I12" s="80"/>
      <c r="BH12" s="78" t="s">
        <v>927</v>
      </c>
      <c r="BI12" s="151">
        <v>4</v>
      </c>
      <c r="BK12" s="151">
        <v>2</v>
      </c>
      <c r="BL12" s="151">
        <v>6</v>
      </c>
    </row>
    <row r="13" spans="1:64" x14ac:dyDescent="0.3">
      <c r="A13" s="80"/>
      <c r="I13" s="80"/>
      <c r="BH13" s="78" t="s">
        <v>928</v>
      </c>
      <c r="BJ13" s="151">
        <v>1</v>
      </c>
      <c r="BK13" s="151">
        <v>2</v>
      </c>
      <c r="BL13" s="151">
        <v>3</v>
      </c>
    </row>
    <row r="14" spans="1:64" x14ac:dyDescent="0.3">
      <c r="A14" s="80"/>
      <c r="I14" s="80"/>
      <c r="BH14" s="78" t="s">
        <v>929</v>
      </c>
      <c r="BJ14" s="151">
        <v>1</v>
      </c>
      <c r="BK14" s="151">
        <v>1</v>
      </c>
      <c r="BL14" s="151">
        <v>2</v>
      </c>
    </row>
    <row r="15" spans="1:64" x14ac:dyDescent="0.3">
      <c r="A15" s="80"/>
      <c r="I15" s="80"/>
      <c r="BH15" s="78" t="s">
        <v>930</v>
      </c>
      <c r="BJ15" s="151">
        <v>1</v>
      </c>
      <c r="BL15" s="151">
        <v>1</v>
      </c>
    </row>
    <row r="16" spans="1:64" x14ac:dyDescent="0.3">
      <c r="A16" s="80"/>
      <c r="I16" s="80"/>
      <c r="BH16" s="78" t="s">
        <v>931</v>
      </c>
      <c r="BK16" s="151">
        <v>1</v>
      </c>
      <c r="BL16" s="151">
        <v>1</v>
      </c>
    </row>
    <row r="17" spans="60:64" x14ac:dyDescent="0.3">
      <c r="BH17" s="78" t="s">
        <v>932</v>
      </c>
      <c r="BK17" s="151">
        <v>1</v>
      </c>
      <c r="BL17" s="151">
        <v>1</v>
      </c>
    </row>
    <row r="18" spans="60:64" x14ac:dyDescent="0.3">
      <c r="BH18" s="78" t="s">
        <v>933</v>
      </c>
      <c r="BJ18" s="151">
        <v>2</v>
      </c>
      <c r="BK18" s="151">
        <v>4</v>
      </c>
      <c r="BL18" s="151">
        <v>6</v>
      </c>
    </row>
    <row r="19" spans="60:64" x14ac:dyDescent="0.3">
      <c r="BH19" s="78" t="s">
        <v>934</v>
      </c>
      <c r="BJ19" s="151">
        <v>6</v>
      </c>
      <c r="BK19" s="151">
        <v>12</v>
      </c>
      <c r="BL19" s="151">
        <v>18</v>
      </c>
    </row>
    <row r="20" spans="60:64" x14ac:dyDescent="0.3">
      <c r="BH20" s="78" t="s">
        <v>935</v>
      </c>
      <c r="BJ20" s="151">
        <v>4</v>
      </c>
      <c r="BK20" s="151">
        <v>8</v>
      </c>
      <c r="BL20" s="151">
        <v>12</v>
      </c>
    </row>
    <row r="21" spans="60:64" x14ac:dyDescent="0.3">
      <c r="BH21" s="78" t="s">
        <v>936</v>
      </c>
      <c r="BJ21" s="151">
        <v>4</v>
      </c>
      <c r="BK21" s="151">
        <v>5</v>
      </c>
      <c r="BL21" s="151">
        <v>9</v>
      </c>
    </row>
    <row r="22" spans="60:64" x14ac:dyDescent="0.3">
      <c r="BH22" s="78" t="s">
        <v>937</v>
      </c>
      <c r="BJ22" s="151">
        <v>6</v>
      </c>
      <c r="BK22" s="151">
        <v>9</v>
      </c>
      <c r="BL22" s="151">
        <v>15</v>
      </c>
    </row>
    <row r="23" spans="60:64" x14ac:dyDescent="0.3">
      <c r="BH23" s="78" t="s">
        <v>938</v>
      </c>
      <c r="BI23" s="151">
        <v>1</v>
      </c>
      <c r="BK23" s="151">
        <v>1</v>
      </c>
      <c r="BL23" s="151">
        <v>2</v>
      </c>
    </row>
    <row r="24" spans="60:64" x14ac:dyDescent="0.3">
      <c r="BH24" s="78" t="s">
        <v>939</v>
      </c>
      <c r="BK24" s="151">
        <v>1</v>
      </c>
      <c r="BL24" s="151">
        <v>1</v>
      </c>
    </row>
    <row r="25" spans="60:64" x14ac:dyDescent="0.3">
      <c r="BH25" s="78" t="s">
        <v>940</v>
      </c>
      <c r="BI25" s="151">
        <v>1</v>
      </c>
      <c r="BK25" s="151">
        <v>1</v>
      </c>
      <c r="BL25" s="151">
        <v>2</v>
      </c>
    </row>
    <row r="26" spans="60:64" x14ac:dyDescent="0.3">
      <c r="BH26" s="78" t="s">
        <v>941</v>
      </c>
      <c r="BI26" s="151">
        <v>1</v>
      </c>
      <c r="BL26" s="151">
        <v>1</v>
      </c>
    </row>
    <row r="27" spans="60:64" x14ac:dyDescent="0.3">
      <c r="BH27" s="78" t="s">
        <v>942</v>
      </c>
      <c r="BI27" s="151">
        <v>1</v>
      </c>
      <c r="BL27" s="151">
        <v>1</v>
      </c>
    </row>
    <row r="28" spans="60:64" x14ac:dyDescent="0.3">
      <c r="BH28" s="78" t="s">
        <v>943</v>
      </c>
      <c r="BI28" s="151">
        <v>3</v>
      </c>
      <c r="BK28" s="151">
        <v>1</v>
      </c>
      <c r="BL28" s="151">
        <v>4</v>
      </c>
    </row>
    <row r="29" spans="60:64" x14ac:dyDescent="0.3">
      <c r="BH29" s="78" t="s">
        <v>944</v>
      </c>
      <c r="BI29" s="151">
        <v>3</v>
      </c>
      <c r="BK29" s="151">
        <v>5</v>
      </c>
      <c r="BL29" s="151">
        <v>8</v>
      </c>
    </row>
    <row r="30" spans="60:64" x14ac:dyDescent="0.3">
      <c r="BH30" s="78" t="s">
        <v>945</v>
      </c>
      <c r="BJ30" s="151">
        <v>3</v>
      </c>
      <c r="BK30" s="151">
        <v>4</v>
      </c>
      <c r="BL30" s="151">
        <v>7</v>
      </c>
    </row>
    <row r="31" spans="60:64" x14ac:dyDescent="0.3">
      <c r="BH31" s="78" t="s">
        <v>946</v>
      </c>
      <c r="BK31" s="151">
        <v>1</v>
      </c>
      <c r="BL31" s="151">
        <v>1</v>
      </c>
    </row>
    <row r="32" spans="60:64" x14ac:dyDescent="0.3">
      <c r="BH32" s="78" t="s">
        <v>947</v>
      </c>
      <c r="BJ32" s="151">
        <v>1</v>
      </c>
      <c r="BK32" s="151">
        <v>1</v>
      </c>
      <c r="BL32" s="151">
        <v>2</v>
      </c>
    </row>
    <row r="33" spans="60:64" x14ac:dyDescent="0.3">
      <c r="BH33" s="78" t="s">
        <v>948</v>
      </c>
      <c r="BI33" s="151">
        <v>1</v>
      </c>
      <c r="BJ33" s="151">
        <v>1</v>
      </c>
      <c r="BK33" s="151">
        <v>3</v>
      </c>
      <c r="BL33" s="151">
        <v>5</v>
      </c>
    </row>
    <row r="34" spans="60:64" x14ac:dyDescent="0.3">
      <c r="BH34" s="78" t="s">
        <v>949</v>
      </c>
      <c r="BI34" s="151">
        <v>3</v>
      </c>
      <c r="BK34" s="151">
        <v>3</v>
      </c>
      <c r="BL34" s="151">
        <v>6</v>
      </c>
    </row>
    <row r="35" spans="60:64" x14ac:dyDescent="0.3">
      <c r="BH35" s="78" t="s">
        <v>950</v>
      </c>
      <c r="BK35" s="151">
        <v>2</v>
      </c>
      <c r="BL35" s="151">
        <v>2</v>
      </c>
    </row>
    <row r="36" spans="60:64" x14ac:dyDescent="0.3">
      <c r="BH36" s="78" t="s">
        <v>951</v>
      </c>
      <c r="BI36" s="151">
        <v>7</v>
      </c>
      <c r="BJ36" s="151">
        <v>2</v>
      </c>
      <c r="BK36" s="151">
        <v>8</v>
      </c>
      <c r="BL36" s="151">
        <v>17</v>
      </c>
    </row>
    <row r="37" spans="60:64" x14ac:dyDescent="0.3">
      <c r="BH37" s="78" t="s">
        <v>952</v>
      </c>
      <c r="BJ37" s="151">
        <v>1</v>
      </c>
      <c r="BK37" s="151">
        <v>3</v>
      </c>
      <c r="BL37" s="151">
        <v>4</v>
      </c>
    </row>
    <row r="38" spans="60:64" x14ac:dyDescent="0.3">
      <c r="BH38" s="78" t="s">
        <v>953</v>
      </c>
      <c r="BI38" s="151">
        <v>2</v>
      </c>
      <c r="BK38" s="151">
        <v>4</v>
      </c>
      <c r="BL38" s="151">
        <v>6</v>
      </c>
    </row>
    <row r="39" spans="60:64" x14ac:dyDescent="0.3">
      <c r="BH39" s="78" t="s">
        <v>954</v>
      </c>
      <c r="BK39" s="151">
        <v>1</v>
      </c>
      <c r="BL39" s="151">
        <v>1</v>
      </c>
    </row>
    <row r="40" spans="60:64" x14ac:dyDescent="0.3">
      <c r="BH40" s="78" t="s">
        <v>955</v>
      </c>
      <c r="BI40" s="151">
        <v>6</v>
      </c>
      <c r="BK40" s="151">
        <v>6</v>
      </c>
      <c r="BL40" s="151">
        <v>12</v>
      </c>
    </row>
    <row r="41" spans="60:64" x14ac:dyDescent="0.3">
      <c r="BH41" s="78" t="s">
        <v>956</v>
      </c>
      <c r="BI41" s="151">
        <v>6</v>
      </c>
      <c r="BK41" s="151">
        <v>2</v>
      </c>
      <c r="BL41" s="151">
        <v>8</v>
      </c>
    </row>
    <row r="42" spans="60:64" x14ac:dyDescent="0.3">
      <c r="BH42" s="78" t="s">
        <v>957</v>
      </c>
      <c r="BI42" s="151">
        <v>5</v>
      </c>
      <c r="BJ42" s="151">
        <v>1</v>
      </c>
      <c r="BK42" s="151">
        <v>1</v>
      </c>
      <c r="BL42" s="151">
        <v>7</v>
      </c>
    </row>
    <row r="43" spans="60:64" x14ac:dyDescent="0.3">
      <c r="BH43" s="78" t="s">
        <v>958</v>
      </c>
      <c r="BK43" s="151">
        <v>1</v>
      </c>
      <c r="BL43" s="151">
        <v>1</v>
      </c>
    </row>
    <row r="44" spans="60:64" x14ac:dyDescent="0.3">
      <c r="BH44" s="78" t="s">
        <v>959</v>
      </c>
      <c r="BK44" s="151">
        <v>1</v>
      </c>
      <c r="BL44" s="151">
        <v>1</v>
      </c>
    </row>
    <row r="45" spans="60:64" x14ac:dyDescent="0.3">
      <c r="BH45" s="78" t="s">
        <v>960</v>
      </c>
      <c r="BI45" s="151">
        <v>1</v>
      </c>
      <c r="BK45" s="151">
        <v>2</v>
      </c>
      <c r="BL45" s="151">
        <v>3</v>
      </c>
    </row>
    <row r="46" spans="60:64" x14ac:dyDescent="0.3">
      <c r="BH46" s="78" t="s">
        <v>961</v>
      </c>
      <c r="BI46" s="151">
        <v>2</v>
      </c>
      <c r="BL46" s="151">
        <v>2</v>
      </c>
    </row>
    <row r="47" spans="60:64" x14ac:dyDescent="0.3">
      <c r="BH47" s="78" t="s">
        <v>962</v>
      </c>
      <c r="BI47" s="151">
        <v>1</v>
      </c>
      <c r="BJ47" s="151">
        <v>1</v>
      </c>
      <c r="BK47" s="151">
        <v>1</v>
      </c>
      <c r="BL47" s="151">
        <v>3</v>
      </c>
    </row>
    <row r="48" spans="60:64" x14ac:dyDescent="0.3">
      <c r="BH48" s="78" t="s">
        <v>963</v>
      </c>
      <c r="BI48" s="151">
        <v>1</v>
      </c>
      <c r="BK48" s="151">
        <v>1</v>
      </c>
      <c r="BL48" s="151">
        <v>2</v>
      </c>
    </row>
    <row r="49" spans="60:64" x14ac:dyDescent="0.3">
      <c r="BH49" s="78" t="s">
        <v>964</v>
      </c>
      <c r="BJ49" s="151">
        <v>1</v>
      </c>
      <c r="BK49" s="151">
        <v>1</v>
      </c>
      <c r="BL49" s="151">
        <v>2</v>
      </c>
    </row>
    <row r="50" spans="60:64" x14ac:dyDescent="0.3">
      <c r="BH50" s="78" t="s">
        <v>965</v>
      </c>
      <c r="BK50" s="151">
        <v>2</v>
      </c>
      <c r="BL50" s="151">
        <v>2</v>
      </c>
    </row>
    <row r="51" spans="60:64" x14ac:dyDescent="0.3">
      <c r="BH51" s="78" t="s">
        <v>966</v>
      </c>
      <c r="BJ51" s="151">
        <v>1</v>
      </c>
      <c r="BK51" s="151">
        <v>2</v>
      </c>
      <c r="BL51" s="151">
        <v>3</v>
      </c>
    </row>
    <row r="52" spans="60:64" x14ac:dyDescent="0.3">
      <c r="BH52" s="78" t="s">
        <v>967</v>
      </c>
      <c r="BK52" s="151">
        <v>2</v>
      </c>
      <c r="BL52" s="151">
        <v>2</v>
      </c>
    </row>
    <row r="53" spans="60:64" x14ac:dyDescent="0.3">
      <c r="BH53" s="78" t="s">
        <v>968</v>
      </c>
      <c r="BK53" s="151">
        <v>1</v>
      </c>
      <c r="BL53" s="151">
        <v>1</v>
      </c>
    </row>
    <row r="54" spans="60:64" x14ac:dyDescent="0.3">
      <c r="BH54" s="78" t="s">
        <v>969</v>
      </c>
      <c r="BJ54" s="151">
        <v>1</v>
      </c>
      <c r="BK54" s="151">
        <v>1</v>
      </c>
      <c r="BL54" s="151">
        <v>2</v>
      </c>
    </row>
    <row r="55" spans="60:64" x14ac:dyDescent="0.3">
      <c r="BH55" s="78" t="s">
        <v>970</v>
      </c>
      <c r="BJ55" s="151">
        <v>1</v>
      </c>
      <c r="BL55" s="151">
        <v>1</v>
      </c>
    </row>
    <row r="56" spans="60:64" x14ac:dyDescent="0.3">
      <c r="BH56" s="78" t="s">
        <v>971</v>
      </c>
      <c r="BK56" s="151">
        <v>1</v>
      </c>
      <c r="BL56" s="151">
        <v>1</v>
      </c>
    </row>
    <row r="57" spans="60:64" x14ac:dyDescent="0.3">
      <c r="BH57" s="78" t="s">
        <v>972</v>
      </c>
      <c r="BJ57" s="151">
        <v>3</v>
      </c>
      <c r="BK57" s="151">
        <v>2</v>
      </c>
      <c r="BL57" s="151">
        <v>5</v>
      </c>
    </row>
    <row r="58" spans="60:64" x14ac:dyDescent="0.3">
      <c r="BH58" s="78" t="s">
        <v>973</v>
      </c>
      <c r="BJ58" s="151">
        <v>3</v>
      </c>
      <c r="BK58" s="151">
        <v>3</v>
      </c>
      <c r="BL58" s="151">
        <v>6</v>
      </c>
    </row>
    <row r="59" spans="60:64" x14ac:dyDescent="0.3">
      <c r="BH59" s="78" t="s">
        <v>974</v>
      </c>
      <c r="BJ59" s="151">
        <v>2</v>
      </c>
      <c r="BK59" s="151">
        <v>1</v>
      </c>
      <c r="BL59" s="151">
        <v>3</v>
      </c>
    </row>
    <row r="60" spans="60:64" x14ac:dyDescent="0.3">
      <c r="BH60" s="78" t="s">
        <v>975</v>
      </c>
      <c r="BJ60" s="151">
        <v>1</v>
      </c>
      <c r="BL60" s="151">
        <v>1</v>
      </c>
    </row>
    <row r="61" spans="60:64" x14ac:dyDescent="0.3">
      <c r="BH61" s="78" t="s">
        <v>976</v>
      </c>
      <c r="BK61" s="151">
        <v>1</v>
      </c>
      <c r="BL61" s="151">
        <v>1</v>
      </c>
    </row>
    <row r="62" spans="60:64" x14ac:dyDescent="0.3">
      <c r="BH62" s="78" t="s">
        <v>977</v>
      </c>
      <c r="BJ62" s="151">
        <v>1</v>
      </c>
      <c r="BK62" s="151">
        <v>2</v>
      </c>
      <c r="BL62" s="151">
        <v>3</v>
      </c>
    </row>
    <row r="63" spans="60:64" x14ac:dyDescent="0.3">
      <c r="BH63" s="78" t="s">
        <v>978</v>
      </c>
      <c r="BI63" s="151">
        <v>1</v>
      </c>
      <c r="BJ63" s="151">
        <v>3</v>
      </c>
      <c r="BL63" s="151">
        <v>4</v>
      </c>
    </row>
    <row r="64" spans="60:64" x14ac:dyDescent="0.3">
      <c r="BH64" s="78" t="s">
        <v>979</v>
      </c>
      <c r="BI64" s="151">
        <v>1</v>
      </c>
      <c r="BJ64" s="151">
        <v>1</v>
      </c>
      <c r="BK64" s="151">
        <v>2</v>
      </c>
      <c r="BL64" s="151">
        <v>4</v>
      </c>
    </row>
    <row r="65" spans="60:64" x14ac:dyDescent="0.3">
      <c r="BH65" s="78" t="s">
        <v>980</v>
      </c>
      <c r="BI65" s="151">
        <v>1</v>
      </c>
      <c r="BK65" s="151">
        <v>2</v>
      </c>
      <c r="BL65" s="151">
        <v>3</v>
      </c>
    </row>
    <row r="66" spans="60:64" x14ac:dyDescent="0.3">
      <c r="BH66" s="78" t="s">
        <v>981</v>
      </c>
      <c r="BK66" s="151">
        <v>1</v>
      </c>
      <c r="BL66" s="151">
        <v>1</v>
      </c>
    </row>
    <row r="67" spans="60:64" x14ac:dyDescent="0.3">
      <c r="BH67" s="78" t="s">
        <v>982</v>
      </c>
      <c r="BI67" s="151">
        <v>1</v>
      </c>
      <c r="BJ67" s="151">
        <v>2</v>
      </c>
      <c r="BK67" s="151">
        <v>9</v>
      </c>
      <c r="BL67" s="151">
        <v>12</v>
      </c>
    </row>
    <row r="68" spans="60:64" x14ac:dyDescent="0.3">
      <c r="BH68" s="78" t="s">
        <v>983</v>
      </c>
      <c r="BI68" s="151">
        <v>3</v>
      </c>
      <c r="BK68" s="151">
        <v>2</v>
      </c>
      <c r="BL68" s="151">
        <v>5</v>
      </c>
    </row>
    <row r="69" spans="60:64" x14ac:dyDescent="0.3">
      <c r="BH69" s="78" t="s">
        <v>984</v>
      </c>
      <c r="BJ69" s="151">
        <v>1</v>
      </c>
      <c r="BK69" s="151">
        <v>1</v>
      </c>
      <c r="BL69" s="151">
        <v>2</v>
      </c>
    </row>
    <row r="70" spans="60:64" x14ac:dyDescent="0.3">
      <c r="BH70" s="78" t="s">
        <v>985</v>
      </c>
      <c r="BK70" s="151">
        <v>2</v>
      </c>
      <c r="BL70" s="151">
        <v>2</v>
      </c>
    </row>
    <row r="71" spans="60:64" x14ac:dyDescent="0.3">
      <c r="BH71" s="78" t="s">
        <v>986</v>
      </c>
      <c r="BK71" s="151">
        <v>1</v>
      </c>
      <c r="BL71" s="151">
        <v>1</v>
      </c>
    </row>
    <row r="72" spans="60:64" x14ac:dyDescent="0.3">
      <c r="BH72" s="78" t="s">
        <v>987</v>
      </c>
      <c r="BI72" s="151">
        <v>2</v>
      </c>
      <c r="BK72" s="151">
        <v>4</v>
      </c>
      <c r="BL72" s="151">
        <v>6</v>
      </c>
    </row>
    <row r="73" spans="60:64" x14ac:dyDescent="0.3">
      <c r="BH73" s="78" t="s">
        <v>988</v>
      </c>
      <c r="BI73" s="151">
        <v>4</v>
      </c>
      <c r="BJ73" s="151">
        <v>2</v>
      </c>
      <c r="BK73" s="151">
        <v>8</v>
      </c>
      <c r="BL73" s="151">
        <v>14</v>
      </c>
    </row>
    <row r="74" spans="60:64" x14ac:dyDescent="0.3">
      <c r="BH74" s="78" t="s">
        <v>989</v>
      </c>
      <c r="BJ74" s="151">
        <v>1</v>
      </c>
      <c r="BK74" s="151">
        <v>4</v>
      </c>
      <c r="BL74" s="151">
        <v>5</v>
      </c>
    </row>
    <row r="75" spans="60:64" x14ac:dyDescent="0.3">
      <c r="BH75" s="78" t="s">
        <v>990</v>
      </c>
      <c r="BJ75" s="151">
        <v>1</v>
      </c>
      <c r="BK75" s="151">
        <v>2</v>
      </c>
      <c r="BL75" s="151">
        <v>3</v>
      </c>
    </row>
    <row r="76" spans="60:64" x14ac:dyDescent="0.3">
      <c r="BH76" s="78" t="s">
        <v>991</v>
      </c>
      <c r="BI76" s="151">
        <v>1</v>
      </c>
      <c r="BL76" s="151">
        <v>1</v>
      </c>
    </row>
    <row r="77" spans="60:64" x14ac:dyDescent="0.3">
      <c r="BH77" s="78" t="s">
        <v>992</v>
      </c>
      <c r="BI77" s="151">
        <v>3</v>
      </c>
      <c r="BL77" s="151">
        <v>3</v>
      </c>
    </row>
    <row r="78" spans="60:64" x14ac:dyDescent="0.3">
      <c r="BH78" s="78" t="s">
        <v>993</v>
      </c>
      <c r="BI78" s="151">
        <v>3</v>
      </c>
      <c r="BK78" s="151">
        <v>2</v>
      </c>
      <c r="BL78" s="151">
        <v>5</v>
      </c>
    </row>
    <row r="79" spans="60:64" x14ac:dyDescent="0.3">
      <c r="BH79" s="78" t="s">
        <v>994</v>
      </c>
      <c r="BI79" s="151">
        <v>3</v>
      </c>
      <c r="BL79" s="151">
        <v>3</v>
      </c>
    </row>
    <row r="80" spans="60:64" x14ac:dyDescent="0.3">
      <c r="BH80" s="78" t="s">
        <v>995</v>
      </c>
      <c r="BI80" s="151">
        <v>1</v>
      </c>
      <c r="BK80" s="151">
        <v>1</v>
      </c>
      <c r="BL80" s="151">
        <v>2</v>
      </c>
    </row>
    <row r="81" spans="60:64" x14ac:dyDescent="0.3">
      <c r="BH81" s="78" t="s">
        <v>996</v>
      </c>
      <c r="BI81" s="151">
        <v>3</v>
      </c>
      <c r="BK81" s="151">
        <v>7</v>
      </c>
      <c r="BL81" s="151">
        <v>10</v>
      </c>
    </row>
    <row r="82" spans="60:64" x14ac:dyDescent="0.3">
      <c r="BH82" s="78" t="s">
        <v>997</v>
      </c>
      <c r="BI82" s="151">
        <v>2</v>
      </c>
      <c r="BJ82" s="151">
        <v>1</v>
      </c>
      <c r="BK82" s="151">
        <v>5</v>
      </c>
      <c r="BL82" s="151">
        <v>8</v>
      </c>
    </row>
    <row r="83" spans="60:64" x14ac:dyDescent="0.3">
      <c r="BH83" s="78" t="s">
        <v>998</v>
      </c>
      <c r="BI83" s="151">
        <v>1</v>
      </c>
      <c r="BK83" s="151">
        <v>5</v>
      </c>
      <c r="BL83" s="151">
        <v>6</v>
      </c>
    </row>
    <row r="84" spans="60:64" x14ac:dyDescent="0.3">
      <c r="BH84" s="78" t="s">
        <v>999</v>
      </c>
      <c r="BI84" s="151">
        <v>11</v>
      </c>
      <c r="BJ84" s="151">
        <v>6</v>
      </c>
      <c r="BK84" s="151">
        <v>18</v>
      </c>
      <c r="BL84" s="151">
        <v>35</v>
      </c>
    </row>
    <row r="85" spans="60:64" x14ac:dyDescent="0.3">
      <c r="BH85" s="78" t="s">
        <v>1000</v>
      </c>
      <c r="BK85" s="151">
        <v>1</v>
      </c>
      <c r="BL85" s="151">
        <v>1</v>
      </c>
    </row>
    <row r="86" spans="60:64" x14ac:dyDescent="0.3">
      <c r="BH86" s="78" t="s">
        <v>1001</v>
      </c>
      <c r="BJ86" s="151">
        <v>1</v>
      </c>
      <c r="BK86" s="151">
        <v>1</v>
      </c>
      <c r="BL86" s="151">
        <v>2</v>
      </c>
    </row>
    <row r="87" spans="60:64" x14ac:dyDescent="0.3">
      <c r="BH87" s="78" t="s">
        <v>1002</v>
      </c>
      <c r="BJ87" s="151">
        <v>1</v>
      </c>
      <c r="BK87" s="151">
        <v>2</v>
      </c>
      <c r="BL87" s="151">
        <v>3</v>
      </c>
    </row>
    <row r="88" spans="60:64" x14ac:dyDescent="0.3">
      <c r="BH88" s="78" t="s">
        <v>1003</v>
      </c>
      <c r="BI88" s="151">
        <v>1</v>
      </c>
      <c r="BK88" s="151">
        <v>2</v>
      </c>
      <c r="BL88" s="151">
        <v>3</v>
      </c>
    </row>
    <row r="89" spans="60:64" x14ac:dyDescent="0.3">
      <c r="BH89" s="78" t="s">
        <v>1004</v>
      </c>
      <c r="BJ89" s="151">
        <v>4</v>
      </c>
      <c r="BK89" s="151">
        <v>1</v>
      </c>
      <c r="BL89" s="151">
        <v>5</v>
      </c>
    </row>
    <row r="90" spans="60:64" x14ac:dyDescent="0.3">
      <c r="BH90" s="78" t="s">
        <v>1005</v>
      </c>
      <c r="BK90" s="151">
        <v>1</v>
      </c>
      <c r="BL90" s="151">
        <v>1</v>
      </c>
    </row>
    <row r="91" spans="60:64" x14ac:dyDescent="0.3">
      <c r="BH91" s="78" t="s">
        <v>1006</v>
      </c>
      <c r="BI91" s="151">
        <v>3</v>
      </c>
      <c r="BK91" s="151">
        <v>3</v>
      </c>
      <c r="BL91" s="151">
        <v>6</v>
      </c>
    </row>
    <row r="92" spans="60:64" x14ac:dyDescent="0.3">
      <c r="BH92" s="78" t="s">
        <v>1007</v>
      </c>
      <c r="BI92" s="151">
        <v>5</v>
      </c>
      <c r="BK92" s="151">
        <v>3</v>
      </c>
      <c r="BL92" s="151">
        <v>8</v>
      </c>
    </row>
    <row r="93" spans="60:64" x14ac:dyDescent="0.3">
      <c r="BH93" s="78" t="s">
        <v>1008</v>
      </c>
      <c r="BJ93" s="151">
        <v>1</v>
      </c>
      <c r="BL93" s="151">
        <v>1</v>
      </c>
    </row>
    <row r="94" spans="60:64" x14ac:dyDescent="0.3">
      <c r="BH94" s="78" t="s">
        <v>1009</v>
      </c>
      <c r="BK94" s="151">
        <v>1</v>
      </c>
      <c r="BL94" s="151">
        <v>1</v>
      </c>
    </row>
    <row r="95" spans="60:64" x14ac:dyDescent="0.3">
      <c r="BH95" s="78" t="s">
        <v>1010</v>
      </c>
      <c r="BJ95" s="151">
        <v>1</v>
      </c>
      <c r="BL95" s="151">
        <v>1</v>
      </c>
    </row>
    <row r="96" spans="60:64" x14ac:dyDescent="0.3">
      <c r="BH96" s="78" t="s">
        <v>1011</v>
      </c>
      <c r="BK96" s="151">
        <v>1</v>
      </c>
      <c r="BL96" s="151">
        <v>1</v>
      </c>
    </row>
    <row r="97" spans="60:64" x14ac:dyDescent="0.3">
      <c r="BH97" s="78" t="s">
        <v>1012</v>
      </c>
      <c r="BK97" s="151">
        <v>1</v>
      </c>
      <c r="BL97" s="151">
        <v>1</v>
      </c>
    </row>
    <row r="98" spans="60:64" x14ac:dyDescent="0.3">
      <c r="BH98" s="78" t="s">
        <v>1013</v>
      </c>
      <c r="BK98" s="151">
        <v>2</v>
      </c>
      <c r="BL98" s="151">
        <v>2</v>
      </c>
    </row>
    <row r="99" spans="60:64" x14ac:dyDescent="0.3">
      <c r="BH99" s="78" t="s">
        <v>1014</v>
      </c>
      <c r="BI99" s="151">
        <v>3</v>
      </c>
      <c r="BJ99" s="151">
        <v>1</v>
      </c>
      <c r="BK99" s="151">
        <v>2</v>
      </c>
      <c r="BL99" s="151">
        <v>6</v>
      </c>
    </row>
    <row r="100" spans="60:64" x14ac:dyDescent="0.3">
      <c r="BH100" s="78" t="s">
        <v>1015</v>
      </c>
      <c r="BI100" s="151">
        <v>4</v>
      </c>
      <c r="BJ100" s="151">
        <v>2</v>
      </c>
      <c r="BK100" s="151">
        <v>10</v>
      </c>
      <c r="BL100" s="151">
        <v>16</v>
      </c>
    </row>
    <row r="101" spans="60:64" x14ac:dyDescent="0.3">
      <c r="BH101" s="78" t="s">
        <v>1016</v>
      </c>
      <c r="BI101" s="151">
        <v>9</v>
      </c>
      <c r="BJ101" s="151">
        <v>2</v>
      </c>
      <c r="BK101" s="151">
        <v>7</v>
      </c>
      <c r="BL101" s="151">
        <v>18</v>
      </c>
    </row>
    <row r="102" spans="60:64" x14ac:dyDescent="0.3">
      <c r="BH102" s="78" t="s">
        <v>1017</v>
      </c>
      <c r="BI102" s="151">
        <v>1</v>
      </c>
      <c r="BJ102" s="151">
        <v>1</v>
      </c>
      <c r="BK102" s="151">
        <v>3</v>
      </c>
      <c r="BL102" s="151">
        <v>5</v>
      </c>
    </row>
    <row r="103" spans="60:64" x14ac:dyDescent="0.3">
      <c r="BH103" s="78" t="s">
        <v>1018</v>
      </c>
      <c r="BK103" s="151">
        <v>1</v>
      </c>
      <c r="BL103" s="151">
        <v>1</v>
      </c>
    </row>
    <row r="104" spans="60:64" x14ac:dyDescent="0.3">
      <c r="BH104" s="78" t="s">
        <v>1019</v>
      </c>
      <c r="BI104" s="151">
        <v>1</v>
      </c>
      <c r="BK104" s="151">
        <v>3</v>
      </c>
      <c r="BL104" s="151">
        <v>4</v>
      </c>
    </row>
    <row r="105" spans="60:64" x14ac:dyDescent="0.3">
      <c r="BH105" s="78" t="s">
        <v>1020</v>
      </c>
      <c r="BK105" s="151">
        <v>2</v>
      </c>
      <c r="BL105" s="151">
        <v>2</v>
      </c>
    </row>
    <row r="106" spans="60:64" x14ac:dyDescent="0.3">
      <c r="BH106" s="78" t="s">
        <v>1021</v>
      </c>
      <c r="BI106" s="151">
        <v>1</v>
      </c>
      <c r="BK106" s="151">
        <v>2</v>
      </c>
      <c r="BL106" s="151">
        <v>3</v>
      </c>
    </row>
    <row r="107" spans="60:64" x14ac:dyDescent="0.3">
      <c r="BH107" s="78" t="s">
        <v>1022</v>
      </c>
      <c r="BJ107" s="151">
        <v>1</v>
      </c>
      <c r="BL107" s="151">
        <v>1</v>
      </c>
    </row>
    <row r="108" spans="60:64" x14ac:dyDescent="0.3">
      <c r="BH108" s="78" t="s">
        <v>1023</v>
      </c>
      <c r="BJ108" s="151">
        <v>1</v>
      </c>
      <c r="BL108" s="151">
        <v>1</v>
      </c>
    </row>
    <row r="109" spans="60:64" x14ac:dyDescent="0.3">
      <c r="BH109" s="78" t="s">
        <v>1024</v>
      </c>
      <c r="BJ109" s="151">
        <v>1</v>
      </c>
      <c r="BK109" s="151">
        <v>1</v>
      </c>
      <c r="BL109" s="151">
        <v>2</v>
      </c>
    </row>
    <row r="110" spans="60:64" x14ac:dyDescent="0.3">
      <c r="BH110" s="78" t="s">
        <v>1025</v>
      </c>
      <c r="BJ110" s="151">
        <v>1</v>
      </c>
      <c r="BK110" s="151">
        <v>2</v>
      </c>
      <c r="BL110" s="151">
        <v>3</v>
      </c>
    </row>
    <row r="111" spans="60:64" x14ac:dyDescent="0.3">
      <c r="BH111" s="78" t="s">
        <v>1026</v>
      </c>
      <c r="BK111" s="151">
        <v>0</v>
      </c>
      <c r="BL111" s="151">
        <v>0</v>
      </c>
    </row>
    <row r="112" spans="60:64" x14ac:dyDescent="0.3">
      <c r="BH112" s="78" t="s">
        <v>1027</v>
      </c>
      <c r="BJ112" s="151">
        <v>1</v>
      </c>
      <c r="BK112" s="151">
        <v>1</v>
      </c>
      <c r="BL112" s="151">
        <v>2</v>
      </c>
    </row>
    <row r="113" spans="60:64" x14ac:dyDescent="0.3">
      <c r="BH113" s="78" t="s">
        <v>1028</v>
      </c>
      <c r="BI113" s="151">
        <v>1</v>
      </c>
      <c r="BJ113" s="151">
        <v>1</v>
      </c>
      <c r="BK113" s="151">
        <v>1</v>
      </c>
      <c r="BL113" s="151">
        <v>3</v>
      </c>
    </row>
    <row r="114" spans="60:64" x14ac:dyDescent="0.3">
      <c r="BH114" s="78" t="s">
        <v>1029</v>
      </c>
      <c r="BK114" s="151">
        <v>3</v>
      </c>
      <c r="BL114" s="151">
        <v>3</v>
      </c>
    </row>
    <row r="115" spans="60:64" x14ac:dyDescent="0.3">
      <c r="BH115" s="78" t="s">
        <v>1030</v>
      </c>
      <c r="BI115" s="151">
        <v>1</v>
      </c>
      <c r="BJ115" s="151">
        <v>1</v>
      </c>
      <c r="BK115" s="151">
        <v>3</v>
      </c>
      <c r="BL115" s="151">
        <v>5</v>
      </c>
    </row>
    <row r="116" spans="60:64" x14ac:dyDescent="0.3">
      <c r="BH116" s="78" t="s">
        <v>1031</v>
      </c>
      <c r="BJ116" s="151">
        <v>1</v>
      </c>
      <c r="BK116" s="151">
        <v>2</v>
      </c>
      <c r="BL116" s="151">
        <v>3</v>
      </c>
    </row>
    <row r="117" spans="60:64" x14ac:dyDescent="0.3">
      <c r="BH117" s="78" t="s">
        <v>1032</v>
      </c>
      <c r="BI117" s="151">
        <v>1</v>
      </c>
      <c r="BK117" s="151">
        <v>1</v>
      </c>
      <c r="BL117" s="151">
        <v>2</v>
      </c>
    </row>
    <row r="118" spans="60:64" x14ac:dyDescent="0.3">
      <c r="BH118" s="78" t="s">
        <v>1033</v>
      </c>
      <c r="BI118" s="151">
        <v>4</v>
      </c>
      <c r="BK118" s="151">
        <v>8</v>
      </c>
      <c r="BL118" s="151">
        <v>12</v>
      </c>
    </row>
    <row r="119" spans="60:64" x14ac:dyDescent="0.3">
      <c r="BH119" s="78" t="s">
        <v>1034</v>
      </c>
      <c r="BK119" s="151">
        <v>1</v>
      </c>
      <c r="BL119" s="151">
        <v>1</v>
      </c>
    </row>
    <row r="120" spans="60:64" x14ac:dyDescent="0.3">
      <c r="BH120" s="78" t="s">
        <v>1035</v>
      </c>
      <c r="BK120" s="151">
        <v>1</v>
      </c>
      <c r="BL120" s="151">
        <v>1</v>
      </c>
    </row>
    <row r="121" spans="60:64" x14ac:dyDescent="0.3">
      <c r="BH121" s="78" t="s">
        <v>1036</v>
      </c>
      <c r="BK121" s="151">
        <v>1</v>
      </c>
      <c r="BL121" s="151">
        <v>1</v>
      </c>
    </row>
    <row r="122" spans="60:64" x14ac:dyDescent="0.3">
      <c r="BH122" s="78" t="s">
        <v>1037</v>
      </c>
      <c r="BI122" s="151">
        <v>4</v>
      </c>
      <c r="BJ122" s="151">
        <v>4</v>
      </c>
      <c r="BK122" s="151">
        <v>9</v>
      </c>
      <c r="BL122" s="151">
        <v>17</v>
      </c>
    </row>
    <row r="123" spans="60:64" x14ac:dyDescent="0.3">
      <c r="BH123" s="78" t="s">
        <v>1038</v>
      </c>
      <c r="BI123" s="151">
        <v>7</v>
      </c>
      <c r="BJ123" s="151">
        <v>6</v>
      </c>
      <c r="BK123" s="151">
        <v>14</v>
      </c>
      <c r="BL123" s="151">
        <v>27</v>
      </c>
    </row>
    <row r="124" spans="60:64" x14ac:dyDescent="0.3">
      <c r="BH124" s="78" t="s">
        <v>1039</v>
      </c>
      <c r="BI124" s="151">
        <v>9</v>
      </c>
      <c r="BJ124" s="151">
        <v>3</v>
      </c>
      <c r="BK124" s="151">
        <v>13</v>
      </c>
      <c r="BL124" s="151">
        <v>25</v>
      </c>
    </row>
    <row r="125" spans="60:64" x14ac:dyDescent="0.3">
      <c r="BH125" s="78" t="s">
        <v>1040</v>
      </c>
      <c r="BJ125" s="151">
        <v>2</v>
      </c>
      <c r="BK125" s="151">
        <v>3</v>
      </c>
      <c r="BL125" s="151">
        <v>5</v>
      </c>
    </row>
    <row r="126" spans="60:64" x14ac:dyDescent="0.3">
      <c r="BH126" s="78" t="s">
        <v>1041</v>
      </c>
      <c r="BJ126" s="151">
        <v>2</v>
      </c>
      <c r="BK126" s="151">
        <v>4</v>
      </c>
      <c r="BL126" s="151">
        <v>6</v>
      </c>
    </row>
    <row r="127" spans="60:64" x14ac:dyDescent="0.3">
      <c r="BH127" s="78" t="s">
        <v>1042</v>
      </c>
      <c r="BJ127" s="151">
        <v>8</v>
      </c>
      <c r="BK127" s="151">
        <v>5</v>
      </c>
      <c r="BL127" s="151">
        <v>13</v>
      </c>
    </row>
    <row r="128" spans="60:64" x14ac:dyDescent="0.3">
      <c r="BH128" s="78" t="s">
        <v>1043</v>
      </c>
      <c r="BI128" s="151">
        <v>2</v>
      </c>
      <c r="BJ128" s="151">
        <v>2</v>
      </c>
      <c r="BK128" s="151">
        <v>4</v>
      </c>
      <c r="BL128" s="151">
        <v>8</v>
      </c>
    </row>
    <row r="129" spans="60:64" x14ac:dyDescent="0.3">
      <c r="BH129" s="78" t="s">
        <v>1044</v>
      </c>
      <c r="BI129" s="151">
        <v>4</v>
      </c>
      <c r="BJ129" s="151">
        <v>8</v>
      </c>
      <c r="BK129" s="151">
        <v>11</v>
      </c>
      <c r="BL129" s="151">
        <v>23</v>
      </c>
    </row>
    <row r="130" spans="60:64" x14ac:dyDescent="0.3">
      <c r="BH130" s="78" t="s">
        <v>1045</v>
      </c>
      <c r="BI130" s="151">
        <v>5</v>
      </c>
      <c r="BJ130" s="151">
        <v>5</v>
      </c>
      <c r="BK130" s="151">
        <v>7</v>
      </c>
      <c r="BL130" s="151">
        <v>17</v>
      </c>
    </row>
    <row r="131" spans="60:64" x14ac:dyDescent="0.3">
      <c r="BH131" s="78" t="s">
        <v>1046</v>
      </c>
      <c r="BJ131" s="151">
        <v>1</v>
      </c>
      <c r="BL131" s="151">
        <v>1</v>
      </c>
    </row>
    <row r="132" spans="60:64" x14ac:dyDescent="0.3">
      <c r="BH132" s="78" t="s">
        <v>1047</v>
      </c>
      <c r="BJ132" s="151">
        <v>1</v>
      </c>
      <c r="BL132" s="151">
        <v>1</v>
      </c>
    </row>
    <row r="133" spans="60:64" x14ac:dyDescent="0.3">
      <c r="BH133" s="78" t="s">
        <v>1048</v>
      </c>
      <c r="BK133" s="151">
        <v>1</v>
      </c>
      <c r="BL133" s="151">
        <v>1</v>
      </c>
    </row>
    <row r="134" spans="60:64" x14ac:dyDescent="0.3">
      <c r="BH134" s="78" t="s">
        <v>1049</v>
      </c>
      <c r="BJ134" s="151">
        <v>2</v>
      </c>
      <c r="BL134" s="151">
        <v>2</v>
      </c>
    </row>
    <row r="135" spans="60:64" x14ac:dyDescent="0.3">
      <c r="BH135" s="78" t="s">
        <v>1050</v>
      </c>
      <c r="BK135" s="151">
        <v>2</v>
      </c>
      <c r="BL135" s="151">
        <v>2</v>
      </c>
    </row>
    <row r="136" spans="60:64" x14ac:dyDescent="0.3">
      <c r="BH136" s="78" t="s">
        <v>1051</v>
      </c>
      <c r="BJ136" s="151">
        <v>2</v>
      </c>
      <c r="BK136" s="151">
        <v>1</v>
      </c>
      <c r="BL136" s="151">
        <v>3</v>
      </c>
    </row>
    <row r="137" spans="60:64" x14ac:dyDescent="0.3">
      <c r="BH137" s="78" t="s">
        <v>1052</v>
      </c>
      <c r="BJ137" s="151">
        <v>2</v>
      </c>
      <c r="BK137" s="151">
        <v>3</v>
      </c>
      <c r="BL137" s="151">
        <v>5</v>
      </c>
    </row>
    <row r="138" spans="60:64" x14ac:dyDescent="0.3">
      <c r="BH138" s="78" t="s">
        <v>1053</v>
      </c>
      <c r="BI138" s="151">
        <v>2</v>
      </c>
      <c r="BL138" s="151">
        <v>2</v>
      </c>
    </row>
    <row r="139" spans="60:64" x14ac:dyDescent="0.3">
      <c r="BH139" s="78" t="s">
        <v>1054</v>
      </c>
      <c r="BJ139" s="151">
        <v>1</v>
      </c>
      <c r="BK139" s="151">
        <v>1</v>
      </c>
      <c r="BL139" s="151">
        <v>2</v>
      </c>
    </row>
    <row r="140" spans="60:64" x14ac:dyDescent="0.3">
      <c r="BH140" s="78" t="s">
        <v>1055</v>
      </c>
      <c r="BK140" s="151">
        <v>2</v>
      </c>
      <c r="BL140" s="151">
        <v>2</v>
      </c>
    </row>
    <row r="141" spans="60:64" x14ac:dyDescent="0.3">
      <c r="BH141" s="78" t="s">
        <v>1056</v>
      </c>
      <c r="BK141" s="151">
        <v>1</v>
      </c>
      <c r="BL141" s="151">
        <v>1</v>
      </c>
    </row>
    <row r="142" spans="60:64" x14ac:dyDescent="0.3">
      <c r="BH142" s="78" t="s">
        <v>1057</v>
      </c>
      <c r="BK142" s="151">
        <v>3</v>
      </c>
      <c r="BL142" s="151">
        <v>3</v>
      </c>
    </row>
    <row r="143" spans="60:64" x14ac:dyDescent="0.3">
      <c r="BH143" s="78" t="s">
        <v>1058</v>
      </c>
      <c r="BK143" s="151">
        <v>1</v>
      </c>
      <c r="BL143" s="151">
        <v>1</v>
      </c>
    </row>
    <row r="144" spans="60:64" x14ac:dyDescent="0.3">
      <c r="BH144" s="78" t="s">
        <v>1059</v>
      </c>
      <c r="BK144" s="151">
        <v>2</v>
      </c>
      <c r="BL144" s="151">
        <v>2</v>
      </c>
    </row>
    <row r="145" spans="60:64" x14ac:dyDescent="0.3">
      <c r="BH145" s="78" t="s">
        <v>1060</v>
      </c>
      <c r="BK145" s="151">
        <v>2</v>
      </c>
      <c r="BL145" s="151">
        <v>2</v>
      </c>
    </row>
    <row r="146" spans="60:64" x14ac:dyDescent="0.3">
      <c r="BH146" s="78" t="s">
        <v>1061</v>
      </c>
      <c r="BK146" s="151">
        <v>1</v>
      </c>
      <c r="BL146" s="151">
        <v>1</v>
      </c>
    </row>
    <row r="147" spans="60:64" x14ac:dyDescent="0.3">
      <c r="BH147" s="78" t="s">
        <v>1062</v>
      </c>
      <c r="BJ147" s="151">
        <v>2</v>
      </c>
      <c r="BK147" s="151">
        <v>1</v>
      </c>
      <c r="BL147" s="151">
        <v>3</v>
      </c>
    </row>
    <row r="148" spans="60:64" x14ac:dyDescent="0.3">
      <c r="BH148" s="78" t="s">
        <v>1063</v>
      </c>
      <c r="BJ148" s="151">
        <v>1</v>
      </c>
      <c r="BK148" s="151">
        <v>1</v>
      </c>
      <c r="BL148" s="151">
        <v>2</v>
      </c>
    </row>
    <row r="149" spans="60:64" x14ac:dyDescent="0.3">
      <c r="BH149" s="78" t="s">
        <v>1064</v>
      </c>
      <c r="BI149" s="151">
        <v>1</v>
      </c>
      <c r="BL149" s="151">
        <v>1</v>
      </c>
    </row>
    <row r="150" spans="60:64" x14ac:dyDescent="0.3">
      <c r="BH150" s="78" t="s">
        <v>1065</v>
      </c>
      <c r="BI150" s="151">
        <v>5</v>
      </c>
      <c r="BK150" s="151">
        <v>3</v>
      </c>
      <c r="BL150" s="151">
        <v>8</v>
      </c>
    </row>
    <row r="151" spans="60:64" x14ac:dyDescent="0.3">
      <c r="BH151" s="78" t="s">
        <v>1066</v>
      </c>
      <c r="BK151" s="151">
        <v>1</v>
      </c>
      <c r="BL151" s="151">
        <v>1</v>
      </c>
    </row>
    <row r="152" spans="60:64" x14ac:dyDescent="0.3">
      <c r="BH152" s="78" t="s">
        <v>1067</v>
      </c>
      <c r="BK152" s="151">
        <v>1</v>
      </c>
      <c r="BL152" s="151">
        <v>1</v>
      </c>
    </row>
    <row r="153" spans="60:64" x14ac:dyDescent="0.3">
      <c r="BH153" s="78" t="s">
        <v>1068</v>
      </c>
      <c r="BK153" s="151">
        <v>1</v>
      </c>
      <c r="BL153" s="151">
        <v>1</v>
      </c>
    </row>
    <row r="154" spans="60:64" x14ac:dyDescent="0.3">
      <c r="BH154" s="78" t="s">
        <v>1069</v>
      </c>
      <c r="BJ154" s="151">
        <v>1</v>
      </c>
      <c r="BK154" s="151">
        <v>1</v>
      </c>
      <c r="BL154" s="151">
        <v>2</v>
      </c>
    </row>
    <row r="155" spans="60:64" x14ac:dyDescent="0.3">
      <c r="BH155" s="78" t="s">
        <v>1070</v>
      </c>
      <c r="BJ155" s="151">
        <v>1</v>
      </c>
      <c r="BK155" s="151">
        <v>3</v>
      </c>
      <c r="BL155" s="151">
        <v>4</v>
      </c>
    </row>
    <row r="156" spans="60:64" x14ac:dyDescent="0.3">
      <c r="BH156" s="78" t="s">
        <v>1071</v>
      </c>
      <c r="BJ156" s="151">
        <v>2</v>
      </c>
      <c r="BK156" s="151">
        <v>1</v>
      </c>
      <c r="BL156" s="151">
        <v>3</v>
      </c>
    </row>
    <row r="157" spans="60:64" x14ac:dyDescent="0.3">
      <c r="BH157" s="78" t="s">
        <v>1072</v>
      </c>
      <c r="BJ157" s="151">
        <v>3</v>
      </c>
      <c r="BK157" s="151">
        <v>2</v>
      </c>
      <c r="BL157" s="151">
        <v>5</v>
      </c>
    </row>
    <row r="158" spans="60:64" x14ac:dyDescent="0.3">
      <c r="BH158" s="78" t="s">
        <v>1073</v>
      </c>
      <c r="BJ158" s="151">
        <v>2</v>
      </c>
      <c r="BK158" s="151">
        <v>1</v>
      </c>
      <c r="BL158" s="151">
        <v>3</v>
      </c>
    </row>
    <row r="159" spans="60:64" x14ac:dyDescent="0.3">
      <c r="BH159" s="78" t="s">
        <v>1074</v>
      </c>
      <c r="BK159" s="151">
        <v>1</v>
      </c>
      <c r="BL159" s="151">
        <v>1</v>
      </c>
    </row>
    <row r="160" spans="60:64" x14ac:dyDescent="0.3">
      <c r="BH160" s="78" t="s">
        <v>1075</v>
      </c>
      <c r="BJ160" s="151">
        <v>4</v>
      </c>
      <c r="BK160" s="151">
        <v>2</v>
      </c>
      <c r="BL160" s="151">
        <v>6</v>
      </c>
    </row>
    <row r="161" spans="60:64" x14ac:dyDescent="0.3">
      <c r="BH161" s="78" t="s">
        <v>1076</v>
      </c>
      <c r="BI161" s="151">
        <v>3</v>
      </c>
      <c r="BJ161" s="151">
        <v>1</v>
      </c>
      <c r="BK161" s="151">
        <v>2</v>
      </c>
      <c r="BL161" s="151">
        <v>6</v>
      </c>
    </row>
    <row r="162" spans="60:64" x14ac:dyDescent="0.3">
      <c r="BH162" s="78" t="s">
        <v>1077</v>
      </c>
      <c r="BJ162" s="151">
        <v>1</v>
      </c>
      <c r="BK162" s="151">
        <v>3</v>
      </c>
      <c r="BL162" s="151">
        <v>4</v>
      </c>
    </row>
    <row r="163" spans="60:64" x14ac:dyDescent="0.3">
      <c r="BH163" s="78" t="s">
        <v>1078</v>
      </c>
      <c r="BK163" s="151">
        <v>2</v>
      </c>
      <c r="BL163" s="151">
        <v>2</v>
      </c>
    </row>
    <row r="164" spans="60:64" x14ac:dyDescent="0.3">
      <c r="BH164" s="78" t="s">
        <v>1079</v>
      </c>
      <c r="BJ164" s="151">
        <v>1</v>
      </c>
      <c r="BK164" s="151">
        <v>2</v>
      </c>
      <c r="BL164" s="151">
        <v>3</v>
      </c>
    </row>
    <row r="165" spans="60:64" x14ac:dyDescent="0.3">
      <c r="BH165" s="78" t="s">
        <v>1080</v>
      </c>
      <c r="BI165" s="151">
        <v>5</v>
      </c>
      <c r="BJ165" s="151">
        <v>2</v>
      </c>
      <c r="BK165" s="151">
        <v>5</v>
      </c>
      <c r="BL165" s="151">
        <v>12</v>
      </c>
    </row>
    <row r="166" spans="60:64" x14ac:dyDescent="0.3">
      <c r="BH166" s="78" t="s">
        <v>1081</v>
      </c>
      <c r="BI166" s="151">
        <v>6</v>
      </c>
      <c r="BJ166" s="151">
        <v>2</v>
      </c>
      <c r="BK166" s="151">
        <v>7</v>
      </c>
      <c r="BL166" s="151">
        <v>15</v>
      </c>
    </row>
    <row r="167" spans="60:64" x14ac:dyDescent="0.3">
      <c r="BH167" s="78" t="s">
        <v>1082</v>
      </c>
      <c r="BI167" s="151">
        <v>2</v>
      </c>
      <c r="BJ167" s="151">
        <v>3</v>
      </c>
      <c r="BK167" s="151">
        <v>3</v>
      </c>
      <c r="BL167" s="151">
        <v>8</v>
      </c>
    </row>
    <row r="168" spans="60:64" x14ac:dyDescent="0.3">
      <c r="BH168" s="78" t="s">
        <v>1083</v>
      </c>
      <c r="BI168" s="151">
        <v>2</v>
      </c>
      <c r="BK168" s="151">
        <v>1</v>
      </c>
      <c r="BL168" s="151">
        <v>3</v>
      </c>
    </row>
    <row r="169" spans="60:64" x14ac:dyDescent="0.3">
      <c r="BH169" s="78" t="s">
        <v>1084</v>
      </c>
      <c r="BJ169" s="151">
        <v>1</v>
      </c>
      <c r="BK169" s="151">
        <v>2</v>
      </c>
      <c r="BL169" s="151">
        <v>3</v>
      </c>
    </row>
    <row r="170" spans="60:64" x14ac:dyDescent="0.3">
      <c r="BH170" s="78" t="s">
        <v>1085</v>
      </c>
      <c r="BK170" s="151">
        <v>1</v>
      </c>
      <c r="BL170" s="151">
        <v>1</v>
      </c>
    </row>
    <row r="171" spans="60:64" x14ac:dyDescent="0.3">
      <c r="BH171" s="78" t="s">
        <v>1086</v>
      </c>
      <c r="BJ171" s="151">
        <v>1</v>
      </c>
      <c r="BL171" s="151">
        <v>1</v>
      </c>
    </row>
    <row r="172" spans="60:64" x14ac:dyDescent="0.3">
      <c r="BH172" s="78" t="s">
        <v>1087</v>
      </c>
      <c r="BI172" s="151">
        <v>1</v>
      </c>
      <c r="BJ172" s="151">
        <v>1</v>
      </c>
      <c r="BL172" s="151">
        <v>2</v>
      </c>
    </row>
    <row r="173" spans="60:64" x14ac:dyDescent="0.3">
      <c r="BH173" s="78" t="s">
        <v>1088</v>
      </c>
      <c r="BI173" s="151">
        <v>1</v>
      </c>
      <c r="BK173" s="151">
        <v>1</v>
      </c>
      <c r="BL173" s="151">
        <v>2</v>
      </c>
    </row>
    <row r="174" spans="60:64" x14ac:dyDescent="0.3">
      <c r="BH174" s="78" t="s">
        <v>1089</v>
      </c>
      <c r="BI174" s="151">
        <v>1</v>
      </c>
      <c r="BK174" s="151">
        <v>2</v>
      </c>
      <c r="BL174" s="151">
        <v>3</v>
      </c>
    </row>
    <row r="175" spans="60:64" x14ac:dyDescent="0.3">
      <c r="BH175" s="78" t="s">
        <v>1090</v>
      </c>
      <c r="BI175" s="151">
        <v>1</v>
      </c>
      <c r="BK175" s="151">
        <v>2</v>
      </c>
      <c r="BL175" s="151">
        <v>3</v>
      </c>
    </row>
    <row r="176" spans="60:64" x14ac:dyDescent="0.3">
      <c r="BH176" s="78" t="s">
        <v>1091</v>
      </c>
      <c r="BI176" s="151">
        <v>4</v>
      </c>
      <c r="BK176" s="151">
        <v>4</v>
      </c>
      <c r="BL176" s="151">
        <v>8</v>
      </c>
    </row>
    <row r="177" spans="60:64" x14ac:dyDescent="0.3">
      <c r="BH177" s="78" t="s">
        <v>1092</v>
      </c>
      <c r="BI177" s="151">
        <v>5</v>
      </c>
      <c r="BK177" s="151">
        <v>2</v>
      </c>
      <c r="BL177" s="151">
        <v>7</v>
      </c>
    </row>
    <row r="178" spans="60:64" x14ac:dyDescent="0.3">
      <c r="BH178" s="78" t="s">
        <v>1093</v>
      </c>
      <c r="BJ178" s="151">
        <v>3</v>
      </c>
      <c r="BK178" s="151">
        <v>2</v>
      </c>
      <c r="BL178" s="151">
        <v>5</v>
      </c>
    </row>
    <row r="179" spans="60:64" x14ac:dyDescent="0.3">
      <c r="BH179" s="78" t="s">
        <v>684</v>
      </c>
      <c r="BI179" s="151">
        <v>201</v>
      </c>
      <c r="BJ179" s="151">
        <v>176</v>
      </c>
      <c r="BK179" s="151">
        <v>436</v>
      </c>
      <c r="BL179" s="151">
        <v>813</v>
      </c>
    </row>
  </sheetData>
  <autoFilter ref="Z2:AF65" xr:uid="{00000000-0009-0000-0000-00000B000000}">
    <sortState xmlns:xlrd2="http://schemas.microsoft.com/office/spreadsheetml/2017/richdata2" ref="Z3:AF65">
      <sortCondition ref="Z2:Z65"/>
    </sortState>
  </autoFilter>
  <mergeCells count="9">
    <mergeCell ref="A1:D1"/>
    <mergeCell ref="R1:U1"/>
    <mergeCell ref="AZ2:BD2"/>
    <mergeCell ref="AE1:AF1"/>
    <mergeCell ref="BH2:BL2"/>
    <mergeCell ref="AP1:AT1"/>
    <mergeCell ref="Z1:AC1"/>
    <mergeCell ref="I1:M1"/>
    <mergeCell ref="AH1:AK1"/>
  </mergeCells>
  <pageMargins left="0.7" right="0.7" top="0.75" bottom="0.75" header="0.3" footer="0.3"/>
  <pageSetup orientation="portrait" horizontalDpi="4294967293" verticalDpi="30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resultado"/>
  <dimension ref="A1:G3752"/>
  <sheetViews>
    <sheetView workbookViewId="0">
      <selection sqref="A1:G1"/>
    </sheetView>
  </sheetViews>
  <sheetFormatPr baseColWidth="10" defaultRowHeight="14.4" x14ac:dyDescent="0.3"/>
  <cols>
    <col min="1" max="1" width="11" customWidth="1"/>
    <col min="2" max="2" width="15" bestFit="1" customWidth="1"/>
    <col min="5" max="5" width="10.6640625" bestFit="1" customWidth="1"/>
    <col min="6" max="6" width="15.5546875" bestFit="1" customWidth="1"/>
  </cols>
  <sheetData>
    <row r="1" spans="1:7" x14ac:dyDescent="0.3">
      <c r="A1" s="286" t="s">
        <v>0</v>
      </c>
      <c r="B1" s="287" t="s">
        <v>668</v>
      </c>
      <c r="C1" s="288" t="s">
        <v>669</v>
      </c>
      <c r="D1" s="84"/>
      <c r="E1" s="290" t="s">
        <v>0</v>
      </c>
      <c r="F1" s="291" t="s">
        <v>670</v>
      </c>
      <c r="G1" s="292" t="s">
        <v>671</v>
      </c>
    </row>
    <row r="2" spans="1:7" x14ac:dyDescent="0.3">
      <c r="A2" s="80">
        <v>45752</v>
      </c>
      <c r="B2">
        <v>1011001</v>
      </c>
      <c r="C2">
        <v>0</v>
      </c>
      <c r="E2" s="80">
        <v>45752</v>
      </c>
      <c r="F2">
        <v>2010902</v>
      </c>
      <c r="G2">
        <v>68400</v>
      </c>
    </row>
    <row r="3" spans="1:7" x14ac:dyDescent="0.3">
      <c r="A3" s="80">
        <v>45749</v>
      </c>
      <c r="B3">
        <v>1011001</v>
      </c>
      <c r="C3">
        <v>0</v>
      </c>
      <c r="E3" s="80">
        <v>45749</v>
      </c>
      <c r="F3">
        <v>2010902</v>
      </c>
      <c r="G3">
        <v>198561</v>
      </c>
    </row>
    <row r="4" spans="1:7" x14ac:dyDescent="0.3">
      <c r="A4" s="80">
        <v>45748</v>
      </c>
      <c r="B4">
        <v>1011001</v>
      </c>
      <c r="C4">
        <v>0</v>
      </c>
      <c r="E4" s="80">
        <v>45748</v>
      </c>
      <c r="F4">
        <v>1010100</v>
      </c>
      <c r="G4">
        <v>460000</v>
      </c>
    </row>
    <row r="5" spans="1:7" x14ac:dyDescent="0.3">
      <c r="A5" s="80">
        <v>45748</v>
      </c>
      <c r="B5">
        <v>1011001</v>
      </c>
      <c r="C5">
        <v>0</v>
      </c>
      <c r="E5" s="80">
        <v>45748</v>
      </c>
      <c r="F5">
        <v>1010100</v>
      </c>
      <c r="G5">
        <v>13514</v>
      </c>
    </row>
    <row r="6" spans="1:7" x14ac:dyDescent="0.3">
      <c r="A6" s="80">
        <v>45744</v>
      </c>
      <c r="B6">
        <v>1011001</v>
      </c>
      <c r="C6">
        <v>0</v>
      </c>
      <c r="E6" s="80">
        <v>45744</v>
      </c>
      <c r="F6">
        <v>1010100</v>
      </c>
      <c r="G6">
        <v>63523</v>
      </c>
    </row>
    <row r="7" spans="1:7" x14ac:dyDescent="0.3">
      <c r="A7" s="80">
        <v>45743</v>
      </c>
      <c r="B7">
        <v>1011001</v>
      </c>
      <c r="C7">
        <v>0</v>
      </c>
      <c r="E7" s="80">
        <v>45743</v>
      </c>
      <c r="F7">
        <v>1010100</v>
      </c>
      <c r="G7">
        <v>396100</v>
      </c>
    </row>
    <row r="8" spans="1:7" x14ac:dyDescent="0.3">
      <c r="A8" s="80">
        <v>45742</v>
      </c>
      <c r="B8">
        <v>1011001</v>
      </c>
      <c r="C8">
        <v>0</v>
      </c>
      <c r="E8" s="80">
        <v>45742</v>
      </c>
      <c r="F8">
        <v>1010100</v>
      </c>
      <c r="G8">
        <v>23198</v>
      </c>
    </row>
    <row r="9" spans="1:7" x14ac:dyDescent="0.3">
      <c r="A9" s="80">
        <v>45741</v>
      </c>
      <c r="B9">
        <v>1011001</v>
      </c>
      <c r="C9">
        <v>0</v>
      </c>
      <c r="E9" s="80">
        <v>45741</v>
      </c>
      <c r="F9">
        <v>1010100</v>
      </c>
      <c r="G9">
        <v>450</v>
      </c>
    </row>
    <row r="10" spans="1:7" x14ac:dyDescent="0.3">
      <c r="A10" s="80">
        <v>45740</v>
      </c>
      <c r="B10">
        <v>1011001</v>
      </c>
      <c r="C10">
        <v>0</v>
      </c>
      <c r="E10" s="80">
        <v>45740</v>
      </c>
      <c r="F10">
        <v>1010100</v>
      </c>
      <c r="G10">
        <v>1052344</v>
      </c>
    </row>
    <row r="11" spans="1:7" x14ac:dyDescent="0.3">
      <c r="A11" s="80">
        <v>45735</v>
      </c>
      <c r="B11">
        <v>1011001</v>
      </c>
      <c r="C11">
        <v>0</v>
      </c>
      <c r="E11" s="80">
        <v>45735</v>
      </c>
      <c r="F11">
        <v>1010100</v>
      </c>
      <c r="G11">
        <v>63365</v>
      </c>
    </row>
    <row r="12" spans="1:7" x14ac:dyDescent="0.3">
      <c r="A12" s="80">
        <v>45733</v>
      </c>
      <c r="B12">
        <v>1011001</v>
      </c>
      <c r="C12">
        <v>68575</v>
      </c>
      <c r="E12" s="80">
        <v>45733</v>
      </c>
      <c r="F12">
        <v>2010902</v>
      </c>
      <c r="G12">
        <v>429496</v>
      </c>
    </row>
    <row r="13" spans="1:7" x14ac:dyDescent="0.3">
      <c r="A13" s="80">
        <v>45729</v>
      </c>
      <c r="B13">
        <v>1011001</v>
      </c>
      <c r="C13">
        <v>0</v>
      </c>
      <c r="E13" s="80">
        <v>45729</v>
      </c>
      <c r="F13">
        <v>1010100</v>
      </c>
      <c r="G13">
        <v>453</v>
      </c>
    </row>
    <row r="14" spans="1:7" x14ac:dyDescent="0.3">
      <c r="A14" s="80">
        <v>45728</v>
      </c>
      <c r="B14">
        <v>1011001</v>
      </c>
      <c r="C14">
        <v>0</v>
      </c>
      <c r="E14" s="80">
        <v>45728</v>
      </c>
      <c r="F14">
        <v>1010100</v>
      </c>
      <c r="G14">
        <v>455</v>
      </c>
    </row>
    <row r="15" spans="1:7" x14ac:dyDescent="0.3">
      <c r="A15" s="80">
        <v>45726</v>
      </c>
      <c r="B15">
        <v>1011001</v>
      </c>
      <c r="C15">
        <v>0</v>
      </c>
      <c r="E15" s="80">
        <v>45726</v>
      </c>
      <c r="F15">
        <v>1010100</v>
      </c>
      <c r="G15">
        <v>7481</v>
      </c>
    </row>
    <row r="16" spans="1:7" x14ac:dyDescent="0.3">
      <c r="A16" s="80">
        <v>45726</v>
      </c>
      <c r="B16">
        <v>1011001</v>
      </c>
      <c r="C16">
        <v>0</v>
      </c>
      <c r="E16" s="80">
        <v>45726</v>
      </c>
      <c r="F16">
        <v>1010100</v>
      </c>
      <c r="G16">
        <v>7481</v>
      </c>
    </row>
    <row r="17" spans="1:7" x14ac:dyDescent="0.3">
      <c r="A17" s="80">
        <v>45723</v>
      </c>
      <c r="B17">
        <v>1011001</v>
      </c>
      <c r="C17">
        <v>0</v>
      </c>
      <c r="E17" s="80">
        <v>45723</v>
      </c>
      <c r="F17">
        <v>1010100</v>
      </c>
      <c r="G17">
        <v>64631</v>
      </c>
    </row>
    <row r="18" spans="1:7" x14ac:dyDescent="0.3">
      <c r="A18" s="80">
        <v>45720</v>
      </c>
      <c r="B18">
        <v>1011001</v>
      </c>
      <c r="C18">
        <v>0</v>
      </c>
      <c r="E18" s="80">
        <v>45720</v>
      </c>
      <c r="F18">
        <v>1010100</v>
      </c>
      <c r="G18">
        <v>57546</v>
      </c>
    </row>
    <row r="19" spans="1:7" x14ac:dyDescent="0.3">
      <c r="A19" s="80">
        <v>45720</v>
      </c>
      <c r="B19">
        <v>1011001</v>
      </c>
      <c r="C19">
        <v>0</v>
      </c>
      <c r="E19" s="80">
        <v>45720</v>
      </c>
      <c r="F19">
        <v>1010100</v>
      </c>
      <c r="G19">
        <v>100000</v>
      </c>
    </row>
    <row r="20" spans="1:7" x14ac:dyDescent="0.3">
      <c r="A20" s="80">
        <v>45719</v>
      </c>
      <c r="B20">
        <v>2020502</v>
      </c>
      <c r="C20">
        <v>0</v>
      </c>
      <c r="E20" s="80">
        <v>45719</v>
      </c>
      <c r="F20">
        <v>1010100</v>
      </c>
      <c r="G20">
        <v>500</v>
      </c>
    </row>
    <row r="21" spans="1:7" x14ac:dyDescent="0.3">
      <c r="A21" s="80">
        <v>45719</v>
      </c>
      <c r="B21">
        <v>1011001</v>
      </c>
      <c r="C21">
        <v>0</v>
      </c>
      <c r="E21" s="80">
        <v>45719</v>
      </c>
      <c r="F21">
        <v>1010100</v>
      </c>
      <c r="G21">
        <v>460000</v>
      </c>
    </row>
    <row r="22" spans="1:7" x14ac:dyDescent="0.3">
      <c r="A22" s="80">
        <v>45719</v>
      </c>
      <c r="B22">
        <v>1011001</v>
      </c>
      <c r="C22">
        <v>0</v>
      </c>
      <c r="E22" s="80">
        <v>45719</v>
      </c>
      <c r="F22">
        <v>1010100</v>
      </c>
      <c r="G22">
        <v>13416</v>
      </c>
    </row>
    <row r="23" spans="1:7" x14ac:dyDescent="0.3">
      <c r="A23" s="80">
        <v>45717</v>
      </c>
      <c r="B23">
        <v>2020502</v>
      </c>
      <c r="C23">
        <v>0</v>
      </c>
      <c r="E23" s="80">
        <v>45717</v>
      </c>
      <c r="F23">
        <v>1010100</v>
      </c>
      <c r="G23">
        <v>57992</v>
      </c>
    </row>
    <row r="24" spans="1:7" x14ac:dyDescent="0.3">
      <c r="A24" s="80">
        <v>45716</v>
      </c>
      <c r="B24">
        <v>1011001</v>
      </c>
      <c r="C24">
        <v>0</v>
      </c>
      <c r="E24" s="80">
        <v>45716</v>
      </c>
      <c r="F24">
        <v>1010100</v>
      </c>
      <c r="G24">
        <v>463</v>
      </c>
    </row>
    <row r="25" spans="1:7" x14ac:dyDescent="0.3">
      <c r="A25" s="80">
        <v>45714</v>
      </c>
      <c r="B25">
        <v>1011001</v>
      </c>
      <c r="C25">
        <v>0</v>
      </c>
      <c r="E25" s="80">
        <v>45714</v>
      </c>
      <c r="F25">
        <v>1010100</v>
      </c>
      <c r="G25">
        <v>1833916</v>
      </c>
    </row>
    <row r="26" spans="1:7" x14ac:dyDescent="0.3">
      <c r="A26" s="80">
        <v>45712</v>
      </c>
      <c r="B26">
        <v>1011001</v>
      </c>
      <c r="C26">
        <v>0</v>
      </c>
      <c r="E26" s="80">
        <v>45712</v>
      </c>
      <c r="F26">
        <v>1010100</v>
      </c>
      <c r="G26">
        <v>63545</v>
      </c>
    </row>
    <row r="27" spans="1:7" x14ac:dyDescent="0.3">
      <c r="A27" s="80">
        <v>45711</v>
      </c>
      <c r="B27">
        <v>1011001</v>
      </c>
      <c r="C27">
        <v>0</v>
      </c>
      <c r="E27" s="80">
        <v>45711</v>
      </c>
      <c r="F27">
        <v>2010902</v>
      </c>
      <c r="G27">
        <v>501000</v>
      </c>
    </row>
    <row r="28" spans="1:7" x14ac:dyDescent="0.3">
      <c r="A28" s="80">
        <v>45708</v>
      </c>
      <c r="B28">
        <v>1011001</v>
      </c>
      <c r="C28">
        <v>0</v>
      </c>
      <c r="E28" s="80">
        <v>45708</v>
      </c>
      <c r="F28">
        <v>1010100</v>
      </c>
      <c r="G28">
        <v>463</v>
      </c>
    </row>
    <row r="29" spans="1:7" x14ac:dyDescent="0.3">
      <c r="A29" s="80">
        <v>45705</v>
      </c>
      <c r="B29">
        <v>2020502</v>
      </c>
      <c r="C29">
        <v>0</v>
      </c>
      <c r="E29" s="80">
        <v>45705</v>
      </c>
      <c r="F29">
        <v>1010100</v>
      </c>
      <c r="G29">
        <v>233</v>
      </c>
    </row>
    <row r="30" spans="1:7" x14ac:dyDescent="0.3">
      <c r="A30" s="80">
        <v>45705</v>
      </c>
      <c r="B30">
        <v>2020502</v>
      </c>
      <c r="C30">
        <v>0</v>
      </c>
      <c r="E30" s="80">
        <v>45705</v>
      </c>
      <c r="F30">
        <v>1010100</v>
      </c>
      <c r="G30">
        <v>10</v>
      </c>
    </row>
    <row r="31" spans="1:7" x14ac:dyDescent="0.3">
      <c r="A31" s="80">
        <v>45705</v>
      </c>
      <c r="B31">
        <v>1011001</v>
      </c>
      <c r="C31">
        <v>0</v>
      </c>
      <c r="E31" s="80">
        <v>45705</v>
      </c>
      <c r="F31">
        <v>1010100</v>
      </c>
      <c r="G31">
        <v>63632</v>
      </c>
    </row>
    <row r="32" spans="1:7" x14ac:dyDescent="0.3">
      <c r="A32" s="80">
        <v>45701</v>
      </c>
      <c r="B32">
        <v>1011001</v>
      </c>
      <c r="C32">
        <v>0</v>
      </c>
      <c r="E32" s="80">
        <v>45701</v>
      </c>
      <c r="F32">
        <v>1010100</v>
      </c>
      <c r="G32">
        <v>945</v>
      </c>
    </row>
    <row r="33" spans="1:7" x14ac:dyDescent="0.3">
      <c r="A33" s="80">
        <v>45699</v>
      </c>
      <c r="B33">
        <v>1011001</v>
      </c>
      <c r="C33">
        <v>0</v>
      </c>
      <c r="E33" s="80">
        <v>45699</v>
      </c>
      <c r="F33">
        <v>1010100</v>
      </c>
      <c r="G33">
        <v>2807993</v>
      </c>
    </row>
    <row r="34" spans="1:7" x14ac:dyDescent="0.3">
      <c r="A34" s="80">
        <v>45698</v>
      </c>
      <c r="B34">
        <v>1011001</v>
      </c>
      <c r="C34">
        <v>0</v>
      </c>
      <c r="E34" s="80">
        <v>45698</v>
      </c>
      <c r="F34">
        <v>2020502</v>
      </c>
      <c r="G34">
        <v>1589071</v>
      </c>
    </row>
    <row r="35" spans="1:7" x14ac:dyDescent="0.3">
      <c r="A35" s="80">
        <v>45698</v>
      </c>
      <c r="B35">
        <v>1011001</v>
      </c>
      <c r="C35">
        <v>0</v>
      </c>
      <c r="E35" s="80">
        <v>45698</v>
      </c>
      <c r="F35">
        <v>1010100</v>
      </c>
      <c r="G35">
        <v>4895</v>
      </c>
    </row>
    <row r="36" spans="1:7" x14ac:dyDescent="0.3">
      <c r="A36" s="80">
        <v>45698</v>
      </c>
      <c r="B36">
        <v>1011001</v>
      </c>
      <c r="C36">
        <v>0</v>
      </c>
      <c r="E36" s="80">
        <v>45698</v>
      </c>
      <c r="F36">
        <v>1010100</v>
      </c>
      <c r="G36">
        <v>56569</v>
      </c>
    </row>
    <row r="37" spans="1:7" x14ac:dyDescent="0.3">
      <c r="A37" s="80">
        <v>45698</v>
      </c>
      <c r="B37">
        <v>1011001</v>
      </c>
      <c r="C37">
        <v>0</v>
      </c>
      <c r="E37" s="80">
        <v>45698</v>
      </c>
      <c r="F37">
        <v>1010100</v>
      </c>
      <c r="G37">
        <v>1031203</v>
      </c>
    </row>
    <row r="38" spans="1:7" x14ac:dyDescent="0.3">
      <c r="A38" s="80">
        <v>45695</v>
      </c>
      <c r="B38">
        <v>1011001</v>
      </c>
      <c r="C38">
        <v>0</v>
      </c>
      <c r="E38" s="80">
        <v>45695</v>
      </c>
      <c r="F38">
        <v>1010100</v>
      </c>
      <c r="G38">
        <v>3000000</v>
      </c>
    </row>
    <row r="39" spans="1:7" x14ac:dyDescent="0.3">
      <c r="A39" s="80">
        <v>45695</v>
      </c>
      <c r="B39">
        <v>1011001</v>
      </c>
      <c r="C39">
        <v>0</v>
      </c>
      <c r="E39" s="80">
        <v>45695</v>
      </c>
      <c r="F39">
        <v>1010100</v>
      </c>
      <c r="G39">
        <v>1000000</v>
      </c>
    </row>
    <row r="40" spans="1:7" x14ac:dyDescent="0.3">
      <c r="A40" s="80">
        <v>45695</v>
      </c>
      <c r="B40">
        <v>1011001</v>
      </c>
      <c r="C40">
        <v>0</v>
      </c>
      <c r="E40" s="80">
        <v>45695</v>
      </c>
      <c r="F40">
        <v>1010100</v>
      </c>
      <c r="G40">
        <v>6000000</v>
      </c>
    </row>
    <row r="41" spans="1:7" x14ac:dyDescent="0.3">
      <c r="A41" s="80">
        <v>45694</v>
      </c>
      <c r="B41">
        <v>1011001</v>
      </c>
      <c r="C41">
        <v>0</v>
      </c>
      <c r="E41" s="80">
        <v>45694</v>
      </c>
      <c r="F41">
        <v>1010100</v>
      </c>
      <c r="G41">
        <v>460000</v>
      </c>
    </row>
    <row r="42" spans="1:7" x14ac:dyDescent="0.3">
      <c r="A42" s="80">
        <v>45693</v>
      </c>
      <c r="B42">
        <v>1011001</v>
      </c>
      <c r="C42">
        <v>0</v>
      </c>
      <c r="E42" s="80">
        <v>45693</v>
      </c>
      <c r="F42">
        <v>1010100</v>
      </c>
      <c r="G42">
        <v>125000</v>
      </c>
    </row>
    <row r="43" spans="1:7" x14ac:dyDescent="0.3">
      <c r="A43" s="80">
        <v>45692</v>
      </c>
      <c r="B43">
        <v>1011001</v>
      </c>
      <c r="C43">
        <v>0</v>
      </c>
      <c r="E43" s="80">
        <v>45692</v>
      </c>
      <c r="F43">
        <v>2020502</v>
      </c>
      <c r="G43">
        <v>500000</v>
      </c>
    </row>
    <row r="44" spans="1:7" x14ac:dyDescent="0.3">
      <c r="A44" s="80">
        <v>45691</v>
      </c>
      <c r="B44">
        <v>1011001</v>
      </c>
      <c r="C44">
        <v>0</v>
      </c>
      <c r="E44" s="80">
        <v>45691</v>
      </c>
      <c r="F44">
        <v>1010100</v>
      </c>
      <c r="G44">
        <v>13534</v>
      </c>
    </row>
    <row r="45" spans="1:7" x14ac:dyDescent="0.3">
      <c r="A45" s="80">
        <v>45686</v>
      </c>
      <c r="B45">
        <v>1011001</v>
      </c>
      <c r="C45">
        <v>445776</v>
      </c>
      <c r="E45" s="80">
        <v>45686</v>
      </c>
      <c r="F45">
        <v>1010100</v>
      </c>
      <c r="G45">
        <v>2791965</v>
      </c>
    </row>
    <row r="46" spans="1:7" x14ac:dyDescent="0.3">
      <c r="A46" s="80">
        <v>45684</v>
      </c>
      <c r="B46">
        <v>1011001</v>
      </c>
      <c r="C46">
        <v>0</v>
      </c>
      <c r="E46" s="80">
        <v>45684</v>
      </c>
      <c r="F46">
        <v>2020502</v>
      </c>
      <c r="G46">
        <v>500000</v>
      </c>
    </row>
    <row r="47" spans="1:7" x14ac:dyDescent="0.3">
      <c r="A47" s="80">
        <v>45684</v>
      </c>
      <c r="B47">
        <v>1011001</v>
      </c>
      <c r="C47">
        <v>0</v>
      </c>
      <c r="E47" s="80">
        <v>45684</v>
      </c>
      <c r="F47">
        <v>2020502</v>
      </c>
      <c r="G47">
        <v>199920</v>
      </c>
    </row>
    <row r="48" spans="1:7" x14ac:dyDescent="0.3">
      <c r="A48" s="80">
        <v>45684</v>
      </c>
      <c r="B48">
        <v>1011001</v>
      </c>
      <c r="C48">
        <v>0</v>
      </c>
      <c r="E48" s="80">
        <v>45684</v>
      </c>
      <c r="F48">
        <v>2020502</v>
      </c>
      <c r="G48">
        <v>19002</v>
      </c>
    </row>
    <row r="49" spans="1:7" x14ac:dyDescent="0.3">
      <c r="A49" s="80">
        <v>45684</v>
      </c>
      <c r="B49">
        <v>1011001</v>
      </c>
      <c r="C49">
        <v>0</v>
      </c>
      <c r="E49" s="80">
        <v>45684</v>
      </c>
      <c r="F49">
        <v>1010100</v>
      </c>
      <c r="G49">
        <v>63420</v>
      </c>
    </row>
    <row r="50" spans="1:7" x14ac:dyDescent="0.3">
      <c r="A50" s="80">
        <v>45679</v>
      </c>
      <c r="B50">
        <v>1011001</v>
      </c>
      <c r="C50">
        <v>0</v>
      </c>
      <c r="E50" s="80">
        <v>45679</v>
      </c>
      <c r="F50">
        <v>1010100</v>
      </c>
      <c r="G50">
        <v>1037544</v>
      </c>
    </row>
    <row r="51" spans="1:7" x14ac:dyDescent="0.3">
      <c r="A51" s="80">
        <v>45678</v>
      </c>
      <c r="B51">
        <v>1011001</v>
      </c>
      <c r="C51">
        <v>0</v>
      </c>
      <c r="E51" s="80">
        <v>45678</v>
      </c>
      <c r="F51">
        <v>2020502</v>
      </c>
      <c r="G51">
        <v>106532</v>
      </c>
    </row>
    <row r="52" spans="1:7" x14ac:dyDescent="0.3">
      <c r="A52" s="80">
        <v>45678</v>
      </c>
      <c r="B52">
        <v>1011001</v>
      </c>
      <c r="C52">
        <v>0</v>
      </c>
      <c r="E52" s="80">
        <v>45678</v>
      </c>
      <c r="F52">
        <v>2020502</v>
      </c>
      <c r="G52">
        <v>40000</v>
      </c>
    </row>
    <row r="53" spans="1:7" x14ac:dyDescent="0.3">
      <c r="A53" s="80">
        <v>45678</v>
      </c>
      <c r="B53">
        <v>1011001</v>
      </c>
      <c r="C53">
        <v>0</v>
      </c>
      <c r="E53" s="80">
        <v>45678</v>
      </c>
      <c r="F53">
        <v>2020502</v>
      </c>
      <c r="G53">
        <v>41102</v>
      </c>
    </row>
    <row r="54" spans="1:7" x14ac:dyDescent="0.3">
      <c r="A54" s="80">
        <v>45678</v>
      </c>
      <c r="B54">
        <v>1011001</v>
      </c>
      <c r="C54">
        <v>0</v>
      </c>
      <c r="E54" s="80">
        <v>45678</v>
      </c>
      <c r="F54">
        <v>1010100</v>
      </c>
      <c r="G54">
        <v>11525</v>
      </c>
    </row>
    <row r="55" spans="1:7" x14ac:dyDescent="0.3">
      <c r="A55" s="80">
        <v>45674</v>
      </c>
      <c r="B55">
        <v>1011001</v>
      </c>
      <c r="C55">
        <v>0</v>
      </c>
      <c r="E55" s="80">
        <v>45674</v>
      </c>
      <c r="F55">
        <v>1010100</v>
      </c>
      <c r="G55">
        <v>57078</v>
      </c>
    </row>
    <row r="56" spans="1:7" x14ac:dyDescent="0.3">
      <c r="A56" s="80">
        <v>45673</v>
      </c>
      <c r="B56">
        <v>1011001</v>
      </c>
      <c r="C56">
        <v>0</v>
      </c>
      <c r="E56" s="80">
        <v>45673</v>
      </c>
      <c r="F56">
        <v>2020502</v>
      </c>
      <c r="G56">
        <v>500000</v>
      </c>
    </row>
    <row r="57" spans="1:7" x14ac:dyDescent="0.3">
      <c r="A57" s="80">
        <v>45673</v>
      </c>
      <c r="B57">
        <v>1011001</v>
      </c>
      <c r="C57">
        <v>0</v>
      </c>
      <c r="E57" s="80">
        <v>45673</v>
      </c>
      <c r="F57">
        <v>1010100</v>
      </c>
      <c r="G57">
        <v>12384</v>
      </c>
    </row>
    <row r="58" spans="1:7" x14ac:dyDescent="0.3">
      <c r="A58" s="80">
        <v>45665</v>
      </c>
      <c r="B58">
        <v>1011001</v>
      </c>
      <c r="C58">
        <v>0</v>
      </c>
      <c r="E58" s="80">
        <v>45665</v>
      </c>
      <c r="F58">
        <v>2020502</v>
      </c>
      <c r="G58">
        <v>67000</v>
      </c>
    </row>
    <row r="59" spans="1:7" x14ac:dyDescent="0.3">
      <c r="A59" s="80">
        <v>45665</v>
      </c>
      <c r="B59">
        <v>1011001</v>
      </c>
      <c r="C59">
        <v>0</v>
      </c>
      <c r="E59" s="80">
        <v>45665</v>
      </c>
      <c r="F59">
        <v>2020502</v>
      </c>
      <c r="G59">
        <v>60000</v>
      </c>
    </row>
    <row r="60" spans="1:7" x14ac:dyDescent="0.3">
      <c r="A60" s="80">
        <v>45665</v>
      </c>
      <c r="B60">
        <v>1011001</v>
      </c>
      <c r="C60">
        <v>0</v>
      </c>
      <c r="E60" s="80">
        <v>45665</v>
      </c>
      <c r="F60">
        <v>2020502</v>
      </c>
      <c r="G60">
        <v>911830</v>
      </c>
    </row>
    <row r="61" spans="1:7" x14ac:dyDescent="0.3">
      <c r="A61" s="80">
        <v>45665</v>
      </c>
      <c r="B61">
        <v>1011001</v>
      </c>
      <c r="C61">
        <v>0</v>
      </c>
      <c r="E61" s="80">
        <v>45665</v>
      </c>
      <c r="F61">
        <v>1010100</v>
      </c>
      <c r="G61">
        <v>7916</v>
      </c>
    </row>
    <row r="62" spans="1:7" x14ac:dyDescent="0.3">
      <c r="A62" s="80">
        <v>45665</v>
      </c>
      <c r="B62">
        <v>1011001</v>
      </c>
      <c r="C62">
        <v>0</v>
      </c>
      <c r="E62" s="80">
        <v>45665</v>
      </c>
      <c r="F62">
        <v>1010100</v>
      </c>
      <c r="G62">
        <v>16345</v>
      </c>
    </row>
    <row r="63" spans="1:7" x14ac:dyDescent="0.3">
      <c r="A63" s="80">
        <v>45664</v>
      </c>
      <c r="B63">
        <v>1011001</v>
      </c>
      <c r="C63">
        <v>0</v>
      </c>
      <c r="E63" s="80">
        <v>45664</v>
      </c>
      <c r="F63">
        <v>2020502</v>
      </c>
      <c r="G63">
        <v>180000</v>
      </c>
    </row>
    <row r="64" spans="1:7" x14ac:dyDescent="0.3">
      <c r="A64" s="80">
        <v>45663</v>
      </c>
      <c r="B64">
        <v>1011001</v>
      </c>
      <c r="C64">
        <v>0</v>
      </c>
      <c r="E64" s="80">
        <v>45663</v>
      </c>
      <c r="F64">
        <v>2020502</v>
      </c>
      <c r="G64">
        <v>150000</v>
      </c>
    </row>
    <row r="65" spans="1:7" x14ac:dyDescent="0.3">
      <c r="A65" s="80">
        <v>45663</v>
      </c>
      <c r="B65">
        <v>1011001</v>
      </c>
      <c r="C65">
        <v>0</v>
      </c>
      <c r="E65" s="80">
        <v>45663</v>
      </c>
      <c r="F65">
        <v>2020502</v>
      </c>
      <c r="G65">
        <v>350000</v>
      </c>
    </row>
    <row r="66" spans="1:7" x14ac:dyDescent="0.3">
      <c r="A66" s="80">
        <v>45663</v>
      </c>
      <c r="B66">
        <v>1011001</v>
      </c>
      <c r="C66">
        <v>0</v>
      </c>
      <c r="E66" s="80">
        <v>45663</v>
      </c>
      <c r="F66">
        <v>1010100</v>
      </c>
      <c r="G66">
        <v>51447</v>
      </c>
    </row>
    <row r="67" spans="1:7" x14ac:dyDescent="0.3">
      <c r="A67" s="80">
        <v>45659</v>
      </c>
      <c r="B67">
        <v>1011001</v>
      </c>
      <c r="C67">
        <v>0</v>
      </c>
      <c r="E67" s="80">
        <v>45659</v>
      </c>
      <c r="F67">
        <v>1010100</v>
      </c>
      <c r="G67">
        <v>486</v>
      </c>
    </row>
    <row r="68" spans="1:7" x14ac:dyDescent="0.3">
      <c r="A68" s="80">
        <v>45659</v>
      </c>
      <c r="B68">
        <v>1011001</v>
      </c>
      <c r="C68">
        <v>0</v>
      </c>
      <c r="E68" s="80">
        <v>45659</v>
      </c>
      <c r="F68">
        <v>1010100</v>
      </c>
      <c r="G68">
        <v>47634</v>
      </c>
    </row>
    <row r="69" spans="1:7" x14ac:dyDescent="0.3">
      <c r="A69" s="80">
        <v>45659</v>
      </c>
      <c r="B69">
        <v>1011001</v>
      </c>
      <c r="C69">
        <v>0</v>
      </c>
      <c r="E69" s="80">
        <v>45659</v>
      </c>
      <c r="F69">
        <v>1010100</v>
      </c>
      <c r="G69">
        <v>9145</v>
      </c>
    </row>
    <row r="70" spans="1:7" x14ac:dyDescent="0.3">
      <c r="A70" s="80">
        <v>45752</v>
      </c>
      <c r="B70">
        <v>3010201</v>
      </c>
      <c r="C70">
        <v>68400</v>
      </c>
      <c r="E70" s="80">
        <v>45660</v>
      </c>
      <c r="F70">
        <v>1010100</v>
      </c>
      <c r="G70">
        <v>1188055.8600000001</v>
      </c>
    </row>
    <row r="71" spans="1:7" x14ac:dyDescent="0.3">
      <c r="A71" s="80">
        <v>45749</v>
      </c>
      <c r="B71">
        <v>3010205</v>
      </c>
      <c r="C71">
        <v>198561</v>
      </c>
      <c r="E71" s="80">
        <v>45663</v>
      </c>
      <c r="F71">
        <v>1010100</v>
      </c>
      <c r="G71">
        <v>100000</v>
      </c>
    </row>
    <row r="72" spans="1:7" x14ac:dyDescent="0.3">
      <c r="A72" s="80">
        <v>45748</v>
      </c>
      <c r="B72">
        <v>1010600</v>
      </c>
      <c r="C72">
        <v>460000</v>
      </c>
      <c r="E72" s="80">
        <v>45691</v>
      </c>
      <c r="F72">
        <v>1010100</v>
      </c>
      <c r="G72">
        <v>1000000</v>
      </c>
    </row>
    <row r="73" spans="1:7" x14ac:dyDescent="0.3">
      <c r="A73" s="80">
        <v>45748</v>
      </c>
      <c r="B73">
        <v>3010205</v>
      </c>
      <c r="C73">
        <v>13514</v>
      </c>
      <c r="E73" s="80">
        <v>45740</v>
      </c>
      <c r="F73">
        <v>1010100</v>
      </c>
      <c r="G73">
        <v>1000000</v>
      </c>
    </row>
    <row r="74" spans="1:7" x14ac:dyDescent="0.3">
      <c r="A74" s="80">
        <v>45744</v>
      </c>
      <c r="B74">
        <v>3010205</v>
      </c>
      <c r="C74">
        <v>63523</v>
      </c>
      <c r="E74" s="80">
        <v>45748</v>
      </c>
      <c r="F74">
        <v>1010100</v>
      </c>
      <c r="G74">
        <v>125000</v>
      </c>
    </row>
    <row r="75" spans="1:7" x14ac:dyDescent="0.3">
      <c r="A75" s="80">
        <v>45743</v>
      </c>
      <c r="B75">
        <v>3010201</v>
      </c>
      <c r="C75">
        <v>396100</v>
      </c>
      <c r="E75" s="80">
        <v>45747</v>
      </c>
      <c r="F75">
        <v>1010600</v>
      </c>
      <c r="G75">
        <v>600000</v>
      </c>
    </row>
    <row r="76" spans="1:7" x14ac:dyDescent="0.3">
      <c r="A76" s="80">
        <v>45742</v>
      </c>
      <c r="B76">
        <v>3010201</v>
      </c>
      <c r="C76">
        <v>23198</v>
      </c>
      <c r="E76" s="80">
        <v>45716</v>
      </c>
      <c r="F76">
        <v>3010101</v>
      </c>
      <c r="G76">
        <v>1518350</v>
      </c>
    </row>
    <row r="77" spans="1:7" x14ac:dyDescent="0.3">
      <c r="A77" s="80">
        <v>45741</v>
      </c>
      <c r="B77">
        <v>3010201</v>
      </c>
      <c r="C77">
        <v>450</v>
      </c>
      <c r="E77" s="80">
        <v>45716</v>
      </c>
      <c r="F77">
        <v>3010101</v>
      </c>
      <c r="G77">
        <v>715284</v>
      </c>
    </row>
    <row r="78" spans="1:7" x14ac:dyDescent="0.3">
      <c r="A78" s="80">
        <v>45740</v>
      </c>
      <c r="B78">
        <v>3010211</v>
      </c>
      <c r="C78">
        <v>1052344</v>
      </c>
      <c r="E78" s="80">
        <v>45716</v>
      </c>
      <c r="F78">
        <v>1011001</v>
      </c>
      <c r="G78">
        <v>2012779</v>
      </c>
    </row>
    <row r="79" spans="1:7" x14ac:dyDescent="0.3">
      <c r="A79" s="80">
        <v>45735</v>
      </c>
      <c r="B79">
        <v>3010205</v>
      </c>
      <c r="C79">
        <v>63365</v>
      </c>
      <c r="E79" s="80">
        <v>45703</v>
      </c>
      <c r="F79">
        <v>3010201</v>
      </c>
      <c r="G79">
        <v>1031203</v>
      </c>
    </row>
    <row r="80" spans="1:7" x14ac:dyDescent="0.3">
      <c r="A80" s="80">
        <v>45733</v>
      </c>
      <c r="B80">
        <v>3010205</v>
      </c>
      <c r="C80">
        <v>360921</v>
      </c>
      <c r="E80" s="80">
        <v>45703</v>
      </c>
      <c r="F80">
        <v>1011100</v>
      </c>
      <c r="G80">
        <v>11339602</v>
      </c>
    </row>
    <row r="81" spans="1:7" x14ac:dyDescent="0.3">
      <c r="A81" s="80">
        <v>45729</v>
      </c>
      <c r="B81">
        <v>3010201</v>
      </c>
      <c r="C81">
        <v>453</v>
      </c>
      <c r="E81" s="80">
        <v>45698</v>
      </c>
      <c r="F81">
        <v>3010201</v>
      </c>
      <c r="G81">
        <v>1589071</v>
      </c>
    </row>
    <row r="82" spans="1:7" x14ac:dyDescent="0.3">
      <c r="A82" s="80">
        <v>45728</v>
      </c>
      <c r="B82">
        <v>3010201</v>
      </c>
      <c r="C82">
        <v>455</v>
      </c>
      <c r="E82" s="80">
        <v>45693</v>
      </c>
      <c r="F82">
        <v>1010503</v>
      </c>
      <c r="G82">
        <v>7703260</v>
      </c>
    </row>
    <row r="83" spans="1:7" x14ac:dyDescent="0.3">
      <c r="A83" s="80">
        <v>45726</v>
      </c>
      <c r="B83">
        <v>3010205</v>
      </c>
      <c r="C83">
        <v>7481</v>
      </c>
      <c r="E83" s="80">
        <v>45690</v>
      </c>
      <c r="F83">
        <v>3010201</v>
      </c>
      <c r="G83">
        <v>180000</v>
      </c>
    </row>
    <row r="84" spans="1:7" x14ac:dyDescent="0.3">
      <c r="A84" s="80">
        <v>45726</v>
      </c>
      <c r="B84">
        <v>3010205</v>
      </c>
      <c r="C84">
        <v>7481</v>
      </c>
      <c r="E84" s="80">
        <v>45690</v>
      </c>
      <c r="F84">
        <v>3010201</v>
      </c>
      <c r="G84">
        <v>911830</v>
      </c>
    </row>
    <row r="85" spans="1:7" x14ac:dyDescent="0.3">
      <c r="A85" s="80">
        <v>45723</v>
      </c>
      <c r="B85">
        <v>3010205</v>
      </c>
      <c r="C85">
        <v>64631</v>
      </c>
      <c r="E85" s="80">
        <v>45688</v>
      </c>
      <c r="F85">
        <v>3010101</v>
      </c>
      <c r="G85">
        <v>2818645</v>
      </c>
    </row>
    <row r="86" spans="1:7" x14ac:dyDescent="0.3">
      <c r="A86" s="80">
        <v>45720</v>
      </c>
      <c r="B86">
        <v>2020503</v>
      </c>
      <c r="C86">
        <v>57546</v>
      </c>
      <c r="E86" s="80">
        <v>45688</v>
      </c>
      <c r="F86">
        <v>1010100</v>
      </c>
      <c r="G86">
        <v>7703260</v>
      </c>
    </row>
    <row r="87" spans="1:7" x14ac:dyDescent="0.3">
      <c r="A87" s="80">
        <v>45720</v>
      </c>
      <c r="B87">
        <v>3010300</v>
      </c>
      <c r="C87">
        <v>100000</v>
      </c>
      <c r="E87" s="80">
        <v>45679</v>
      </c>
      <c r="F87">
        <v>3010201</v>
      </c>
      <c r="G87">
        <v>1037544</v>
      </c>
    </row>
    <row r="88" spans="1:7" x14ac:dyDescent="0.3">
      <c r="A88" s="80">
        <v>45719</v>
      </c>
      <c r="B88">
        <v>3010205</v>
      </c>
      <c r="C88">
        <v>500</v>
      </c>
      <c r="E88" s="80">
        <v>45679</v>
      </c>
      <c r="F88">
        <v>1010100</v>
      </c>
      <c r="G88">
        <v>1144076</v>
      </c>
    </row>
    <row r="89" spans="1:7" x14ac:dyDescent="0.3">
      <c r="A89" s="80">
        <v>45719</v>
      </c>
      <c r="B89">
        <v>1010600</v>
      </c>
      <c r="C89">
        <v>460000</v>
      </c>
      <c r="E89" s="80">
        <v>45678</v>
      </c>
      <c r="F89">
        <v>1010100</v>
      </c>
      <c r="G89">
        <v>708102</v>
      </c>
    </row>
    <row r="90" spans="1:7" x14ac:dyDescent="0.3">
      <c r="A90" s="80">
        <v>45719</v>
      </c>
      <c r="B90">
        <v>3010205</v>
      </c>
      <c r="C90">
        <v>13416</v>
      </c>
      <c r="E90" s="80">
        <v>45677</v>
      </c>
      <c r="F90">
        <v>1010100</v>
      </c>
      <c r="G90">
        <v>308560</v>
      </c>
    </row>
    <row r="91" spans="1:7" x14ac:dyDescent="0.3">
      <c r="A91" s="80">
        <v>45717</v>
      </c>
      <c r="B91">
        <v>3010205</v>
      </c>
      <c r="C91">
        <v>57992</v>
      </c>
      <c r="E91" s="80">
        <v>45672</v>
      </c>
      <c r="F91">
        <v>1010501</v>
      </c>
      <c r="G91">
        <v>6718491</v>
      </c>
    </row>
    <row r="92" spans="1:7" x14ac:dyDescent="0.3">
      <c r="A92" s="80">
        <v>45716</v>
      </c>
      <c r="B92">
        <v>3010201</v>
      </c>
      <c r="C92">
        <v>463</v>
      </c>
      <c r="E92" s="80">
        <v>45666</v>
      </c>
      <c r="F92">
        <v>1010100</v>
      </c>
      <c r="G92">
        <v>1091830</v>
      </c>
    </row>
    <row r="93" spans="1:7" x14ac:dyDescent="0.3">
      <c r="A93" s="80">
        <v>45714</v>
      </c>
      <c r="B93">
        <v>3010211</v>
      </c>
      <c r="C93">
        <v>1833916</v>
      </c>
      <c r="E93" s="80">
        <v>45663</v>
      </c>
      <c r="F93">
        <v>1010100</v>
      </c>
      <c r="G93">
        <v>1200000</v>
      </c>
    </row>
    <row r="94" spans="1:7" x14ac:dyDescent="0.3">
      <c r="A94" s="80">
        <v>45712</v>
      </c>
      <c r="B94">
        <v>3010205</v>
      </c>
      <c r="C94">
        <v>63545</v>
      </c>
      <c r="E94" s="80">
        <v>45663</v>
      </c>
      <c r="F94">
        <v>1010100</v>
      </c>
      <c r="G94">
        <v>460950</v>
      </c>
    </row>
    <row r="95" spans="1:7" x14ac:dyDescent="0.3">
      <c r="A95" s="80">
        <v>45711</v>
      </c>
      <c r="B95">
        <v>3010205</v>
      </c>
      <c r="C95">
        <v>501000</v>
      </c>
      <c r="E95" s="80">
        <v>45660</v>
      </c>
      <c r="F95">
        <v>1010100</v>
      </c>
      <c r="G95">
        <v>1000000</v>
      </c>
    </row>
    <row r="96" spans="1:7" x14ac:dyDescent="0.3">
      <c r="A96" s="80">
        <v>45708</v>
      </c>
      <c r="B96">
        <v>3010201</v>
      </c>
      <c r="C96">
        <v>463</v>
      </c>
      <c r="E96" s="80">
        <v>45703</v>
      </c>
      <c r="F96">
        <v>1010100</v>
      </c>
      <c r="G96">
        <v>9975000</v>
      </c>
    </row>
    <row r="97" spans="1:7" x14ac:dyDescent="0.3">
      <c r="A97" s="80">
        <v>45705</v>
      </c>
      <c r="B97">
        <v>3010205</v>
      </c>
      <c r="C97">
        <v>233</v>
      </c>
      <c r="E97" s="80">
        <v>45703</v>
      </c>
      <c r="F97">
        <v>1010100</v>
      </c>
      <c r="G97">
        <v>0</v>
      </c>
    </row>
    <row r="98" spans="1:7" x14ac:dyDescent="0.3">
      <c r="A98" s="80">
        <v>45705</v>
      </c>
      <c r="B98">
        <v>3010205</v>
      </c>
      <c r="C98">
        <v>10</v>
      </c>
      <c r="E98" s="80">
        <v>45690</v>
      </c>
      <c r="F98">
        <v>1010100</v>
      </c>
      <c r="G98">
        <v>4384500</v>
      </c>
    </row>
    <row r="99" spans="1:7" x14ac:dyDescent="0.3">
      <c r="A99" s="80">
        <v>45705</v>
      </c>
      <c r="B99">
        <v>3010205</v>
      </c>
      <c r="C99">
        <v>63632</v>
      </c>
      <c r="E99" s="80">
        <v>45660</v>
      </c>
      <c r="F99">
        <v>2011200</v>
      </c>
      <c r="G99">
        <v>154380.14000000001</v>
      </c>
    </row>
    <row r="100" spans="1:7" x14ac:dyDescent="0.3">
      <c r="A100" s="80">
        <v>45701</v>
      </c>
      <c r="B100">
        <v>3010201</v>
      </c>
      <c r="C100">
        <v>945</v>
      </c>
      <c r="E100" s="80">
        <v>45663</v>
      </c>
      <c r="F100">
        <v>2011200</v>
      </c>
      <c r="G100">
        <v>0</v>
      </c>
    </row>
    <row r="101" spans="1:7" x14ac:dyDescent="0.3">
      <c r="A101" s="80">
        <v>45699</v>
      </c>
      <c r="B101">
        <v>2020502</v>
      </c>
      <c r="C101">
        <v>2807993</v>
      </c>
      <c r="E101" s="80">
        <v>45691</v>
      </c>
      <c r="F101">
        <v>2011200</v>
      </c>
      <c r="G101">
        <v>0</v>
      </c>
    </row>
    <row r="102" spans="1:7" x14ac:dyDescent="0.3">
      <c r="A102" s="80">
        <v>45698</v>
      </c>
      <c r="B102">
        <v>3010201</v>
      </c>
      <c r="C102">
        <v>1589071</v>
      </c>
      <c r="E102" s="80">
        <v>45740</v>
      </c>
      <c r="F102">
        <v>2011200</v>
      </c>
      <c r="G102">
        <v>0</v>
      </c>
    </row>
    <row r="103" spans="1:7" x14ac:dyDescent="0.3">
      <c r="A103" s="80">
        <v>45698</v>
      </c>
      <c r="B103">
        <v>3010205</v>
      </c>
      <c r="C103">
        <v>4895</v>
      </c>
      <c r="E103" s="80">
        <v>45748</v>
      </c>
      <c r="F103">
        <v>2011200</v>
      </c>
      <c r="G103">
        <v>0</v>
      </c>
    </row>
    <row r="104" spans="1:7" x14ac:dyDescent="0.3">
      <c r="A104" s="80">
        <v>45698</v>
      </c>
      <c r="B104">
        <v>3010205</v>
      </c>
      <c r="C104">
        <v>56569</v>
      </c>
      <c r="E104" s="80">
        <v>45658</v>
      </c>
      <c r="F104">
        <v>1010100</v>
      </c>
      <c r="G104">
        <v>0</v>
      </c>
    </row>
    <row r="105" spans="1:7" x14ac:dyDescent="0.3">
      <c r="A105" s="80">
        <v>45698</v>
      </c>
      <c r="B105">
        <v>3010201</v>
      </c>
      <c r="C105">
        <v>1031203</v>
      </c>
      <c r="E105" s="80">
        <v>45658</v>
      </c>
      <c r="F105">
        <v>1010501</v>
      </c>
      <c r="G105">
        <v>0</v>
      </c>
    </row>
    <row r="106" spans="1:7" x14ac:dyDescent="0.3">
      <c r="A106" s="80">
        <v>45695</v>
      </c>
      <c r="B106">
        <v>2030800</v>
      </c>
      <c r="C106">
        <v>3000000</v>
      </c>
      <c r="E106" s="80">
        <v>45658</v>
      </c>
      <c r="F106">
        <v>1010900</v>
      </c>
      <c r="G106">
        <v>0</v>
      </c>
    </row>
    <row r="107" spans="1:7" x14ac:dyDescent="0.3">
      <c r="A107" s="80">
        <v>45695</v>
      </c>
      <c r="B107">
        <v>2020503</v>
      </c>
      <c r="C107">
        <v>1000000</v>
      </c>
      <c r="E107" s="80">
        <v>45658</v>
      </c>
      <c r="F107">
        <v>1011001</v>
      </c>
      <c r="G107">
        <v>0</v>
      </c>
    </row>
    <row r="108" spans="1:7" x14ac:dyDescent="0.3">
      <c r="A108" s="80">
        <v>45695</v>
      </c>
      <c r="B108">
        <v>2030800</v>
      </c>
      <c r="C108">
        <v>6000000</v>
      </c>
      <c r="E108" s="80">
        <v>45658</v>
      </c>
      <c r="F108">
        <v>1011100</v>
      </c>
      <c r="G108">
        <v>0</v>
      </c>
    </row>
    <row r="109" spans="1:7" x14ac:dyDescent="0.3">
      <c r="A109" s="80">
        <v>45694</v>
      </c>
      <c r="B109">
        <v>3010201</v>
      </c>
      <c r="C109">
        <v>460000</v>
      </c>
      <c r="E109" s="80">
        <v>45658</v>
      </c>
      <c r="F109">
        <v>1011501</v>
      </c>
      <c r="G109">
        <v>0</v>
      </c>
    </row>
    <row r="110" spans="1:7" x14ac:dyDescent="0.3">
      <c r="A110" s="80">
        <v>45693</v>
      </c>
      <c r="B110">
        <v>3010300</v>
      </c>
      <c r="C110">
        <v>125000</v>
      </c>
      <c r="E110" s="80">
        <v>45658</v>
      </c>
      <c r="F110">
        <v>1031000</v>
      </c>
      <c r="G110">
        <v>0</v>
      </c>
    </row>
    <row r="111" spans="1:7" x14ac:dyDescent="0.3">
      <c r="A111" s="80">
        <v>45692</v>
      </c>
      <c r="B111">
        <v>3010205</v>
      </c>
      <c r="C111">
        <v>500000</v>
      </c>
      <c r="E111" s="80">
        <v>45658</v>
      </c>
      <c r="F111">
        <v>2010902</v>
      </c>
      <c r="G111">
        <v>85083</v>
      </c>
    </row>
    <row r="112" spans="1:7" x14ac:dyDescent="0.3">
      <c r="A112" s="80">
        <v>45691</v>
      </c>
      <c r="B112">
        <v>3010205</v>
      </c>
      <c r="C112">
        <v>13534</v>
      </c>
      <c r="E112" s="80">
        <v>45658</v>
      </c>
      <c r="F112">
        <v>2011200</v>
      </c>
      <c r="G112">
        <v>53338</v>
      </c>
    </row>
    <row r="113" spans="1:7" x14ac:dyDescent="0.3">
      <c r="A113" s="80">
        <v>45686</v>
      </c>
      <c r="B113">
        <v>3010211</v>
      </c>
      <c r="C113">
        <v>2346189</v>
      </c>
      <c r="E113" s="80">
        <v>45658</v>
      </c>
      <c r="F113">
        <v>2011310</v>
      </c>
      <c r="G113">
        <v>1033978</v>
      </c>
    </row>
    <row r="114" spans="1:7" x14ac:dyDescent="0.3">
      <c r="A114" s="80">
        <v>45684</v>
      </c>
      <c r="B114">
        <v>3010205</v>
      </c>
      <c r="C114">
        <v>500000</v>
      </c>
      <c r="E114" s="80">
        <v>45658</v>
      </c>
      <c r="F114">
        <v>2020502</v>
      </c>
      <c r="G114">
        <v>3432582</v>
      </c>
    </row>
    <row r="115" spans="1:7" x14ac:dyDescent="0.3">
      <c r="A115" s="80">
        <v>45684</v>
      </c>
      <c r="B115">
        <v>3010201</v>
      </c>
      <c r="C115">
        <v>199920</v>
      </c>
      <c r="E115" s="80">
        <v>45658</v>
      </c>
      <c r="F115">
        <v>2020503</v>
      </c>
      <c r="G115">
        <v>10694576</v>
      </c>
    </row>
    <row r="116" spans="1:7" x14ac:dyDescent="0.3">
      <c r="A116" s="80">
        <v>45684</v>
      </c>
      <c r="B116">
        <v>3010201</v>
      </c>
      <c r="C116">
        <v>19002</v>
      </c>
      <c r="E116" s="80">
        <v>45658</v>
      </c>
      <c r="F116">
        <v>2030100</v>
      </c>
      <c r="G116">
        <v>3000000</v>
      </c>
    </row>
    <row r="117" spans="1:7" x14ac:dyDescent="0.3">
      <c r="A117" s="80">
        <v>45684</v>
      </c>
      <c r="B117">
        <v>3010205</v>
      </c>
      <c r="C117">
        <v>63420</v>
      </c>
      <c r="E117" s="80">
        <v>45658</v>
      </c>
      <c r="F117">
        <v>2030600</v>
      </c>
      <c r="G117">
        <v>16115566</v>
      </c>
    </row>
    <row r="118" spans="1:7" x14ac:dyDescent="0.3">
      <c r="A118" s="80">
        <v>45679</v>
      </c>
      <c r="B118">
        <v>3010201</v>
      </c>
      <c r="C118">
        <v>1037544</v>
      </c>
      <c r="E118" s="80">
        <v>45752</v>
      </c>
      <c r="F118">
        <v>1010900</v>
      </c>
      <c r="G118">
        <v>12630</v>
      </c>
    </row>
    <row r="119" spans="1:7" x14ac:dyDescent="0.3">
      <c r="A119" s="80">
        <v>45678</v>
      </c>
      <c r="B119">
        <v>3010201</v>
      </c>
      <c r="C119">
        <v>106532</v>
      </c>
      <c r="E119" s="80">
        <v>45752</v>
      </c>
      <c r="F119">
        <v>1010900</v>
      </c>
      <c r="G119">
        <v>8769</v>
      </c>
    </row>
    <row r="120" spans="1:7" x14ac:dyDescent="0.3">
      <c r="A120" s="80">
        <v>45678</v>
      </c>
      <c r="B120">
        <v>3010201</v>
      </c>
      <c r="C120">
        <v>40000</v>
      </c>
      <c r="E120" s="80">
        <v>45752</v>
      </c>
      <c r="F120">
        <v>1010900</v>
      </c>
      <c r="G120">
        <v>5000</v>
      </c>
    </row>
    <row r="121" spans="1:7" x14ac:dyDescent="0.3">
      <c r="A121" s="80">
        <v>45678</v>
      </c>
      <c r="B121">
        <v>3010205</v>
      </c>
      <c r="C121">
        <v>41102</v>
      </c>
      <c r="E121" s="80">
        <v>45752</v>
      </c>
      <c r="F121">
        <v>1010900</v>
      </c>
      <c r="G121">
        <v>5000</v>
      </c>
    </row>
    <row r="122" spans="1:7" x14ac:dyDescent="0.3">
      <c r="A122" s="80">
        <v>45678</v>
      </c>
      <c r="B122">
        <v>3010201</v>
      </c>
      <c r="C122">
        <v>11525</v>
      </c>
      <c r="E122" s="80">
        <v>45752</v>
      </c>
      <c r="F122">
        <v>1010900</v>
      </c>
      <c r="G122">
        <v>12630</v>
      </c>
    </row>
    <row r="123" spans="1:7" x14ac:dyDescent="0.3">
      <c r="A123" s="80">
        <v>45674</v>
      </c>
      <c r="B123">
        <v>3010205</v>
      </c>
      <c r="C123">
        <v>57078</v>
      </c>
      <c r="E123" s="80">
        <v>45752</v>
      </c>
      <c r="F123">
        <v>1010900</v>
      </c>
      <c r="G123">
        <v>5000</v>
      </c>
    </row>
    <row r="124" spans="1:7" x14ac:dyDescent="0.3">
      <c r="A124" s="80">
        <v>45673</v>
      </c>
      <c r="B124">
        <v>3010205</v>
      </c>
      <c r="C124">
        <v>500000</v>
      </c>
      <c r="E124" s="80">
        <v>45751</v>
      </c>
      <c r="F124">
        <v>1010900</v>
      </c>
      <c r="G124">
        <v>2630</v>
      </c>
    </row>
    <row r="125" spans="1:7" x14ac:dyDescent="0.3">
      <c r="A125" s="80">
        <v>45673</v>
      </c>
      <c r="B125">
        <v>3010201</v>
      </c>
      <c r="C125">
        <v>12384</v>
      </c>
      <c r="E125" s="80">
        <v>45751</v>
      </c>
      <c r="F125">
        <v>1010900</v>
      </c>
      <c r="G125">
        <v>2630</v>
      </c>
    </row>
    <row r="126" spans="1:7" x14ac:dyDescent="0.3">
      <c r="A126" s="80">
        <v>45665</v>
      </c>
      <c r="B126">
        <v>3010201</v>
      </c>
      <c r="C126">
        <v>67000</v>
      </c>
      <c r="E126" s="80">
        <v>45751</v>
      </c>
      <c r="F126">
        <v>1010900</v>
      </c>
      <c r="G126">
        <v>5000</v>
      </c>
    </row>
    <row r="127" spans="1:7" x14ac:dyDescent="0.3">
      <c r="A127" s="80">
        <v>45665</v>
      </c>
      <c r="B127">
        <v>3010201</v>
      </c>
      <c r="C127">
        <v>60000</v>
      </c>
      <c r="E127" s="80">
        <v>45751</v>
      </c>
      <c r="F127">
        <v>1010900</v>
      </c>
      <c r="G127">
        <v>5000</v>
      </c>
    </row>
    <row r="128" spans="1:7" x14ac:dyDescent="0.3">
      <c r="A128" s="80">
        <v>45665</v>
      </c>
      <c r="B128">
        <v>3010201</v>
      </c>
      <c r="C128">
        <v>911830</v>
      </c>
      <c r="E128" s="80">
        <v>45751</v>
      </c>
      <c r="F128">
        <v>1010900</v>
      </c>
      <c r="G128">
        <v>5000</v>
      </c>
    </row>
    <row r="129" spans="1:7" x14ac:dyDescent="0.3">
      <c r="A129" s="80">
        <v>45665</v>
      </c>
      <c r="B129">
        <v>3010205</v>
      </c>
      <c r="C129">
        <v>7916</v>
      </c>
      <c r="E129" s="80">
        <v>45751</v>
      </c>
      <c r="F129">
        <v>1010900</v>
      </c>
      <c r="G129">
        <v>5000</v>
      </c>
    </row>
    <row r="130" spans="1:7" x14ac:dyDescent="0.3">
      <c r="A130" s="80">
        <v>45665</v>
      </c>
      <c r="B130">
        <v>3010205</v>
      </c>
      <c r="C130">
        <v>16345</v>
      </c>
      <c r="E130" s="80">
        <v>45751</v>
      </c>
      <c r="F130">
        <v>1010900</v>
      </c>
      <c r="G130">
        <v>5000</v>
      </c>
    </row>
    <row r="131" spans="1:7" x14ac:dyDescent="0.3">
      <c r="A131" s="80">
        <v>45664</v>
      </c>
      <c r="B131">
        <v>3010201</v>
      </c>
      <c r="C131">
        <v>180000</v>
      </c>
      <c r="E131" s="80">
        <v>45751</v>
      </c>
      <c r="F131">
        <v>1010900</v>
      </c>
      <c r="G131">
        <v>5000</v>
      </c>
    </row>
    <row r="132" spans="1:7" x14ac:dyDescent="0.3">
      <c r="A132" s="80">
        <v>45663</v>
      </c>
      <c r="B132">
        <v>3010205</v>
      </c>
      <c r="C132">
        <v>150000</v>
      </c>
      <c r="E132" s="80">
        <v>45751</v>
      </c>
      <c r="F132">
        <v>1010900</v>
      </c>
      <c r="G132">
        <v>5000</v>
      </c>
    </row>
    <row r="133" spans="1:7" x14ac:dyDescent="0.3">
      <c r="A133" s="80">
        <v>45663</v>
      </c>
      <c r="B133">
        <v>3010205</v>
      </c>
      <c r="C133">
        <v>350000</v>
      </c>
      <c r="E133" s="80">
        <v>45750</v>
      </c>
      <c r="F133">
        <v>1010900</v>
      </c>
      <c r="G133">
        <v>5000</v>
      </c>
    </row>
    <row r="134" spans="1:7" x14ac:dyDescent="0.3">
      <c r="A134" s="80">
        <v>45663</v>
      </c>
      <c r="B134">
        <v>3010205</v>
      </c>
      <c r="C134">
        <v>51447</v>
      </c>
      <c r="E134" s="80">
        <v>45750</v>
      </c>
      <c r="F134">
        <v>1010900</v>
      </c>
      <c r="G134">
        <v>12630</v>
      </c>
    </row>
    <row r="135" spans="1:7" x14ac:dyDescent="0.3">
      <c r="A135" s="80">
        <v>45659</v>
      </c>
      <c r="B135">
        <v>3010201</v>
      </c>
      <c r="C135">
        <v>486</v>
      </c>
      <c r="E135" s="80">
        <v>45750</v>
      </c>
      <c r="F135">
        <v>1010900</v>
      </c>
      <c r="G135">
        <v>5000</v>
      </c>
    </row>
    <row r="136" spans="1:7" x14ac:dyDescent="0.3">
      <c r="A136" s="80">
        <v>45659</v>
      </c>
      <c r="B136">
        <v>3010205</v>
      </c>
      <c r="C136">
        <v>47634</v>
      </c>
      <c r="E136" s="80">
        <v>45750</v>
      </c>
      <c r="F136">
        <v>1010900</v>
      </c>
      <c r="G136">
        <v>5000</v>
      </c>
    </row>
    <row r="137" spans="1:7" x14ac:dyDescent="0.3">
      <c r="A137" s="80">
        <v>45659</v>
      </c>
      <c r="B137">
        <v>3010205</v>
      </c>
      <c r="C137">
        <v>9145</v>
      </c>
      <c r="E137" s="80">
        <v>45750</v>
      </c>
      <c r="F137">
        <v>1010900</v>
      </c>
      <c r="G137">
        <v>5000</v>
      </c>
    </row>
    <row r="138" spans="1:7" x14ac:dyDescent="0.3">
      <c r="A138" s="80">
        <v>45660</v>
      </c>
      <c r="B138">
        <v>3010300</v>
      </c>
      <c r="C138">
        <v>1342436</v>
      </c>
      <c r="E138" s="80">
        <v>45750</v>
      </c>
      <c r="F138">
        <v>1010900</v>
      </c>
      <c r="G138">
        <v>5000</v>
      </c>
    </row>
    <row r="139" spans="1:7" x14ac:dyDescent="0.3">
      <c r="A139" s="80">
        <v>45663</v>
      </c>
      <c r="B139">
        <v>3010300</v>
      </c>
      <c r="C139">
        <v>100000</v>
      </c>
      <c r="E139" s="80">
        <v>45749</v>
      </c>
      <c r="F139">
        <v>1010900</v>
      </c>
      <c r="G139">
        <v>5000</v>
      </c>
    </row>
    <row r="140" spans="1:7" x14ac:dyDescent="0.3">
      <c r="A140" s="80">
        <v>45691</v>
      </c>
      <c r="B140">
        <v>3010300</v>
      </c>
      <c r="C140">
        <v>1000000</v>
      </c>
      <c r="E140" s="80">
        <v>45749</v>
      </c>
      <c r="F140">
        <v>1010900</v>
      </c>
      <c r="G140">
        <v>5000</v>
      </c>
    </row>
    <row r="141" spans="1:7" x14ac:dyDescent="0.3">
      <c r="A141" s="80">
        <v>45740</v>
      </c>
      <c r="B141">
        <v>3010300</v>
      </c>
      <c r="C141">
        <v>1000000</v>
      </c>
      <c r="E141" s="80">
        <v>45749</v>
      </c>
      <c r="F141">
        <v>1010900</v>
      </c>
      <c r="G141">
        <v>5000</v>
      </c>
    </row>
    <row r="142" spans="1:7" x14ac:dyDescent="0.3">
      <c r="A142" s="80">
        <v>45748</v>
      </c>
      <c r="B142">
        <v>3010300</v>
      </c>
      <c r="C142">
        <v>125000</v>
      </c>
      <c r="E142" s="80">
        <v>45749</v>
      </c>
      <c r="F142">
        <v>1010900</v>
      </c>
      <c r="G142">
        <v>5000</v>
      </c>
    </row>
    <row r="143" spans="1:7" x14ac:dyDescent="0.3">
      <c r="A143" s="80">
        <v>45747</v>
      </c>
      <c r="B143">
        <v>2011310</v>
      </c>
      <c r="C143">
        <v>600000</v>
      </c>
      <c r="E143" s="80">
        <v>45749</v>
      </c>
      <c r="F143">
        <v>1010900</v>
      </c>
      <c r="G143">
        <v>5000</v>
      </c>
    </row>
    <row r="144" spans="1:7" x14ac:dyDescent="0.3">
      <c r="A144" s="80">
        <v>45716</v>
      </c>
      <c r="B144">
        <v>1010100</v>
      </c>
      <c r="C144">
        <v>1518350</v>
      </c>
      <c r="E144" s="80">
        <v>45749</v>
      </c>
      <c r="F144">
        <v>1010900</v>
      </c>
      <c r="G144">
        <v>5000</v>
      </c>
    </row>
    <row r="145" spans="1:7" x14ac:dyDescent="0.3">
      <c r="A145" s="80">
        <v>45716</v>
      </c>
      <c r="B145">
        <v>2011310</v>
      </c>
      <c r="C145">
        <v>715284</v>
      </c>
      <c r="E145" s="80">
        <v>45749</v>
      </c>
      <c r="F145">
        <v>1010900</v>
      </c>
      <c r="G145">
        <v>12630</v>
      </c>
    </row>
    <row r="146" spans="1:7" x14ac:dyDescent="0.3">
      <c r="A146" s="80">
        <v>45716</v>
      </c>
      <c r="B146">
        <v>1010100</v>
      </c>
      <c r="C146">
        <v>2012779</v>
      </c>
      <c r="E146" s="80">
        <v>45748</v>
      </c>
      <c r="F146">
        <v>1010900</v>
      </c>
      <c r="G146">
        <v>5000</v>
      </c>
    </row>
    <row r="147" spans="1:7" x14ac:dyDescent="0.3">
      <c r="A147" s="80">
        <v>45703</v>
      </c>
      <c r="B147">
        <v>1010100</v>
      </c>
      <c r="C147">
        <v>1031203</v>
      </c>
      <c r="E147" s="80">
        <v>45748</v>
      </c>
      <c r="F147">
        <v>1010900</v>
      </c>
      <c r="G147">
        <v>5000</v>
      </c>
    </row>
    <row r="148" spans="1:7" x14ac:dyDescent="0.3">
      <c r="A148" s="80">
        <v>45703</v>
      </c>
      <c r="B148">
        <v>1010100</v>
      </c>
      <c r="C148">
        <v>11339602</v>
      </c>
      <c r="E148" s="80">
        <v>45748</v>
      </c>
      <c r="F148">
        <v>1010900</v>
      </c>
      <c r="G148">
        <v>8769</v>
      </c>
    </row>
    <row r="149" spans="1:7" x14ac:dyDescent="0.3">
      <c r="A149" s="80">
        <v>45698</v>
      </c>
      <c r="B149">
        <v>1011001</v>
      </c>
      <c r="C149">
        <v>1589071</v>
      </c>
      <c r="E149" s="80">
        <v>45747</v>
      </c>
      <c r="F149">
        <v>1010900</v>
      </c>
      <c r="G149">
        <v>5000</v>
      </c>
    </row>
    <row r="150" spans="1:7" x14ac:dyDescent="0.3">
      <c r="A150" s="80">
        <v>45693</v>
      </c>
      <c r="B150">
        <v>1010100</v>
      </c>
      <c r="C150">
        <v>7703260</v>
      </c>
      <c r="E150" s="80">
        <v>45747</v>
      </c>
      <c r="F150">
        <v>1010900</v>
      </c>
      <c r="G150">
        <v>5000</v>
      </c>
    </row>
    <row r="151" spans="1:7" x14ac:dyDescent="0.3">
      <c r="A151" s="80">
        <v>45690</v>
      </c>
      <c r="B151">
        <v>1010100</v>
      </c>
      <c r="C151">
        <v>180000</v>
      </c>
      <c r="E151" s="80">
        <v>45747</v>
      </c>
      <c r="F151">
        <v>1010900</v>
      </c>
      <c r="G151">
        <v>5000</v>
      </c>
    </row>
    <row r="152" spans="1:7" x14ac:dyDescent="0.3">
      <c r="A152" s="80">
        <v>45690</v>
      </c>
      <c r="B152">
        <v>1010100</v>
      </c>
      <c r="C152">
        <v>911830</v>
      </c>
      <c r="E152" s="80">
        <v>45747</v>
      </c>
      <c r="F152">
        <v>1010900</v>
      </c>
      <c r="G152">
        <v>5000</v>
      </c>
    </row>
    <row r="153" spans="1:7" x14ac:dyDescent="0.3">
      <c r="A153" s="80">
        <v>45688</v>
      </c>
      <c r="B153">
        <v>2011310</v>
      </c>
      <c r="C153">
        <v>2818645</v>
      </c>
      <c r="E153" s="80">
        <v>45747</v>
      </c>
      <c r="F153">
        <v>1010900</v>
      </c>
      <c r="G153">
        <v>5000</v>
      </c>
    </row>
    <row r="154" spans="1:7" x14ac:dyDescent="0.3">
      <c r="A154" s="80">
        <v>45688</v>
      </c>
      <c r="B154">
        <v>1010503</v>
      </c>
      <c r="C154">
        <v>7703260</v>
      </c>
      <c r="E154" s="80">
        <v>45747</v>
      </c>
      <c r="F154">
        <v>1010900</v>
      </c>
      <c r="G154">
        <v>5000</v>
      </c>
    </row>
    <row r="155" spans="1:7" x14ac:dyDescent="0.3">
      <c r="A155" s="80">
        <v>45679</v>
      </c>
      <c r="B155">
        <v>1011001</v>
      </c>
      <c r="C155">
        <v>1037544</v>
      </c>
      <c r="E155" s="80">
        <v>45747</v>
      </c>
      <c r="F155">
        <v>1010900</v>
      </c>
      <c r="G155">
        <v>5000</v>
      </c>
    </row>
    <row r="156" spans="1:7" x14ac:dyDescent="0.3">
      <c r="A156" s="80">
        <v>45679</v>
      </c>
      <c r="B156">
        <v>2020502</v>
      </c>
      <c r="C156">
        <v>1144076</v>
      </c>
      <c r="E156" s="80">
        <v>45747</v>
      </c>
      <c r="F156">
        <v>1010900</v>
      </c>
      <c r="G156">
        <v>5000</v>
      </c>
    </row>
    <row r="157" spans="1:7" x14ac:dyDescent="0.3">
      <c r="A157" s="80">
        <v>45678</v>
      </c>
      <c r="B157">
        <v>2020502</v>
      </c>
      <c r="C157">
        <v>708102</v>
      </c>
      <c r="E157" s="80">
        <v>45746</v>
      </c>
      <c r="F157">
        <v>1010900</v>
      </c>
      <c r="G157">
        <v>12630</v>
      </c>
    </row>
    <row r="158" spans="1:7" x14ac:dyDescent="0.3">
      <c r="A158" s="80">
        <v>45677</v>
      </c>
      <c r="B158">
        <v>1010600</v>
      </c>
      <c r="C158">
        <v>308560</v>
      </c>
      <c r="E158" s="80">
        <v>45746</v>
      </c>
      <c r="F158">
        <v>1010900</v>
      </c>
      <c r="G158">
        <v>5000</v>
      </c>
    </row>
    <row r="159" spans="1:7" x14ac:dyDescent="0.3">
      <c r="A159" s="80">
        <v>45672</v>
      </c>
      <c r="B159">
        <v>1010100</v>
      </c>
      <c r="C159">
        <v>6718491</v>
      </c>
      <c r="E159" s="80">
        <v>45746</v>
      </c>
      <c r="F159">
        <v>1010900</v>
      </c>
      <c r="G159">
        <v>5000</v>
      </c>
    </row>
    <row r="160" spans="1:7" x14ac:dyDescent="0.3">
      <c r="A160" s="80">
        <v>45666</v>
      </c>
      <c r="B160">
        <v>2020502</v>
      </c>
      <c r="C160">
        <v>1091830</v>
      </c>
      <c r="E160" s="80">
        <v>45746</v>
      </c>
      <c r="F160">
        <v>1010900</v>
      </c>
      <c r="G160">
        <v>5000</v>
      </c>
    </row>
    <row r="161" spans="1:7" x14ac:dyDescent="0.3">
      <c r="A161" s="80">
        <v>45663</v>
      </c>
      <c r="B161">
        <v>2020502</v>
      </c>
      <c r="C161">
        <v>1200000</v>
      </c>
      <c r="E161" s="80">
        <v>45746</v>
      </c>
      <c r="F161">
        <v>1010900</v>
      </c>
      <c r="G161">
        <v>12630</v>
      </c>
    </row>
    <row r="162" spans="1:7" x14ac:dyDescent="0.3">
      <c r="A162" s="80">
        <v>45663</v>
      </c>
      <c r="B162">
        <v>1010600</v>
      </c>
      <c r="C162">
        <v>460950</v>
      </c>
      <c r="E162" s="80">
        <v>45745</v>
      </c>
      <c r="F162">
        <v>1010900</v>
      </c>
      <c r="G162">
        <v>5000</v>
      </c>
    </row>
    <row r="163" spans="1:7" x14ac:dyDescent="0.3">
      <c r="A163" s="80">
        <v>45660</v>
      </c>
      <c r="B163">
        <v>2020502</v>
      </c>
      <c r="C163">
        <v>1000000</v>
      </c>
      <c r="E163" s="80">
        <v>45745</v>
      </c>
      <c r="F163">
        <v>1010900</v>
      </c>
      <c r="G163">
        <v>5000</v>
      </c>
    </row>
    <row r="164" spans="1:7" x14ac:dyDescent="0.3">
      <c r="A164" s="80">
        <v>45703</v>
      </c>
      <c r="B164">
        <v>1010900</v>
      </c>
      <c r="C164">
        <v>9975000</v>
      </c>
      <c r="E164" s="80">
        <v>45744</v>
      </c>
      <c r="F164">
        <v>1010900</v>
      </c>
      <c r="G164">
        <v>5000</v>
      </c>
    </row>
    <row r="165" spans="1:7" x14ac:dyDescent="0.3">
      <c r="A165" s="80">
        <v>45703</v>
      </c>
      <c r="B165">
        <v>1010900</v>
      </c>
      <c r="C165">
        <v>0</v>
      </c>
      <c r="E165" s="80">
        <v>45744</v>
      </c>
      <c r="F165">
        <v>1010900</v>
      </c>
      <c r="G165">
        <v>5000</v>
      </c>
    </row>
    <row r="166" spans="1:7" x14ac:dyDescent="0.3">
      <c r="A166" s="80">
        <v>45690</v>
      </c>
      <c r="B166">
        <v>1010900</v>
      </c>
      <c r="C166">
        <v>4384500</v>
      </c>
      <c r="E166" s="80">
        <v>45744</v>
      </c>
      <c r="F166">
        <v>1010900</v>
      </c>
      <c r="G166">
        <v>5000</v>
      </c>
    </row>
    <row r="167" spans="1:7" x14ac:dyDescent="0.3">
      <c r="A167" s="80">
        <v>45703</v>
      </c>
      <c r="B167">
        <v>1011001</v>
      </c>
      <c r="C167">
        <v>0</v>
      </c>
      <c r="E167" s="80">
        <v>45743</v>
      </c>
      <c r="F167">
        <v>1010900</v>
      </c>
      <c r="G167">
        <v>5000</v>
      </c>
    </row>
    <row r="168" spans="1:7" x14ac:dyDescent="0.3">
      <c r="A168" s="80">
        <v>45703</v>
      </c>
      <c r="B168">
        <v>1011001</v>
      </c>
      <c r="C168">
        <v>0</v>
      </c>
      <c r="E168" s="80">
        <v>45743</v>
      </c>
      <c r="F168">
        <v>1010900</v>
      </c>
      <c r="G168">
        <v>5000</v>
      </c>
    </row>
    <row r="169" spans="1:7" x14ac:dyDescent="0.3">
      <c r="A169" s="80">
        <v>45690</v>
      </c>
      <c r="B169">
        <v>1011001</v>
      </c>
      <c r="C169">
        <v>0</v>
      </c>
      <c r="E169" s="80">
        <v>45743</v>
      </c>
      <c r="F169">
        <v>1010900</v>
      </c>
      <c r="G169">
        <v>500</v>
      </c>
    </row>
    <row r="170" spans="1:7" x14ac:dyDescent="0.3">
      <c r="A170" s="80">
        <v>45658</v>
      </c>
      <c r="B170">
        <v>1010100</v>
      </c>
      <c r="C170">
        <v>2280166</v>
      </c>
      <c r="E170" s="80">
        <v>45743</v>
      </c>
      <c r="F170">
        <v>1010900</v>
      </c>
      <c r="G170">
        <v>8769</v>
      </c>
    </row>
    <row r="171" spans="1:7" x14ac:dyDescent="0.3">
      <c r="A171" s="80">
        <v>45658</v>
      </c>
      <c r="B171">
        <v>1010501</v>
      </c>
      <c r="C171">
        <v>6718491</v>
      </c>
      <c r="E171" s="80">
        <v>45743</v>
      </c>
      <c r="F171">
        <v>1010900</v>
      </c>
      <c r="G171">
        <v>5000</v>
      </c>
    </row>
    <row r="172" spans="1:7" x14ac:dyDescent="0.3">
      <c r="A172" s="80">
        <v>45658</v>
      </c>
      <c r="B172">
        <v>1010900</v>
      </c>
      <c r="C172">
        <v>8650020</v>
      </c>
      <c r="E172" s="80">
        <v>45743</v>
      </c>
      <c r="F172">
        <v>1010900</v>
      </c>
      <c r="G172">
        <v>5000</v>
      </c>
    </row>
    <row r="173" spans="1:7" x14ac:dyDescent="0.3">
      <c r="A173" s="80">
        <v>45658</v>
      </c>
      <c r="B173">
        <v>1011001</v>
      </c>
      <c r="C173">
        <v>1265880</v>
      </c>
      <c r="E173" s="80">
        <v>45743</v>
      </c>
      <c r="F173">
        <v>1010900</v>
      </c>
      <c r="G173">
        <v>5000</v>
      </c>
    </row>
    <row r="174" spans="1:7" x14ac:dyDescent="0.3">
      <c r="A174" s="80">
        <v>45658</v>
      </c>
      <c r="B174">
        <v>1011100</v>
      </c>
      <c r="C174">
        <v>11339602</v>
      </c>
      <c r="E174" s="80">
        <v>45740</v>
      </c>
      <c r="F174">
        <v>1010900</v>
      </c>
      <c r="G174">
        <v>12630</v>
      </c>
    </row>
    <row r="175" spans="1:7" x14ac:dyDescent="0.3">
      <c r="A175" s="80">
        <v>45658</v>
      </c>
      <c r="B175">
        <v>1011501</v>
      </c>
      <c r="C175">
        <v>3417</v>
      </c>
      <c r="E175" s="80">
        <v>45740</v>
      </c>
      <c r="F175">
        <v>1010900</v>
      </c>
      <c r="G175">
        <v>5000</v>
      </c>
    </row>
    <row r="176" spans="1:7" x14ac:dyDescent="0.3">
      <c r="A176" s="80">
        <v>45658</v>
      </c>
      <c r="B176">
        <v>1031000</v>
      </c>
      <c r="C176">
        <v>4157547</v>
      </c>
      <c r="E176" s="80">
        <v>45739</v>
      </c>
      <c r="F176">
        <v>1010900</v>
      </c>
      <c r="G176">
        <v>5000</v>
      </c>
    </row>
    <row r="177" spans="1:7" x14ac:dyDescent="0.3">
      <c r="A177" s="80">
        <v>45658</v>
      </c>
      <c r="B177">
        <v>2010902</v>
      </c>
      <c r="C177">
        <v>0</v>
      </c>
      <c r="E177" s="80">
        <v>45739</v>
      </c>
      <c r="F177">
        <v>1010900</v>
      </c>
      <c r="G177">
        <v>3000</v>
      </c>
    </row>
    <row r="178" spans="1:7" x14ac:dyDescent="0.3">
      <c r="A178" s="80">
        <v>45658</v>
      </c>
      <c r="B178">
        <v>2011200</v>
      </c>
      <c r="C178">
        <v>0</v>
      </c>
      <c r="E178" s="80">
        <v>45739</v>
      </c>
      <c r="F178">
        <v>1010900</v>
      </c>
      <c r="G178">
        <v>5000</v>
      </c>
    </row>
    <row r="179" spans="1:7" x14ac:dyDescent="0.3">
      <c r="A179" s="80">
        <v>45658</v>
      </c>
      <c r="B179">
        <v>2011310</v>
      </c>
      <c r="C179">
        <v>0</v>
      </c>
      <c r="E179" s="80">
        <v>45738</v>
      </c>
      <c r="F179">
        <v>1010900</v>
      </c>
      <c r="G179">
        <v>5000</v>
      </c>
    </row>
    <row r="180" spans="1:7" x14ac:dyDescent="0.3">
      <c r="A180" s="80">
        <v>45658</v>
      </c>
      <c r="B180">
        <v>2020502</v>
      </c>
      <c r="C180">
        <v>0</v>
      </c>
      <c r="E180" s="80">
        <v>45738</v>
      </c>
      <c r="F180">
        <v>1010900</v>
      </c>
      <c r="G180">
        <v>5000</v>
      </c>
    </row>
    <row r="181" spans="1:7" x14ac:dyDescent="0.3">
      <c r="A181" s="80">
        <v>45658</v>
      </c>
      <c r="B181">
        <v>2020503</v>
      </c>
      <c r="C181">
        <v>0</v>
      </c>
      <c r="E181" s="80">
        <v>45737</v>
      </c>
      <c r="F181">
        <v>1010900</v>
      </c>
      <c r="G181">
        <v>5000</v>
      </c>
    </row>
    <row r="182" spans="1:7" x14ac:dyDescent="0.3">
      <c r="A182" s="80">
        <v>45658</v>
      </c>
      <c r="B182">
        <v>2030100</v>
      </c>
      <c r="C182">
        <v>0</v>
      </c>
      <c r="E182" s="80">
        <v>45737</v>
      </c>
      <c r="F182">
        <v>1010900</v>
      </c>
      <c r="G182">
        <v>12630</v>
      </c>
    </row>
    <row r="183" spans="1:7" x14ac:dyDescent="0.3">
      <c r="A183" s="80">
        <v>45658</v>
      </c>
      <c r="B183">
        <v>2030600</v>
      </c>
      <c r="C183">
        <v>0</v>
      </c>
      <c r="E183" s="80">
        <v>45736</v>
      </c>
      <c r="F183">
        <v>1010900</v>
      </c>
      <c r="G183">
        <v>5000</v>
      </c>
    </row>
    <row r="184" spans="1:7" x14ac:dyDescent="0.3">
      <c r="A184" s="80">
        <v>45752</v>
      </c>
      <c r="B184">
        <v>1010100</v>
      </c>
      <c r="C184">
        <v>48990</v>
      </c>
      <c r="E184" s="80">
        <v>45736</v>
      </c>
      <c r="F184">
        <v>1010900</v>
      </c>
      <c r="G184">
        <v>5000</v>
      </c>
    </row>
    <row r="185" spans="1:7" x14ac:dyDescent="0.3">
      <c r="A185" s="80">
        <v>45752</v>
      </c>
      <c r="B185">
        <v>1010100</v>
      </c>
      <c r="C185">
        <v>20293</v>
      </c>
      <c r="E185" s="80">
        <v>45736</v>
      </c>
      <c r="F185">
        <v>1010900</v>
      </c>
      <c r="G185">
        <v>5000</v>
      </c>
    </row>
    <row r="186" spans="1:7" x14ac:dyDescent="0.3">
      <c r="A186" s="80">
        <v>45752</v>
      </c>
      <c r="B186">
        <v>1010100</v>
      </c>
      <c r="C186">
        <v>26392</v>
      </c>
      <c r="E186" s="80">
        <v>45736</v>
      </c>
      <c r="F186">
        <v>1010900</v>
      </c>
      <c r="G186">
        <v>5000</v>
      </c>
    </row>
    <row r="187" spans="1:7" x14ac:dyDescent="0.3">
      <c r="A187" s="80">
        <v>45752</v>
      </c>
      <c r="B187">
        <v>1010100</v>
      </c>
      <c r="C187">
        <v>23093</v>
      </c>
      <c r="E187" s="80">
        <v>45736</v>
      </c>
      <c r="F187">
        <v>1010900</v>
      </c>
      <c r="G187">
        <v>5000</v>
      </c>
    </row>
    <row r="188" spans="1:7" x14ac:dyDescent="0.3">
      <c r="A188" s="80">
        <v>45752</v>
      </c>
      <c r="B188">
        <v>1010100</v>
      </c>
      <c r="C188">
        <v>48990</v>
      </c>
      <c r="E188" s="80">
        <v>45735</v>
      </c>
      <c r="F188">
        <v>1010900</v>
      </c>
      <c r="G188">
        <v>5000</v>
      </c>
    </row>
    <row r="189" spans="1:7" x14ac:dyDescent="0.3">
      <c r="A189" s="80">
        <v>45752</v>
      </c>
      <c r="B189">
        <v>1010100</v>
      </c>
      <c r="C189">
        <v>23093</v>
      </c>
      <c r="E189" s="80">
        <v>45735</v>
      </c>
      <c r="F189">
        <v>1010900</v>
      </c>
      <c r="G189">
        <v>5000</v>
      </c>
    </row>
    <row r="190" spans="1:7" x14ac:dyDescent="0.3">
      <c r="A190" s="80">
        <v>45751</v>
      </c>
      <c r="B190">
        <v>1010100</v>
      </c>
      <c r="C190">
        <v>7992</v>
      </c>
      <c r="E190" s="80">
        <v>45735</v>
      </c>
      <c r="F190">
        <v>1010900</v>
      </c>
      <c r="G190">
        <v>5000</v>
      </c>
    </row>
    <row r="191" spans="1:7" x14ac:dyDescent="0.3">
      <c r="A191" s="80">
        <v>45751</v>
      </c>
      <c r="B191">
        <v>1010100</v>
      </c>
      <c r="C191">
        <v>7992</v>
      </c>
      <c r="E191" s="80">
        <v>45734</v>
      </c>
      <c r="F191">
        <v>1010900</v>
      </c>
      <c r="G191">
        <v>8769</v>
      </c>
    </row>
    <row r="192" spans="1:7" x14ac:dyDescent="0.3">
      <c r="A192" s="80">
        <v>45751</v>
      </c>
      <c r="B192">
        <v>1010100</v>
      </c>
      <c r="C192">
        <v>23093</v>
      </c>
      <c r="E192" s="80">
        <v>45734</v>
      </c>
      <c r="F192">
        <v>1010900</v>
      </c>
      <c r="G192">
        <v>5000</v>
      </c>
    </row>
    <row r="193" spans="1:7" x14ac:dyDescent="0.3">
      <c r="A193" s="80">
        <v>45751</v>
      </c>
      <c r="B193">
        <v>1010100</v>
      </c>
      <c r="C193">
        <v>23093</v>
      </c>
      <c r="E193" s="80">
        <v>45734</v>
      </c>
      <c r="F193">
        <v>1010900</v>
      </c>
      <c r="G193">
        <v>5000</v>
      </c>
    </row>
    <row r="194" spans="1:7" x14ac:dyDescent="0.3">
      <c r="A194" s="80">
        <v>45751</v>
      </c>
      <c r="B194">
        <v>1010100</v>
      </c>
      <c r="C194">
        <v>23093</v>
      </c>
      <c r="E194" s="80">
        <v>45734</v>
      </c>
      <c r="F194">
        <v>1010900</v>
      </c>
      <c r="G194">
        <v>5000</v>
      </c>
    </row>
    <row r="195" spans="1:7" x14ac:dyDescent="0.3">
      <c r="A195" s="80">
        <v>45751</v>
      </c>
      <c r="B195">
        <v>1010100</v>
      </c>
      <c r="C195">
        <v>23093</v>
      </c>
      <c r="E195" s="80">
        <v>45734</v>
      </c>
      <c r="F195">
        <v>1010900</v>
      </c>
      <c r="G195">
        <v>5000</v>
      </c>
    </row>
    <row r="196" spans="1:7" x14ac:dyDescent="0.3">
      <c r="A196" s="80">
        <v>45751</v>
      </c>
      <c r="B196">
        <v>1010100</v>
      </c>
      <c r="C196">
        <v>23093</v>
      </c>
      <c r="E196" s="80">
        <v>45733</v>
      </c>
      <c r="F196">
        <v>1010900</v>
      </c>
      <c r="G196">
        <v>5000</v>
      </c>
    </row>
    <row r="197" spans="1:7" x14ac:dyDescent="0.3">
      <c r="A197" s="80">
        <v>45751</v>
      </c>
      <c r="B197">
        <v>1010100</v>
      </c>
      <c r="C197">
        <v>23093</v>
      </c>
      <c r="E197" s="80">
        <v>45733</v>
      </c>
      <c r="F197">
        <v>1010900</v>
      </c>
      <c r="G197">
        <v>5000</v>
      </c>
    </row>
    <row r="198" spans="1:7" x14ac:dyDescent="0.3">
      <c r="A198" s="80">
        <v>45751</v>
      </c>
      <c r="B198">
        <v>1010100</v>
      </c>
      <c r="C198">
        <v>23093</v>
      </c>
      <c r="E198" s="80">
        <v>45733</v>
      </c>
      <c r="F198">
        <v>1010900</v>
      </c>
      <c r="G198">
        <v>5000</v>
      </c>
    </row>
    <row r="199" spans="1:7" x14ac:dyDescent="0.3">
      <c r="A199" s="80">
        <v>45750</v>
      </c>
      <c r="B199">
        <v>1010100</v>
      </c>
      <c r="C199">
        <v>23093</v>
      </c>
      <c r="E199" s="80">
        <v>45733</v>
      </c>
      <c r="F199">
        <v>1010900</v>
      </c>
      <c r="G199">
        <v>5000</v>
      </c>
    </row>
    <row r="200" spans="1:7" x14ac:dyDescent="0.3">
      <c r="A200" s="80">
        <v>45750</v>
      </c>
      <c r="B200">
        <v>1010100</v>
      </c>
      <c r="C200">
        <v>48990</v>
      </c>
      <c r="E200" s="80">
        <v>45733</v>
      </c>
      <c r="F200">
        <v>1010900</v>
      </c>
      <c r="G200">
        <v>5000</v>
      </c>
    </row>
    <row r="201" spans="1:7" x14ac:dyDescent="0.3">
      <c r="A201" s="80">
        <v>45750</v>
      </c>
      <c r="B201">
        <v>1010100</v>
      </c>
      <c r="C201">
        <v>29990</v>
      </c>
      <c r="E201" s="80">
        <v>45733</v>
      </c>
      <c r="F201">
        <v>1010900</v>
      </c>
      <c r="G201">
        <v>5000</v>
      </c>
    </row>
    <row r="202" spans="1:7" x14ac:dyDescent="0.3">
      <c r="A202" s="80">
        <v>45750</v>
      </c>
      <c r="B202">
        <v>1010100</v>
      </c>
      <c r="C202">
        <v>29990</v>
      </c>
      <c r="E202" s="80">
        <v>45733</v>
      </c>
      <c r="F202">
        <v>1010900</v>
      </c>
      <c r="G202">
        <v>5000</v>
      </c>
    </row>
    <row r="203" spans="1:7" x14ac:dyDescent="0.3">
      <c r="A203" s="80">
        <v>45750</v>
      </c>
      <c r="B203">
        <v>1010100</v>
      </c>
      <c r="C203">
        <v>23093</v>
      </c>
      <c r="E203" s="80">
        <v>45733</v>
      </c>
      <c r="F203">
        <v>1010900</v>
      </c>
      <c r="G203">
        <v>5000</v>
      </c>
    </row>
    <row r="204" spans="1:7" x14ac:dyDescent="0.3">
      <c r="A204" s="80">
        <v>45750</v>
      </c>
      <c r="B204">
        <v>1010100</v>
      </c>
      <c r="C204">
        <v>23093</v>
      </c>
      <c r="E204" s="80">
        <v>45732</v>
      </c>
      <c r="F204">
        <v>1010900</v>
      </c>
      <c r="G204">
        <v>5000</v>
      </c>
    </row>
    <row r="205" spans="1:7" x14ac:dyDescent="0.3">
      <c r="A205" s="80">
        <v>45749</v>
      </c>
      <c r="B205">
        <v>1010100</v>
      </c>
      <c r="C205">
        <v>23093</v>
      </c>
      <c r="E205" s="80">
        <v>45732</v>
      </c>
      <c r="F205">
        <v>1010900</v>
      </c>
      <c r="G205">
        <v>5000</v>
      </c>
    </row>
    <row r="206" spans="1:7" x14ac:dyDescent="0.3">
      <c r="A206" s="80">
        <v>45749</v>
      </c>
      <c r="B206">
        <v>1010100</v>
      </c>
      <c r="C206">
        <v>23093</v>
      </c>
      <c r="E206" s="80">
        <v>45731</v>
      </c>
      <c r="F206">
        <v>1010900</v>
      </c>
      <c r="G206">
        <v>5000</v>
      </c>
    </row>
    <row r="207" spans="1:7" x14ac:dyDescent="0.3">
      <c r="A207" s="80">
        <v>45749</v>
      </c>
      <c r="B207">
        <v>1010100</v>
      </c>
      <c r="C207">
        <v>23093</v>
      </c>
      <c r="E207" s="80">
        <v>45731</v>
      </c>
      <c r="F207">
        <v>1010900</v>
      </c>
      <c r="G207">
        <v>2630</v>
      </c>
    </row>
    <row r="208" spans="1:7" x14ac:dyDescent="0.3">
      <c r="A208" s="80">
        <v>45749</v>
      </c>
      <c r="B208">
        <v>1010100</v>
      </c>
      <c r="C208">
        <v>23093</v>
      </c>
      <c r="E208" s="80">
        <v>45731</v>
      </c>
      <c r="F208">
        <v>1010900</v>
      </c>
      <c r="G208">
        <v>5000</v>
      </c>
    </row>
    <row r="209" spans="1:7" x14ac:dyDescent="0.3">
      <c r="A209" s="80">
        <v>45749</v>
      </c>
      <c r="B209">
        <v>1010100</v>
      </c>
      <c r="C209">
        <v>23093</v>
      </c>
      <c r="E209" s="80">
        <v>45730</v>
      </c>
      <c r="F209">
        <v>1010900</v>
      </c>
      <c r="G209">
        <v>5000</v>
      </c>
    </row>
    <row r="210" spans="1:7" x14ac:dyDescent="0.3">
      <c r="A210" s="80">
        <v>45749</v>
      </c>
      <c r="B210">
        <v>1010100</v>
      </c>
      <c r="C210">
        <v>23093</v>
      </c>
      <c r="E210" s="80">
        <v>45730</v>
      </c>
      <c r="F210">
        <v>1010900</v>
      </c>
      <c r="G210">
        <v>5000</v>
      </c>
    </row>
    <row r="211" spans="1:7" x14ac:dyDescent="0.3">
      <c r="A211" s="80">
        <v>45749</v>
      </c>
      <c r="B211">
        <v>1010100</v>
      </c>
      <c r="C211">
        <v>48990</v>
      </c>
      <c r="E211" s="80">
        <v>45730</v>
      </c>
      <c r="F211">
        <v>1010900</v>
      </c>
      <c r="G211">
        <v>5000</v>
      </c>
    </row>
    <row r="212" spans="1:7" x14ac:dyDescent="0.3">
      <c r="A212" s="80">
        <v>45748</v>
      </c>
      <c r="B212">
        <v>1010100</v>
      </c>
      <c r="C212">
        <v>25491</v>
      </c>
      <c r="E212" s="80">
        <v>45729</v>
      </c>
      <c r="F212">
        <v>1010900</v>
      </c>
      <c r="G212">
        <v>5000</v>
      </c>
    </row>
    <row r="213" spans="1:7" x14ac:dyDescent="0.3">
      <c r="A213" s="80">
        <v>45748</v>
      </c>
      <c r="B213">
        <v>1010100</v>
      </c>
      <c r="C213">
        <v>26392</v>
      </c>
      <c r="E213" s="80">
        <v>45728</v>
      </c>
      <c r="F213">
        <v>1010900</v>
      </c>
      <c r="G213">
        <v>5000</v>
      </c>
    </row>
    <row r="214" spans="1:7" x14ac:dyDescent="0.3">
      <c r="A214" s="80">
        <v>45748</v>
      </c>
      <c r="B214">
        <v>1010100</v>
      </c>
      <c r="C214">
        <v>20293</v>
      </c>
      <c r="E214" s="80">
        <v>45728</v>
      </c>
      <c r="F214">
        <v>1010900</v>
      </c>
      <c r="G214">
        <v>5000</v>
      </c>
    </row>
    <row r="215" spans="1:7" x14ac:dyDescent="0.3">
      <c r="A215" s="80">
        <v>45747</v>
      </c>
      <c r="B215">
        <v>1010100</v>
      </c>
      <c r="C215">
        <v>29990</v>
      </c>
      <c r="E215" s="80">
        <v>45727</v>
      </c>
      <c r="F215">
        <v>1010900</v>
      </c>
      <c r="G215">
        <v>5000</v>
      </c>
    </row>
    <row r="216" spans="1:7" x14ac:dyDescent="0.3">
      <c r="A216" s="80">
        <v>45747</v>
      </c>
      <c r="B216">
        <v>1010100</v>
      </c>
      <c r="C216">
        <v>23093</v>
      </c>
      <c r="E216" s="80">
        <v>45727</v>
      </c>
      <c r="F216">
        <v>1010900</v>
      </c>
      <c r="G216">
        <v>5000</v>
      </c>
    </row>
    <row r="217" spans="1:7" x14ac:dyDescent="0.3">
      <c r="A217" s="80">
        <v>45747</v>
      </c>
      <c r="B217">
        <v>1010100</v>
      </c>
      <c r="C217">
        <v>29990</v>
      </c>
      <c r="E217" s="80">
        <v>45727</v>
      </c>
      <c r="F217">
        <v>1010900</v>
      </c>
      <c r="G217">
        <v>17538</v>
      </c>
    </row>
    <row r="218" spans="1:7" x14ac:dyDescent="0.3">
      <c r="A218" s="80">
        <v>45747</v>
      </c>
      <c r="B218">
        <v>1010100</v>
      </c>
      <c r="C218">
        <v>29990</v>
      </c>
      <c r="E218" s="80">
        <v>45727</v>
      </c>
      <c r="F218">
        <v>1010900</v>
      </c>
      <c r="G218">
        <v>5000</v>
      </c>
    </row>
    <row r="219" spans="1:7" x14ac:dyDescent="0.3">
      <c r="A219" s="80">
        <v>45747</v>
      </c>
      <c r="B219">
        <v>1010100</v>
      </c>
      <c r="C219">
        <v>23093</v>
      </c>
      <c r="E219" s="80">
        <v>45727</v>
      </c>
      <c r="F219">
        <v>1010900</v>
      </c>
      <c r="G219">
        <v>10000</v>
      </c>
    </row>
    <row r="220" spans="1:7" x14ac:dyDescent="0.3">
      <c r="A220" s="80">
        <v>45747</v>
      </c>
      <c r="B220">
        <v>1010100</v>
      </c>
      <c r="C220">
        <v>29990</v>
      </c>
      <c r="E220" s="80">
        <v>45726</v>
      </c>
      <c r="F220">
        <v>1010900</v>
      </c>
      <c r="G220">
        <v>8769</v>
      </c>
    </row>
    <row r="221" spans="1:7" x14ac:dyDescent="0.3">
      <c r="A221" s="80">
        <v>45747</v>
      </c>
      <c r="B221">
        <v>1010100</v>
      </c>
      <c r="C221">
        <v>26392</v>
      </c>
      <c r="E221" s="80">
        <v>45726</v>
      </c>
      <c r="F221">
        <v>1010900</v>
      </c>
      <c r="G221">
        <v>5000</v>
      </c>
    </row>
    <row r="222" spans="1:7" x14ac:dyDescent="0.3">
      <c r="A222" s="80">
        <v>45747</v>
      </c>
      <c r="B222">
        <v>1010100</v>
      </c>
      <c r="C222">
        <v>26392</v>
      </c>
      <c r="E222" s="80">
        <v>45726</v>
      </c>
      <c r="F222">
        <v>1010900</v>
      </c>
      <c r="G222">
        <v>5000</v>
      </c>
    </row>
    <row r="223" spans="1:7" x14ac:dyDescent="0.3">
      <c r="A223" s="80">
        <v>45746</v>
      </c>
      <c r="B223">
        <v>1010100</v>
      </c>
      <c r="C223">
        <v>48990</v>
      </c>
      <c r="E223" s="80">
        <v>45726</v>
      </c>
      <c r="F223">
        <v>1010900</v>
      </c>
      <c r="G223">
        <v>5000</v>
      </c>
    </row>
    <row r="224" spans="1:7" x14ac:dyDescent="0.3">
      <c r="A224" s="80">
        <v>45746</v>
      </c>
      <c r="B224">
        <v>1010100</v>
      </c>
      <c r="C224">
        <v>26392</v>
      </c>
      <c r="E224" s="80">
        <v>45726</v>
      </c>
      <c r="F224">
        <v>1010900</v>
      </c>
      <c r="G224">
        <v>5000</v>
      </c>
    </row>
    <row r="225" spans="1:7" x14ac:dyDescent="0.3">
      <c r="A225" s="80">
        <v>45746</v>
      </c>
      <c r="B225">
        <v>1010100</v>
      </c>
      <c r="C225">
        <v>26392</v>
      </c>
      <c r="E225" s="80">
        <v>45725</v>
      </c>
      <c r="F225">
        <v>1010900</v>
      </c>
      <c r="G225">
        <v>5000</v>
      </c>
    </row>
    <row r="226" spans="1:7" x14ac:dyDescent="0.3">
      <c r="A226" s="80">
        <v>45746</v>
      </c>
      <c r="B226">
        <v>1010100</v>
      </c>
      <c r="C226">
        <v>26392</v>
      </c>
      <c r="E226" s="80">
        <v>45725</v>
      </c>
      <c r="F226">
        <v>1010900</v>
      </c>
      <c r="G226">
        <v>5000</v>
      </c>
    </row>
    <row r="227" spans="1:7" x14ac:dyDescent="0.3">
      <c r="A227" s="80">
        <v>45746</v>
      </c>
      <c r="B227">
        <v>1010100</v>
      </c>
      <c r="C227">
        <v>48990</v>
      </c>
      <c r="E227" s="80">
        <v>45725</v>
      </c>
      <c r="F227">
        <v>1010900</v>
      </c>
      <c r="G227">
        <v>5000</v>
      </c>
    </row>
    <row r="228" spans="1:7" x14ac:dyDescent="0.3">
      <c r="A228" s="80">
        <v>45745</v>
      </c>
      <c r="B228">
        <v>1010100</v>
      </c>
      <c r="C228">
        <v>29990</v>
      </c>
      <c r="E228" s="80">
        <v>45725</v>
      </c>
      <c r="F228">
        <v>1010900</v>
      </c>
      <c r="G228">
        <v>2630</v>
      </c>
    </row>
    <row r="229" spans="1:7" x14ac:dyDescent="0.3">
      <c r="A229" s="80">
        <v>45745</v>
      </c>
      <c r="B229">
        <v>1010100</v>
      </c>
      <c r="C229">
        <v>29990</v>
      </c>
      <c r="E229" s="80">
        <v>45725</v>
      </c>
      <c r="F229">
        <v>1010900</v>
      </c>
      <c r="G229">
        <v>5000</v>
      </c>
    </row>
    <row r="230" spans="1:7" x14ac:dyDescent="0.3">
      <c r="A230" s="80">
        <v>45744</v>
      </c>
      <c r="B230">
        <v>1010100</v>
      </c>
      <c r="C230">
        <v>29990</v>
      </c>
      <c r="E230" s="80">
        <v>45725</v>
      </c>
      <c r="F230">
        <v>1010900</v>
      </c>
      <c r="G230">
        <v>5000</v>
      </c>
    </row>
    <row r="231" spans="1:7" x14ac:dyDescent="0.3">
      <c r="A231" s="80">
        <v>45744</v>
      </c>
      <c r="B231">
        <v>1010100</v>
      </c>
      <c r="C231">
        <v>29990</v>
      </c>
      <c r="E231" s="80">
        <v>45725</v>
      </c>
      <c r="F231">
        <v>1010900</v>
      </c>
      <c r="G231">
        <v>5000</v>
      </c>
    </row>
    <row r="232" spans="1:7" x14ac:dyDescent="0.3">
      <c r="A232" s="80">
        <v>45744</v>
      </c>
      <c r="B232">
        <v>1010100</v>
      </c>
      <c r="C232">
        <v>29990</v>
      </c>
      <c r="E232" s="80">
        <v>45725</v>
      </c>
      <c r="F232">
        <v>1010900</v>
      </c>
      <c r="G232">
        <v>5000</v>
      </c>
    </row>
    <row r="233" spans="1:7" x14ac:dyDescent="0.3">
      <c r="A233" s="80">
        <v>45743</v>
      </c>
      <c r="B233">
        <v>1010100</v>
      </c>
      <c r="C233">
        <v>29990</v>
      </c>
      <c r="E233" s="80">
        <v>45725</v>
      </c>
      <c r="F233">
        <v>1010900</v>
      </c>
      <c r="G233">
        <v>5000</v>
      </c>
    </row>
    <row r="234" spans="1:7" x14ac:dyDescent="0.3">
      <c r="A234" s="80">
        <v>45743</v>
      </c>
      <c r="B234">
        <v>1010100</v>
      </c>
      <c r="C234">
        <v>29990</v>
      </c>
      <c r="E234" s="80">
        <v>45725</v>
      </c>
      <c r="F234">
        <v>1010900</v>
      </c>
      <c r="G234">
        <v>5000</v>
      </c>
    </row>
    <row r="235" spans="1:7" x14ac:dyDescent="0.3">
      <c r="A235" s="80">
        <v>45743</v>
      </c>
      <c r="B235">
        <v>1010100</v>
      </c>
      <c r="C235">
        <v>9990</v>
      </c>
      <c r="E235" s="80">
        <v>45724</v>
      </c>
      <c r="F235">
        <v>1010900</v>
      </c>
      <c r="G235">
        <v>5000</v>
      </c>
    </row>
    <row r="236" spans="1:7" x14ac:dyDescent="0.3">
      <c r="A236" s="80">
        <v>45743</v>
      </c>
      <c r="B236">
        <v>1010100</v>
      </c>
      <c r="C236">
        <v>24990</v>
      </c>
      <c r="E236" s="80">
        <v>45724</v>
      </c>
      <c r="F236">
        <v>1010900</v>
      </c>
      <c r="G236">
        <v>5000</v>
      </c>
    </row>
    <row r="237" spans="1:7" x14ac:dyDescent="0.3">
      <c r="A237" s="80">
        <v>45743</v>
      </c>
      <c r="B237">
        <v>1010100</v>
      </c>
      <c r="C237">
        <v>29990</v>
      </c>
      <c r="E237" s="80">
        <v>45723</v>
      </c>
      <c r="F237">
        <v>1010900</v>
      </c>
      <c r="G237">
        <v>5000</v>
      </c>
    </row>
    <row r="238" spans="1:7" x14ac:dyDescent="0.3">
      <c r="A238" s="80">
        <v>45743</v>
      </c>
      <c r="B238">
        <v>1010100</v>
      </c>
      <c r="C238">
        <v>29990</v>
      </c>
      <c r="E238" s="80">
        <v>45723</v>
      </c>
      <c r="F238">
        <v>1010900</v>
      </c>
      <c r="G238">
        <v>5000</v>
      </c>
    </row>
    <row r="239" spans="1:7" x14ac:dyDescent="0.3">
      <c r="A239" s="80">
        <v>45743</v>
      </c>
      <c r="B239">
        <v>1010100</v>
      </c>
      <c r="C239">
        <v>29990</v>
      </c>
      <c r="E239" s="80">
        <v>45723</v>
      </c>
      <c r="F239">
        <v>1010900</v>
      </c>
      <c r="G239">
        <v>5000</v>
      </c>
    </row>
    <row r="240" spans="1:7" x14ac:dyDescent="0.3">
      <c r="A240" s="80">
        <v>45740</v>
      </c>
      <c r="B240">
        <v>1010100</v>
      </c>
      <c r="C240">
        <v>59980</v>
      </c>
      <c r="E240" s="80">
        <v>45723</v>
      </c>
      <c r="F240">
        <v>1010900</v>
      </c>
      <c r="G240">
        <v>5000</v>
      </c>
    </row>
    <row r="241" spans="1:7" x14ac:dyDescent="0.3">
      <c r="A241" s="80">
        <v>45740</v>
      </c>
      <c r="B241">
        <v>1010100</v>
      </c>
      <c r="C241">
        <v>29990</v>
      </c>
      <c r="E241" s="80">
        <v>45722</v>
      </c>
      <c r="F241">
        <v>1010900</v>
      </c>
      <c r="G241">
        <v>5000</v>
      </c>
    </row>
    <row r="242" spans="1:7" x14ac:dyDescent="0.3">
      <c r="A242" s="80">
        <v>45739</v>
      </c>
      <c r="B242">
        <v>1010100</v>
      </c>
      <c r="C242">
        <v>29990</v>
      </c>
      <c r="E242" s="80">
        <v>45722</v>
      </c>
      <c r="F242">
        <v>1010900</v>
      </c>
      <c r="G242">
        <v>5000</v>
      </c>
    </row>
    <row r="243" spans="1:7" x14ac:dyDescent="0.3">
      <c r="A243" s="80">
        <v>45739</v>
      </c>
      <c r="B243">
        <v>1010100</v>
      </c>
      <c r="C243">
        <v>9990</v>
      </c>
      <c r="E243" s="80">
        <v>45722</v>
      </c>
      <c r="F243">
        <v>1010900</v>
      </c>
      <c r="G243">
        <v>5000</v>
      </c>
    </row>
    <row r="244" spans="1:7" x14ac:dyDescent="0.3">
      <c r="A244" s="80">
        <v>45739</v>
      </c>
      <c r="B244">
        <v>1010100</v>
      </c>
      <c r="C244">
        <v>29990</v>
      </c>
      <c r="E244" s="80">
        <v>45722</v>
      </c>
      <c r="F244">
        <v>1010900</v>
      </c>
      <c r="G244">
        <v>5000</v>
      </c>
    </row>
    <row r="245" spans="1:7" x14ac:dyDescent="0.3">
      <c r="A245" s="80">
        <v>45738</v>
      </c>
      <c r="B245">
        <v>1010100</v>
      </c>
      <c r="C245">
        <v>29990</v>
      </c>
      <c r="E245" s="80">
        <v>45721</v>
      </c>
      <c r="F245">
        <v>1010900</v>
      </c>
      <c r="G245">
        <v>5000</v>
      </c>
    </row>
    <row r="246" spans="1:7" x14ac:dyDescent="0.3">
      <c r="A246" s="80">
        <v>45738</v>
      </c>
      <c r="B246">
        <v>1010100</v>
      </c>
      <c r="C246">
        <v>29990</v>
      </c>
      <c r="E246" s="80">
        <v>45721</v>
      </c>
      <c r="F246">
        <v>1010900</v>
      </c>
      <c r="G246">
        <v>5000</v>
      </c>
    </row>
    <row r="247" spans="1:7" x14ac:dyDescent="0.3">
      <c r="A247" s="80">
        <v>45737</v>
      </c>
      <c r="B247">
        <v>1010100</v>
      </c>
      <c r="C247">
        <v>29990</v>
      </c>
      <c r="E247" s="80">
        <v>45721</v>
      </c>
      <c r="F247">
        <v>1010900</v>
      </c>
      <c r="G247">
        <v>5000</v>
      </c>
    </row>
    <row r="248" spans="1:7" x14ac:dyDescent="0.3">
      <c r="A248" s="80">
        <v>45737</v>
      </c>
      <c r="B248">
        <v>1010100</v>
      </c>
      <c r="C248">
        <v>48990</v>
      </c>
      <c r="E248" s="80">
        <v>45720</v>
      </c>
      <c r="F248">
        <v>1010900</v>
      </c>
      <c r="G248">
        <v>5000</v>
      </c>
    </row>
    <row r="249" spans="1:7" x14ac:dyDescent="0.3">
      <c r="A249" s="80">
        <v>45736</v>
      </c>
      <c r="B249">
        <v>1010100</v>
      </c>
      <c r="C249">
        <v>29990</v>
      </c>
      <c r="E249" s="80">
        <v>45720</v>
      </c>
      <c r="F249">
        <v>1010900</v>
      </c>
      <c r="G249">
        <v>5000</v>
      </c>
    </row>
    <row r="250" spans="1:7" x14ac:dyDescent="0.3">
      <c r="A250" s="80">
        <v>45736</v>
      </c>
      <c r="B250">
        <v>1010100</v>
      </c>
      <c r="C250">
        <v>29990</v>
      </c>
      <c r="E250" s="80">
        <v>45720</v>
      </c>
      <c r="F250">
        <v>1010900</v>
      </c>
      <c r="G250">
        <v>8769</v>
      </c>
    </row>
    <row r="251" spans="1:7" x14ac:dyDescent="0.3">
      <c r="A251" s="80">
        <v>45736</v>
      </c>
      <c r="B251">
        <v>1010100</v>
      </c>
      <c r="C251">
        <v>29990</v>
      </c>
      <c r="E251" s="80">
        <v>45720</v>
      </c>
      <c r="F251">
        <v>1010900</v>
      </c>
      <c r="G251">
        <v>5000</v>
      </c>
    </row>
    <row r="252" spans="1:7" x14ac:dyDescent="0.3">
      <c r="A252" s="80">
        <v>45736</v>
      </c>
      <c r="B252">
        <v>1010100</v>
      </c>
      <c r="C252">
        <v>29990</v>
      </c>
      <c r="E252" s="80">
        <v>45719</v>
      </c>
      <c r="F252">
        <v>1010900</v>
      </c>
      <c r="G252">
        <v>5000</v>
      </c>
    </row>
    <row r="253" spans="1:7" x14ac:dyDescent="0.3">
      <c r="A253" s="80">
        <v>45736</v>
      </c>
      <c r="B253">
        <v>1010100</v>
      </c>
      <c r="C253">
        <v>29990</v>
      </c>
      <c r="E253" s="80">
        <v>45719</v>
      </c>
      <c r="F253">
        <v>1010900</v>
      </c>
      <c r="G253">
        <v>10000</v>
      </c>
    </row>
    <row r="254" spans="1:7" x14ac:dyDescent="0.3">
      <c r="A254" s="80">
        <v>45735</v>
      </c>
      <c r="B254">
        <v>1010100</v>
      </c>
      <c r="C254">
        <v>29990</v>
      </c>
      <c r="E254" s="80">
        <v>45719</v>
      </c>
      <c r="F254">
        <v>1010900</v>
      </c>
      <c r="G254">
        <v>5000</v>
      </c>
    </row>
    <row r="255" spans="1:7" x14ac:dyDescent="0.3">
      <c r="A255" s="80">
        <v>45735</v>
      </c>
      <c r="B255">
        <v>1010100</v>
      </c>
      <c r="C255">
        <v>29990</v>
      </c>
      <c r="E255" s="80">
        <v>45719</v>
      </c>
      <c r="F255">
        <v>1010900</v>
      </c>
      <c r="G255">
        <v>5000</v>
      </c>
    </row>
    <row r="256" spans="1:7" x14ac:dyDescent="0.3">
      <c r="A256" s="80">
        <v>45735</v>
      </c>
      <c r="B256">
        <v>1010100</v>
      </c>
      <c r="C256">
        <v>29990</v>
      </c>
      <c r="E256" s="80">
        <v>45718</v>
      </c>
      <c r="F256">
        <v>1010900</v>
      </c>
      <c r="G256">
        <v>5000</v>
      </c>
    </row>
    <row r="257" spans="1:7" x14ac:dyDescent="0.3">
      <c r="A257" s="80">
        <v>45734</v>
      </c>
      <c r="B257">
        <v>1010100</v>
      </c>
      <c r="C257">
        <v>21740</v>
      </c>
      <c r="E257" s="80">
        <v>45718</v>
      </c>
      <c r="F257">
        <v>1010900</v>
      </c>
      <c r="G257">
        <v>5000</v>
      </c>
    </row>
    <row r="258" spans="1:7" x14ac:dyDescent="0.3">
      <c r="A258" s="80">
        <v>45734</v>
      </c>
      <c r="B258">
        <v>1010100</v>
      </c>
      <c r="C258">
        <v>26991</v>
      </c>
      <c r="E258" s="80">
        <v>45718</v>
      </c>
      <c r="F258">
        <v>1010900</v>
      </c>
      <c r="G258">
        <v>5000</v>
      </c>
    </row>
    <row r="259" spans="1:7" x14ac:dyDescent="0.3">
      <c r="A259" s="80">
        <v>45734</v>
      </c>
      <c r="B259">
        <v>1010100</v>
      </c>
      <c r="C259">
        <v>29990</v>
      </c>
      <c r="E259" s="80">
        <v>45718</v>
      </c>
      <c r="F259">
        <v>1010900</v>
      </c>
      <c r="G259">
        <v>8769</v>
      </c>
    </row>
    <row r="260" spans="1:7" x14ac:dyDescent="0.3">
      <c r="A260" s="80">
        <v>45734</v>
      </c>
      <c r="B260">
        <v>1010100</v>
      </c>
      <c r="C260">
        <v>29990</v>
      </c>
      <c r="E260" s="80">
        <v>45718</v>
      </c>
      <c r="F260">
        <v>1010900</v>
      </c>
      <c r="G260">
        <v>5000</v>
      </c>
    </row>
    <row r="261" spans="1:7" x14ac:dyDescent="0.3">
      <c r="A261" s="80">
        <v>45734</v>
      </c>
      <c r="B261">
        <v>1010100</v>
      </c>
      <c r="C261">
        <v>29990</v>
      </c>
      <c r="E261" s="80">
        <v>45718</v>
      </c>
      <c r="F261">
        <v>1010900</v>
      </c>
      <c r="G261">
        <v>5000</v>
      </c>
    </row>
    <row r="262" spans="1:7" x14ac:dyDescent="0.3">
      <c r="A262" s="80">
        <v>45733</v>
      </c>
      <c r="B262">
        <v>1010100</v>
      </c>
      <c r="C262">
        <v>29990</v>
      </c>
      <c r="E262" s="80">
        <v>45718</v>
      </c>
      <c r="F262">
        <v>1010900</v>
      </c>
      <c r="G262">
        <v>8769</v>
      </c>
    </row>
    <row r="263" spans="1:7" x14ac:dyDescent="0.3">
      <c r="A263" s="80">
        <v>45733</v>
      </c>
      <c r="B263">
        <v>1010100</v>
      </c>
      <c r="C263">
        <v>29990</v>
      </c>
      <c r="E263" s="80">
        <v>45718</v>
      </c>
      <c r="F263">
        <v>1010900</v>
      </c>
      <c r="G263">
        <v>5000</v>
      </c>
    </row>
    <row r="264" spans="1:7" x14ac:dyDescent="0.3">
      <c r="A264" s="80">
        <v>45733</v>
      </c>
      <c r="B264">
        <v>1010100</v>
      </c>
      <c r="C264">
        <v>29990</v>
      </c>
      <c r="E264" s="80">
        <v>45718</v>
      </c>
      <c r="F264">
        <v>1010900</v>
      </c>
      <c r="G264">
        <v>2630</v>
      </c>
    </row>
    <row r="265" spans="1:7" x14ac:dyDescent="0.3">
      <c r="A265" s="80">
        <v>45733</v>
      </c>
      <c r="B265">
        <v>1010100</v>
      </c>
      <c r="C265">
        <v>29990</v>
      </c>
      <c r="E265" s="80">
        <v>45718</v>
      </c>
      <c r="F265">
        <v>1010900</v>
      </c>
      <c r="G265">
        <v>5000</v>
      </c>
    </row>
    <row r="266" spans="1:7" x14ac:dyDescent="0.3">
      <c r="A266" s="80">
        <v>45733</v>
      </c>
      <c r="B266">
        <v>1010100</v>
      </c>
      <c r="C266">
        <v>26991</v>
      </c>
      <c r="E266" s="80">
        <v>45717</v>
      </c>
      <c r="F266">
        <v>1010900</v>
      </c>
      <c r="G266">
        <v>5000</v>
      </c>
    </row>
    <row r="267" spans="1:7" x14ac:dyDescent="0.3">
      <c r="A267" s="80">
        <v>45733</v>
      </c>
      <c r="B267">
        <v>1010100</v>
      </c>
      <c r="C267">
        <v>29990</v>
      </c>
      <c r="E267" s="80">
        <v>45717</v>
      </c>
      <c r="F267">
        <v>1010900</v>
      </c>
      <c r="G267">
        <v>5000</v>
      </c>
    </row>
    <row r="268" spans="1:7" x14ac:dyDescent="0.3">
      <c r="A268" s="80">
        <v>45733</v>
      </c>
      <c r="B268">
        <v>1010100</v>
      </c>
      <c r="C268">
        <v>29990</v>
      </c>
      <c r="E268" s="80">
        <v>45717</v>
      </c>
      <c r="F268">
        <v>1010900</v>
      </c>
      <c r="G268">
        <v>5000</v>
      </c>
    </row>
    <row r="269" spans="1:7" x14ac:dyDescent="0.3">
      <c r="A269" s="80">
        <v>45733</v>
      </c>
      <c r="B269">
        <v>1010100</v>
      </c>
      <c r="C269">
        <v>29990</v>
      </c>
      <c r="E269" s="80">
        <v>45717</v>
      </c>
      <c r="F269">
        <v>1010900</v>
      </c>
      <c r="G269">
        <v>5000</v>
      </c>
    </row>
    <row r="270" spans="1:7" x14ac:dyDescent="0.3">
      <c r="A270" s="80">
        <v>45732</v>
      </c>
      <c r="B270">
        <v>1010100</v>
      </c>
      <c r="C270">
        <v>29990</v>
      </c>
      <c r="E270" s="80">
        <v>45717</v>
      </c>
      <c r="F270">
        <v>1010900</v>
      </c>
      <c r="G270">
        <v>5000</v>
      </c>
    </row>
    <row r="271" spans="1:7" x14ac:dyDescent="0.3">
      <c r="A271" s="80">
        <v>45732</v>
      </c>
      <c r="B271">
        <v>1010100</v>
      </c>
      <c r="C271">
        <v>29990</v>
      </c>
      <c r="E271" s="80">
        <v>45717</v>
      </c>
      <c r="F271">
        <v>1010900</v>
      </c>
      <c r="G271">
        <v>5000</v>
      </c>
    </row>
    <row r="272" spans="1:7" x14ac:dyDescent="0.3">
      <c r="A272" s="80">
        <v>45731</v>
      </c>
      <c r="B272">
        <v>1010100</v>
      </c>
      <c r="C272">
        <v>26991</v>
      </c>
      <c r="E272" s="80">
        <v>45717</v>
      </c>
      <c r="F272">
        <v>1010900</v>
      </c>
      <c r="G272">
        <v>5000</v>
      </c>
    </row>
    <row r="273" spans="1:7" x14ac:dyDescent="0.3">
      <c r="A273" s="80">
        <v>45731</v>
      </c>
      <c r="B273">
        <v>1010100</v>
      </c>
      <c r="C273">
        <v>8991</v>
      </c>
      <c r="E273" s="80">
        <v>45717</v>
      </c>
      <c r="F273">
        <v>1010900</v>
      </c>
      <c r="G273">
        <v>5000</v>
      </c>
    </row>
    <row r="274" spans="1:7" x14ac:dyDescent="0.3">
      <c r="A274" s="80">
        <v>45731</v>
      </c>
      <c r="B274">
        <v>1010100</v>
      </c>
      <c r="C274">
        <v>29990</v>
      </c>
      <c r="E274" s="80">
        <v>45716</v>
      </c>
      <c r="F274">
        <v>1010900</v>
      </c>
      <c r="G274">
        <v>5000</v>
      </c>
    </row>
    <row r="275" spans="1:7" x14ac:dyDescent="0.3">
      <c r="A275" s="80">
        <v>45730</v>
      </c>
      <c r="B275">
        <v>1010100</v>
      </c>
      <c r="C275">
        <v>29990</v>
      </c>
      <c r="E275" s="80">
        <v>45716</v>
      </c>
      <c r="F275">
        <v>1010900</v>
      </c>
      <c r="G275">
        <v>5000</v>
      </c>
    </row>
    <row r="276" spans="1:7" x14ac:dyDescent="0.3">
      <c r="A276" s="80">
        <v>45730</v>
      </c>
      <c r="B276">
        <v>1010100</v>
      </c>
      <c r="C276">
        <v>26991</v>
      </c>
      <c r="E276" s="80">
        <v>45716</v>
      </c>
      <c r="F276">
        <v>1010900</v>
      </c>
      <c r="G276">
        <v>8769</v>
      </c>
    </row>
    <row r="277" spans="1:7" x14ac:dyDescent="0.3">
      <c r="A277" s="80">
        <v>45730</v>
      </c>
      <c r="B277">
        <v>1010100</v>
      </c>
      <c r="C277">
        <v>29990</v>
      </c>
      <c r="E277" s="80">
        <v>45716</v>
      </c>
      <c r="F277">
        <v>1010900</v>
      </c>
      <c r="G277">
        <v>5000</v>
      </c>
    </row>
    <row r="278" spans="1:7" x14ac:dyDescent="0.3">
      <c r="A278" s="80">
        <v>45729</v>
      </c>
      <c r="B278">
        <v>1010100</v>
      </c>
      <c r="C278">
        <v>29990</v>
      </c>
      <c r="E278" s="80">
        <v>45716</v>
      </c>
      <c r="F278">
        <v>1010900</v>
      </c>
      <c r="G278">
        <v>5000</v>
      </c>
    </row>
    <row r="279" spans="1:7" x14ac:dyDescent="0.3">
      <c r="A279" s="80">
        <v>45728</v>
      </c>
      <c r="B279">
        <v>1010100</v>
      </c>
      <c r="C279">
        <v>29990</v>
      </c>
      <c r="E279" s="80">
        <v>45716</v>
      </c>
      <c r="F279">
        <v>1010900</v>
      </c>
      <c r="G279">
        <v>500</v>
      </c>
    </row>
    <row r="280" spans="1:7" x14ac:dyDescent="0.3">
      <c r="A280" s="80">
        <v>45728</v>
      </c>
      <c r="B280">
        <v>1010100</v>
      </c>
      <c r="C280">
        <v>29990</v>
      </c>
      <c r="E280" s="80">
        <v>45716</v>
      </c>
      <c r="F280">
        <v>1010900</v>
      </c>
      <c r="G280">
        <v>5000</v>
      </c>
    </row>
    <row r="281" spans="1:7" x14ac:dyDescent="0.3">
      <c r="A281" s="80">
        <v>45727</v>
      </c>
      <c r="B281">
        <v>1010100</v>
      </c>
      <c r="C281">
        <v>26991</v>
      </c>
      <c r="E281" s="80">
        <v>45716</v>
      </c>
      <c r="F281">
        <v>1010900</v>
      </c>
      <c r="G281">
        <v>5000</v>
      </c>
    </row>
    <row r="282" spans="1:7" x14ac:dyDescent="0.3">
      <c r="A282" s="80">
        <v>45727</v>
      </c>
      <c r="B282">
        <v>1010100</v>
      </c>
      <c r="C282">
        <v>26991</v>
      </c>
      <c r="E282" s="80">
        <v>45715</v>
      </c>
      <c r="F282">
        <v>1010900</v>
      </c>
      <c r="G282">
        <v>8769</v>
      </c>
    </row>
    <row r="283" spans="1:7" x14ac:dyDescent="0.3">
      <c r="A283" s="80">
        <v>45727</v>
      </c>
      <c r="B283">
        <v>1010100</v>
      </c>
      <c r="C283">
        <v>43480</v>
      </c>
      <c r="E283" s="80">
        <v>45715</v>
      </c>
      <c r="F283">
        <v>1010900</v>
      </c>
      <c r="G283">
        <v>5000</v>
      </c>
    </row>
    <row r="284" spans="1:7" x14ac:dyDescent="0.3">
      <c r="A284" s="80">
        <v>45727</v>
      </c>
      <c r="B284">
        <v>1010100</v>
      </c>
      <c r="C284">
        <v>26991</v>
      </c>
      <c r="E284" s="80">
        <v>45715</v>
      </c>
      <c r="F284">
        <v>1010900</v>
      </c>
      <c r="G284">
        <v>5000</v>
      </c>
    </row>
    <row r="285" spans="1:7" x14ac:dyDescent="0.3">
      <c r="A285" s="80">
        <v>45727</v>
      </c>
      <c r="B285">
        <v>1010100</v>
      </c>
      <c r="C285">
        <v>59980</v>
      </c>
      <c r="E285" s="80">
        <v>45715</v>
      </c>
      <c r="F285">
        <v>1010900</v>
      </c>
      <c r="G285">
        <v>5000</v>
      </c>
    </row>
    <row r="286" spans="1:7" x14ac:dyDescent="0.3">
      <c r="A286" s="80">
        <v>45726</v>
      </c>
      <c r="B286">
        <v>1010100</v>
      </c>
      <c r="C286">
        <v>21740</v>
      </c>
      <c r="E286" s="80">
        <v>45714</v>
      </c>
      <c r="F286">
        <v>1010900</v>
      </c>
      <c r="G286">
        <v>5000</v>
      </c>
    </row>
    <row r="287" spans="1:7" x14ac:dyDescent="0.3">
      <c r="A287" s="80">
        <v>45726</v>
      </c>
      <c r="B287">
        <v>1010100</v>
      </c>
      <c r="C287">
        <v>29990</v>
      </c>
      <c r="E287" s="80">
        <v>45714</v>
      </c>
      <c r="F287">
        <v>1010900</v>
      </c>
      <c r="G287">
        <v>500</v>
      </c>
    </row>
    <row r="288" spans="1:7" x14ac:dyDescent="0.3">
      <c r="A288" s="80">
        <v>45726</v>
      </c>
      <c r="B288">
        <v>1010100</v>
      </c>
      <c r="C288">
        <v>29990</v>
      </c>
      <c r="E288" s="80">
        <v>45714</v>
      </c>
      <c r="F288">
        <v>1010900</v>
      </c>
      <c r="G288">
        <v>5000</v>
      </c>
    </row>
    <row r="289" spans="1:7" x14ac:dyDescent="0.3">
      <c r="A289" s="80">
        <v>45726</v>
      </c>
      <c r="B289">
        <v>1010100</v>
      </c>
      <c r="C289">
        <v>29990</v>
      </c>
      <c r="E289" s="80">
        <v>45714</v>
      </c>
      <c r="F289">
        <v>1010900</v>
      </c>
      <c r="G289">
        <v>5000</v>
      </c>
    </row>
    <row r="290" spans="1:7" x14ac:dyDescent="0.3">
      <c r="A290" s="80">
        <v>45726</v>
      </c>
      <c r="B290">
        <v>1010100</v>
      </c>
      <c r="C290">
        <v>29990</v>
      </c>
      <c r="E290" s="80">
        <v>45713</v>
      </c>
      <c r="F290">
        <v>1010900</v>
      </c>
      <c r="G290">
        <v>5000</v>
      </c>
    </row>
    <row r="291" spans="1:7" x14ac:dyDescent="0.3">
      <c r="A291" s="80">
        <v>45725</v>
      </c>
      <c r="B291">
        <v>1010100</v>
      </c>
      <c r="C291">
        <v>29990</v>
      </c>
      <c r="E291" s="80">
        <v>45713</v>
      </c>
      <c r="F291">
        <v>1010900</v>
      </c>
      <c r="G291">
        <v>5000</v>
      </c>
    </row>
    <row r="292" spans="1:7" x14ac:dyDescent="0.3">
      <c r="A292" s="80">
        <v>45725</v>
      </c>
      <c r="B292">
        <v>1010100</v>
      </c>
      <c r="C292">
        <v>29990</v>
      </c>
      <c r="E292" s="80">
        <v>45713</v>
      </c>
      <c r="F292">
        <v>1010900</v>
      </c>
      <c r="G292">
        <v>5000</v>
      </c>
    </row>
    <row r="293" spans="1:7" x14ac:dyDescent="0.3">
      <c r="A293" s="80">
        <v>45725</v>
      </c>
      <c r="B293">
        <v>1010100</v>
      </c>
      <c r="C293">
        <v>29990</v>
      </c>
      <c r="E293" s="80">
        <v>45713</v>
      </c>
      <c r="F293">
        <v>1010900</v>
      </c>
      <c r="G293">
        <v>5000</v>
      </c>
    </row>
    <row r="294" spans="1:7" x14ac:dyDescent="0.3">
      <c r="A294" s="80">
        <v>45725</v>
      </c>
      <c r="B294">
        <v>1010100</v>
      </c>
      <c r="C294">
        <v>9990</v>
      </c>
      <c r="E294" s="80">
        <v>45712</v>
      </c>
      <c r="F294">
        <v>1010900</v>
      </c>
      <c r="G294">
        <v>5000</v>
      </c>
    </row>
    <row r="295" spans="1:7" x14ac:dyDescent="0.3">
      <c r="A295" s="80">
        <v>45725</v>
      </c>
      <c r="B295">
        <v>1010100</v>
      </c>
      <c r="C295">
        <v>29990</v>
      </c>
      <c r="E295" s="80">
        <v>45712</v>
      </c>
      <c r="F295">
        <v>1010900</v>
      </c>
      <c r="G295">
        <v>5000</v>
      </c>
    </row>
    <row r="296" spans="1:7" x14ac:dyDescent="0.3">
      <c r="A296" s="80">
        <v>45725</v>
      </c>
      <c r="B296">
        <v>1010100</v>
      </c>
      <c r="C296">
        <v>29990</v>
      </c>
      <c r="E296" s="80">
        <v>45712</v>
      </c>
      <c r="F296">
        <v>1010900</v>
      </c>
      <c r="G296">
        <v>5000</v>
      </c>
    </row>
    <row r="297" spans="1:7" x14ac:dyDescent="0.3">
      <c r="A297" s="80">
        <v>45725</v>
      </c>
      <c r="B297">
        <v>1010100</v>
      </c>
      <c r="C297">
        <v>29990</v>
      </c>
      <c r="E297" s="80">
        <v>45712</v>
      </c>
      <c r="F297">
        <v>1010900</v>
      </c>
      <c r="G297">
        <v>8769</v>
      </c>
    </row>
    <row r="298" spans="1:7" x14ac:dyDescent="0.3">
      <c r="A298" s="80">
        <v>45725</v>
      </c>
      <c r="B298">
        <v>1010100</v>
      </c>
      <c r="C298">
        <v>29990</v>
      </c>
      <c r="E298" s="80">
        <v>45712</v>
      </c>
      <c r="F298">
        <v>1010900</v>
      </c>
      <c r="G298">
        <v>5000</v>
      </c>
    </row>
    <row r="299" spans="1:7" x14ac:dyDescent="0.3">
      <c r="A299" s="80">
        <v>45725</v>
      </c>
      <c r="B299">
        <v>1010100</v>
      </c>
      <c r="C299">
        <v>29990</v>
      </c>
      <c r="E299" s="80">
        <v>45711</v>
      </c>
      <c r="F299">
        <v>1010900</v>
      </c>
      <c r="G299">
        <v>5000</v>
      </c>
    </row>
    <row r="300" spans="1:7" x14ac:dyDescent="0.3">
      <c r="A300" s="80">
        <v>45725</v>
      </c>
      <c r="B300">
        <v>1010100</v>
      </c>
      <c r="C300">
        <v>29990</v>
      </c>
      <c r="E300" s="80">
        <v>45711</v>
      </c>
      <c r="F300">
        <v>1010900</v>
      </c>
      <c r="G300">
        <v>5000</v>
      </c>
    </row>
    <row r="301" spans="1:7" x14ac:dyDescent="0.3">
      <c r="A301" s="80">
        <v>45724</v>
      </c>
      <c r="B301">
        <v>1010100</v>
      </c>
      <c r="C301">
        <v>29990</v>
      </c>
      <c r="E301" s="80">
        <v>45710</v>
      </c>
      <c r="F301">
        <v>1010900</v>
      </c>
      <c r="G301">
        <v>5000</v>
      </c>
    </row>
    <row r="302" spans="1:7" x14ac:dyDescent="0.3">
      <c r="A302" s="80">
        <v>45724</v>
      </c>
      <c r="B302">
        <v>1010100</v>
      </c>
      <c r="C302">
        <v>29990</v>
      </c>
      <c r="E302" s="80">
        <v>45710</v>
      </c>
      <c r="F302">
        <v>1010900</v>
      </c>
      <c r="G302">
        <v>5000</v>
      </c>
    </row>
    <row r="303" spans="1:7" x14ac:dyDescent="0.3">
      <c r="A303" s="80">
        <v>45723</v>
      </c>
      <c r="B303">
        <v>1010100</v>
      </c>
      <c r="C303">
        <v>29990</v>
      </c>
      <c r="E303" s="80">
        <v>45710</v>
      </c>
      <c r="F303">
        <v>1010900</v>
      </c>
      <c r="G303">
        <v>5000</v>
      </c>
    </row>
    <row r="304" spans="1:7" x14ac:dyDescent="0.3">
      <c r="A304" s="80">
        <v>45723</v>
      </c>
      <c r="B304">
        <v>1010100</v>
      </c>
      <c r="C304">
        <v>26991</v>
      </c>
      <c r="E304" s="80">
        <v>45710</v>
      </c>
      <c r="F304">
        <v>1010900</v>
      </c>
      <c r="G304">
        <v>5000</v>
      </c>
    </row>
    <row r="305" spans="1:7" x14ac:dyDescent="0.3">
      <c r="A305" s="80">
        <v>45723</v>
      </c>
      <c r="B305">
        <v>1010100</v>
      </c>
      <c r="C305">
        <v>29990</v>
      </c>
      <c r="E305" s="80">
        <v>45710</v>
      </c>
      <c r="F305">
        <v>1010900</v>
      </c>
      <c r="G305">
        <v>5000</v>
      </c>
    </row>
    <row r="306" spans="1:7" x14ac:dyDescent="0.3">
      <c r="A306" s="80">
        <v>45723</v>
      </c>
      <c r="B306">
        <v>1010100</v>
      </c>
      <c r="C306">
        <v>29990</v>
      </c>
      <c r="E306" s="80">
        <v>45710</v>
      </c>
      <c r="F306">
        <v>1010900</v>
      </c>
      <c r="G306">
        <v>5000</v>
      </c>
    </row>
    <row r="307" spans="1:7" x14ac:dyDescent="0.3">
      <c r="A307" s="80">
        <v>45722</v>
      </c>
      <c r="B307">
        <v>1010100</v>
      </c>
      <c r="C307">
        <v>29990</v>
      </c>
      <c r="E307" s="80">
        <v>45710</v>
      </c>
      <c r="F307">
        <v>1010900</v>
      </c>
      <c r="G307">
        <v>5000</v>
      </c>
    </row>
    <row r="308" spans="1:7" x14ac:dyDescent="0.3">
      <c r="A308" s="80">
        <v>45722</v>
      </c>
      <c r="B308">
        <v>1010100</v>
      </c>
      <c r="C308">
        <v>29990</v>
      </c>
      <c r="E308" s="80">
        <v>45710</v>
      </c>
      <c r="F308">
        <v>1010900</v>
      </c>
      <c r="G308">
        <v>4500</v>
      </c>
    </row>
    <row r="309" spans="1:7" x14ac:dyDescent="0.3">
      <c r="A309" s="80">
        <v>45722</v>
      </c>
      <c r="B309">
        <v>1010100</v>
      </c>
      <c r="C309">
        <v>29990</v>
      </c>
      <c r="E309" s="80">
        <v>45710</v>
      </c>
      <c r="F309">
        <v>1010900</v>
      </c>
      <c r="G309">
        <v>5000</v>
      </c>
    </row>
    <row r="310" spans="1:7" x14ac:dyDescent="0.3">
      <c r="A310" s="80">
        <v>45722</v>
      </c>
      <c r="B310">
        <v>1010100</v>
      </c>
      <c r="C310">
        <v>29990</v>
      </c>
      <c r="E310" s="80">
        <v>45710</v>
      </c>
      <c r="F310">
        <v>1010900</v>
      </c>
      <c r="G310">
        <v>5000</v>
      </c>
    </row>
    <row r="311" spans="1:7" x14ac:dyDescent="0.3">
      <c r="A311" s="80">
        <v>45721</v>
      </c>
      <c r="B311">
        <v>1010100</v>
      </c>
      <c r="C311">
        <v>29990</v>
      </c>
      <c r="E311" s="80">
        <v>45709</v>
      </c>
      <c r="F311">
        <v>1010900</v>
      </c>
      <c r="G311">
        <v>5000</v>
      </c>
    </row>
    <row r="312" spans="1:7" x14ac:dyDescent="0.3">
      <c r="A312" s="80">
        <v>45721</v>
      </c>
      <c r="B312">
        <v>1010100</v>
      </c>
      <c r="C312">
        <v>29990</v>
      </c>
      <c r="E312" s="80">
        <v>45709</v>
      </c>
      <c r="F312">
        <v>1010900</v>
      </c>
      <c r="G312">
        <v>5000</v>
      </c>
    </row>
    <row r="313" spans="1:7" x14ac:dyDescent="0.3">
      <c r="A313" s="80">
        <v>45721</v>
      </c>
      <c r="B313">
        <v>1010100</v>
      </c>
      <c r="C313">
        <v>29990</v>
      </c>
      <c r="E313" s="80">
        <v>45709</v>
      </c>
      <c r="F313">
        <v>1010900</v>
      </c>
      <c r="G313">
        <v>3000</v>
      </c>
    </row>
    <row r="314" spans="1:7" x14ac:dyDescent="0.3">
      <c r="A314" s="80">
        <v>45720</v>
      </c>
      <c r="B314">
        <v>1010100</v>
      </c>
      <c r="C314">
        <v>29990</v>
      </c>
      <c r="E314" s="80">
        <v>45709</v>
      </c>
      <c r="F314">
        <v>1010900</v>
      </c>
      <c r="G314">
        <v>5000</v>
      </c>
    </row>
    <row r="315" spans="1:7" x14ac:dyDescent="0.3">
      <c r="A315" s="80">
        <v>45720</v>
      </c>
      <c r="B315">
        <v>1010100</v>
      </c>
      <c r="C315">
        <v>29990</v>
      </c>
      <c r="E315" s="80">
        <v>45709</v>
      </c>
      <c r="F315">
        <v>1010900</v>
      </c>
      <c r="G315">
        <v>5000</v>
      </c>
    </row>
    <row r="316" spans="1:7" x14ac:dyDescent="0.3">
      <c r="A316" s="80">
        <v>45720</v>
      </c>
      <c r="B316">
        <v>1010100</v>
      </c>
      <c r="C316">
        <v>21740</v>
      </c>
      <c r="E316" s="80">
        <v>45709</v>
      </c>
      <c r="F316">
        <v>1010900</v>
      </c>
      <c r="G316">
        <v>5000</v>
      </c>
    </row>
    <row r="317" spans="1:7" x14ac:dyDescent="0.3">
      <c r="A317" s="80">
        <v>45720</v>
      </c>
      <c r="B317">
        <v>1010100</v>
      </c>
      <c r="C317">
        <v>29990</v>
      </c>
      <c r="E317" s="80">
        <v>45709</v>
      </c>
      <c r="F317">
        <v>1010900</v>
      </c>
      <c r="G317">
        <v>5000</v>
      </c>
    </row>
    <row r="318" spans="1:7" x14ac:dyDescent="0.3">
      <c r="A318" s="80">
        <v>45719</v>
      </c>
      <c r="B318">
        <v>1010100</v>
      </c>
      <c r="C318">
        <v>29990</v>
      </c>
      <c r="E318" s="80">
        <v>45709</v>
      </c>
      <c r="F318">
        <v>1010900</v>
      </c>
      <c r="G318">
        <v>5000</v>
      </c>
    </row>
    <row r="319" spans="1:7" x14ac:dyDescent="0.3">
      <c r="A319" s="80">
        <v>45719</v>
      </c>
      <c r="B319">
        <v>1010100</v>
      </c>
      <c r="C319">
        <v>59980</v>
      </c>
      <c r="E319" s="80">
        <v>45709</v>
      </c>
      <c r="F319">
        <v>1010900</v>
      </c>
      <c r="G319">
        <v>5000</v>
      </c>
    </row>
    <row r="320" spans="1:7" x14ac:dyDescent="0.3">
      <c r="A320" s="80">
        <v>45719</v>
      </c>
      <c r="B320">
        <v>1010100</v>
      </c>
      <c r="C320">
        <v>29990</v>
      </c>
      <c r="E320" s="80">
        <v>45709</v>
      </c>
      <c r="F320">
        <v>1010900</v>
      </c>
      <c r="G320">
        <v>5000</v>
      </c>
    </row>
    <row r="321" spans="1:7" x14ac:dyDescent="0.3">
      <c r="A321" s="80">
        <v>45719</v>
      </c>
      <c r="B321">
        <v>1010100</v>
      </c>
      <c r="C321">
        <v>29990</v>
      </c>
      <c r="E321" s="80">
        <v>45709</v>
      </c>
      <c r="F321">
        <v>1010900</v>
      </c>
      <c r="G321">
        <v>5000</v>
      </c>
    </row>
    <row r="322" spans="1:7" x14ac:dyDescent="0.3">
      <c r="A322" s="80">
        <v>45718</v>
      </c>
      <c r="B322">
        <v>1010100</v>
      </c>
      <c r="C322">
        <v>29990</v>
      </c>
      <c r="E322" s="80">
        <v>45709</v>
      </c>
      <c r="F322">
        <v>1010900</v>
      </c>
      <c r="G322">
        <v>5000</v>
      </c>
    </row>
    <row r="323" spans="1:7" x14ac:dyDescent="0.3">
      <c r="A323" s="80">
        <v>45718</v>
      </c>
      <c r="B323">
        <v>1010100</v>
      </c>
      <c r="C323">
        <v>29990</v>
      </c>
      <c r="E323" s="80">
        <v>45708</v>
      </c>
      <c r="F323">
        <v>1010900</v>
      </c>
      <c r="G323">
        <v>5000</v>
      </c>
    </row>
    <row r="324" spans="1:7" x14ac:dyDescent="0.3">
      <c r="A324" s="80">
        <v>45718</v>
      </c>
      <c r="B324">
        <v>1010100</v>
      </c>
      <c r="C324">
        <v>29990</v>
      </c>
      <c r="E324" s="80">
        <v>45708</v>
      </c>
      <c r="F324">
        <v>1010900</v>
      </c>
      <c r="G324">
        <v>5000</v>
      </c>
    </row>
    <row r="325" spans="1:7" x14ac:dyDescent="0.3">
      <c r="A325" s="80">
        <v>45718</v>
      </c>
      <c r="B325">
        <v>1010100</v>
      </c>
      <c r="C325">
        <v>21740</v>
      </c>
      <c r="E325" s="80">
        <v>45708</v>
      </c>
      <c r="F325">
        <v>1010900</v>
      </c>
      <c r="G325">
        <v>5000</v>
      </c>
    </row>
    <row r="326" spans="1:7" x14ac:dyDescent="0.3">
      <c r="A326" s="80">
        <v>45718</v>
      </c>
      <c r="B326">
        <v>1010100</v>
      </c>
      <c r="C326">
        <v>29990</v>
      </c>
      <c r="E326" s="80">
        <v>45708</v>
      </c>
      <c r="F326">
        <v>1010900</v>
      </c>
      <c r="G326">
        <v>8769</v>
      </c>
    </row>
    <row r="327" spans="1:7" x14ac:dyDescent="0.3">
      <c r="A327" s="80">
        <v>45718</v>
      </c>
      <c r="B327">
        <v>1010100</v>
      </c>
      <c r="C327">
        <v>29990</v>
      </c>
      <c r="E327" s="80">
        <v>45708</v>
      </c>
      <c r="F327">
        <v>1010900</v>
      </c>
      <c r="G327">
        <v>5000</v>
      </c>
    </row>
    <row r="328" spans="1:7" x14ac:dyDescent="0.3">
      <c r="A328" s="80">
        <v>45718</v>
      </c>
      <c r="B328">
        <v>1010100</v>
      </c>
      <c r="C328">
        <v>21740</v>
      </c>
      <c r="E328" s="80">
        <v>45708</v>
      </c>
      <c r="F328">
        <v>1010900</v>
      </c>
      <c r="G328">
        <v>8769</v>
      </c>
    </row>
    <row r="329" spans="1:7" x14ac:dyDescent="0.3">
      <c r="A329" s="80">
        <v>45718</v>
      </c>
      <c r="B329">
        <v>1010100</v>
      </c>
      <c r="C329">
        <v>29990</v>
      </c>
      <c r="E329" s="80">
        <v>45708</v>
      </c>
      <c r="F329">
        <v>1010900</v>
      </c>
      <c r="G329">
        <v>5000</v>
      </c>
    </row>
    <row r="330" spans="1:7" x14ac:dyDescent="0.3">
      <c r="A330" s="80">
        <v>45718</v>
      </c>
      <c r="B330">
        <v>1010100</v>
      </c>
      <c r="C330">
        <v>8991</v>
      </c>
      <c r="E330" s="80">
        <v>45707</v>
      </c>
      <c r="F330">
        <v>1010900</v>
      </c>
      <c r="G330">
        <v>8769</v>
      </c>
    </row>
    <row r="331" spans="1:7" x14ac:dyDescent="0.3">
      <c r="A331" s="80">
        <v>45718</v>
      </c>
      <c r="B331">
        <v>1010100</v>
      </c>
      <c r="C331">
        <v>26991</v>
      </c>
      <c r="E331" s="80">
        <v>45705</v>
      </c>
      <c r="F331">
        <v>1010900</v>
      </c>
      <c r="G331">
        <v>8769</v>
      </c>
    </row>
    <row r="332" spans="1:7" x14ac:dyDescent="0.3">
      <c r="A332" s="80">
        <v>45717</v>
      </c>
      <c r="B332">
        <v>1010100</v>
      </c>
      <c r="C332">
        <v>29990</v>
      </c>
      <c r="E332" s="80">
        <v>45705</v>
      </c>
      <c r="F332">
        <v>1010900</v>
      </c>
      <c r="G332">
        <v>5000</v>
      </c>
    </row>
    <row r="333" spans="1:7" x14ac:dyDescent="0.3">
      <c r="A333" s="80">
        <v>45717</v>
      </c>
      <c r="B333">
        <v>1010100</v>
      </c>
      <c r="C333">
        <v>29990</v>
      </c>
      <c r="E333" s="80">
        <v>45705</v>
      </c>
      <c r="F333">
        <v>1010900</v>
      </c>
      <c r="G333">
        <v>8769</v>
      </c>
    </row>
    <row r="334" spans="1:7" x14ac:dyDescent="0.3">
      <c r="A334" s="80">
        <v>45717</v>
      </c>
      <c r="B334">
        <v>1010100</v>
      </c>
      <c r="C334">
        <v>29990</v>
      </c>
      <c r="E334" s="80">
        <v>45704</v>
      </c>
      <c r="F334">
        <v>1010900</v>
      </c>
      <c r="G334">
        <v>8769</v>
      </c>
    </row>
    <row r="335" spans="1:7" x14ac:dyDescent="0.3">
      <c r="A335" s="80">
        <v>45717</v>
      </c>
      <c r="B335">
        <v>1010100</v>
      </c>
      <c r="C335">
        <v>29990</v>
      </c>
      <c r="E335" s="80">
        <v>45704</v>
      </c>
      <c r="F335">
        <v>1010900</v>
      </c>
      <c r="G335">
        <v>8769</v>
      </c>
    </row>
    <row r="336" spans="1:7" x14ac:dyDescent="0.3">
      <c r="A336" s="80">
        <v>45717</v>
      </c>
      <c r="B336">
        <v>1010100</v>
      </c>
      <c r="C336">
        <v>29990</v>
      </c>
      <c r="E336" s="80">
        <v>45704</v>
      </c>
      <c r="F336">
        <v>1010900</v>
      </c>
      <c r="G336">
        <v>5000</v>
      </c>
    </row>
    <row r="337" spans="1:7" x14ac:dyDescent="0.3">
      <c r="A337" s="80">
        <v>45717</v>
      </c>
      <c r="B337">
        <v>1010100</v>
      </c>
      <c r="C337">
        <v>29990</v>
      </c>
      <c r="E337" s="80">
        <v>45703</v>
      </c>
      <c r="F337">
        <v>1010900</v>
      </c>
      <c r="G337">
        <v>8769</v>
      </c>
    </row>
    <row r="338" spans="1:7" x14ac:dyDescent="0.3">
      <c r="A338" s="80">
        <v>45717</v>
      </c>
      <c r="B338">
        <v>1010100</v>
      </c>
      <c r="C338">
        <v>29990</v>
      </c>
      <c r="E338" s="80">
        <v>45703</v>
      </c>
      <c r="F338">
        <v>1010900</v>
      </c>
      <c r="G338">
        <v>5000</v>
      </c>
    </row>
    <row r="339" spans="1:7" x14ac:dyDescent="0.3">
      <c r="A339" s="80">
        <v>45717</v>
      </c>
      <c r="B339">
        <v>1010100</v>
      </c>
      <c r="C339">
        <v>29990</v>
      </c>
      <c r="E339" s="80">
        <v>45703</v>
      </c>
      <c r="F339">
        <v>1010900</v>
      </c>
      <c r="G339">
        <v>5000</v>
      </c>
    </row>
    <row r="340" spans="1:7" x14ac:dyDescent="0.3">
      <c r="A340" s="80">
        <v>45716</v>
      </c>
      <c r="B340">
        <v>1010100</v>
      </c>
      <c r="C340">
        <v>29990</v>
      </c>
      <c r="E340" s="80">
        <v>45703</v>
      </c>
      <c r="F340">
        <v>1010900</v>
      </c>
      <c r="G340">
        <v>5000</v>
      </c>
    </row>
    <row r="341" spans="1:7" x14ac:dyDescent="0.3">
      <c r="A341" s="80">
        <v>45716</v>
      </c>
      <c r="B341">
        <v>1010100</v>
      </c>
      <c r="C341">
        <v>29990</v>
      </c>
      <c r="E341" s="80">
        <v>45702</v>
      </c>
      <c r="F341">
        <v>1010900</v>
      </c>
      <c r="G341">
        <v>5000</v>
      </c>
    </row>
    <row r="342" spans="1:7" x14ac:dyDescent="0.3">
      <c r="A342" s="80">
        <v>45716</v>
      </c>
      <c r="B342">
        <v>1010100</v>
      </c>
      <c r="C342">
        <v>21740</v>
      </c>
      <c r="E342" s="80">
        <v>45702</v>
      </c>
      <c r="F342">
        <v>1010900</v>
      </c>
      <c r="G342">
        <v>8769</v>
      </c>
    </row>
    <row r="343" spans="1:7" x14ac:dyDescent="0.3">
      <c r="A343" s="80">
        <v>45716</v>
      </c>
      <c r="B343">
        <v>1010100</v>
      </c>
      <c r="C343">
        <v>29990</v>
      </c>
      <c r="E343" s="80">
        <v>45701</v>
      </c>
      <c r="F343">
        <v>1010900</v>
      </c>
      <c r="G343">
        <v>8769</v>
      </c>
    </row>
    <row r="344" spans="1:7" x14ac:dyDescent="0.3">
      <c r="A344" s="80">
        <v>45716</v>
      </c>
      <c r="B344">
        <v>1010100</v>
      </c>
      <c r="C344">
        <v>29990</v>
      </c>
      <c r="E344" s="80">
        <v>45701</v>
      </c>
      <c r="F344">
        <v>1010900</v>
      </c>
      <c r="G344">
        <v>8769</v>
      </c>
    </row>
    <row r="345" spans="1:7" x14ac:dyDescent="0.3">
      <c r="A345" s="80">
        <v>45716</v>
      </c>
      <c r="B345">
        <v>1010100</v>
      </c>
      <c r="C345">
        <v>9990</v>
      </c>
      <c r="E345" s="80">
        <v>45701</v>
      </c>
      <c r="F345">
        <v>1010900</v>
      </c>
      <c r="G345">
        <v>8769</v>
      </c>
    </row>
    <row r="346" spans="1:7" x14ac:dyDescent="0.3">
      <c r="A346" s="80">
        <v>45716</v>
      </c>
      <c r="B346">
        <v>1010100</v>
      </c>
      <c r="C346">
        <v>29990</v>
      </c>
      <c r="E346" s="80">
        <v>45699</v>
      </c>
      <c r="F346">
        <v>1010900</v>
      </c>
      <c r="G346">
        <v>5000</v>
      </c>
    </row>
    <row r="347" spans="1:7" x14ac:dyDescent="0.3">
      <c r="A347" s="80">
        <v>45716</v>
      </c>
      <c r="B347">
        <v>1010100</v>
      </c>
      <c r="C347">
        <v>29990</v>
      </c>
      <c r="E347" s="80">
        <v>45699</v>
      </c>
      <c r="F347">
        <v>1010900</v>
      </c>
      <c r="G347">
        <v>8769</v>
      </c>
    </row>
    <row r="348" spans="1:7" x14ac:dyDescent="0.3">
      <c r="A348" s="80">
        <v>45715</v>
      </c>
      <c r="B348">
        <v>1010100</v>
      </c>
      <c r="C348">
        <v>21740</v>
      </c>
      <c r="E348" s="80">
        <v>45699</v>
      </c>
      <c r="F348">
        <v>1010900</v>
      </c>
      <c r="G348">
        <v>8769</v>
      </c>
    </row>
    <row r="349" spans="1:7" x14ac:dyDescent="0.3">
      <c r="A349" s="80">
        <v>45715</v>
      </c>
      <c r="B349">
        <v>1010100</v>
      </c>
      <c r="C349">
        <v>29990</v>
      </c>
      <c r="E349" s="80">
        <v>45699</v>
      </c>
      <c r="F349">
        <v>1010900</v>
      </c>
      <c r="G349">
        <v>2630</v>
      </c>
    </row>
    <row r="350" spans="1:7" x14ac:dyDescent="0.3">
      <c r="A350" s="80">
        <v>45715</v>
      </c>
      <c r="B350">
        <v>1010100</v>
      </c>
      <c r="C350">
        <v>29990</v>
      </c>
      <c r="E350" s="80">
        <v>45698</v>
      </c>
      <c r="F350">
        <v>1010900</v>
      </c>
      <c r="G350">
        <v>8769</v>
      </c>
    </row>
    <row r="351" spans="1:7" x14ac:dyDescent="0.3">
      <c r="A351" s="80">
        <v>45715</v>
      </c>
      <c r="B351">
        <v>1010100</v>
      </c>
      <c r="C351">
        <v>29990</v>
      </c>
      <c r="E351" s="80">
        <v>45698</v>
      </c>
      <c r="F351">
        <v>1010900</v>
      </c>
      <c r="G351">
        <v>6400</v>
      </c>
    </row>
    <row r="352" spans="1:7" x14ac:dyDescent="0.3">
      <c r="A352" s="80">
        <v>45714</v>
      </c>
      <c r="B352">
        <v>1010100</v>
      </c>
      <c r="C352">
        <v>29990</v>
      </c>
      <c r="E352" s="80">
        <v>45698</v>
      </c>
      <c r="F352">
        <v>1010900</v>
      </c>
      <c r="G352">
        <v>8769</v>
      </c>
    </row>
    <row r="353" spans="1:7" x14ac:dyDescent="0.3">
      <c r="A353" s="80">
        <v>45714</v>
      </c>
      <c r="B353">
        <v>1010100</v>
      </c>
      <c r="C353">
        <v>9990</v>
      </c>
      <c r="E353" s="80">
        <v>45698</v>
      </c>
      <c r="F353">
        <v>1010900</v>
      </c>
      <c r="G353">
        <v>8769</v>
      </c>
    </row>
    <row r="354" spans="1:7" x14ac:dyDescent="0.3">
      <c r="A354" s="80">
        <v>45714</v>
      </c>
      <c r="B354">
        <v>1010100</v>
      </c>
      <c r="C354">
        <v>29990</v>
      </c>
      <c r="E354" s="80">
        <v>45698</v>
      </c>
      <c r="F354">
        <v>1010900</v>
      </c>
      <c r="G354">
        <v>8769</v>
      </c>
    </row>
    <row r="355" spans="1:7" x14ac:dyDescent="0.3">
      <c r="A355" s="80">
        <v>45714</v>
      </c>
      <c r="B355">
        <v>1010100</v>
      </c>
      <c r="C355">
        <v>29990</v>
      </c>
      <c r="E355" s="80">
        <v>45698</v>
      </c>
      <c r="F355">
        <v>1010900</v>
      </c>
      <c r="G355">
        <v>6400</v>
      </c>
    </row>
    <row r="356" spans="1:7" x14ac:dyDescent="0.3">
      <c r="A356" s="80">
        <v>45713</v>
      </c>
      <c r="B356">
        <v>1010100</v>
      </c>
      <c r="C356">
        <v>29990</v>
      </c>
      <c r="E356" s="80">
        <v>45697</v>
      </c>
      <c r="F356">
        <v>1010900</v>
      </c>
      <c r="G356">
        <v>8769</v>
      </c>
    </row>
    <row r="357" spans="1:7" x14ac:dyDescent="0.3">
      <c r="A357" s="80">
        <v>45713</v>
      </c>
      <c r="B357">
        <v>1010100</v>
      </c>
      <c r="C357">
        <v>29990</v>
      </c>
      <c r="E357" s="80">
        <v>45697</v>
      </c>
      <c r="F357">
        <v>1010900</v>
      </c>
      <c r="G357">
        <v>5000</v>
      </c>
    </row>
    <row r="358" spans="1:7" x14ac:dyDescent="0.3">
      <c r="A358" s="80">
        <v>45713</v>
      </c>
      <c r="B358">
        <v>1010100</v>
      </c>
      <c r="C358">
        <v>29990</v>
      </c>
      <c r="E358" s="80">
        <v>45696</v>
      </c>
      <c r="F358">
        <v>1010900</v>
      </c>
      <c r="G358">
        <v>6400</v>
      </c>
    </row>
    <row r="359" spans="1:7" x14ac:dyDescent="0.3">
      <c r="A359" s="80">
        <v>45713</v>
      </c>
      <c r="B359">
        <v>1010100</v>
      </c>
      <c r="C359">
        <v>29990</v>
      </c>
      <c r="E359" s="80">
        <v>45696</v>
      </c>
      <c r="F359">
        <v>1010900</v>
      </c>
      <c r="G359">
        <v>5000</v>
      </c>
    </row>
    <row r="360" spans="1:7" x14ac:dyDescent="0.3">
      <c r="A360" s="80">
        <v>45712</v>
      </c>
      <c r="B360">
        <v>1010100</v>
      </c>
      <c r="C360">
        <v>29990</v>
      </c>
      <c r="E360" s="80">
        <v>45696</v>
      </c>
      <c r="F360">
        <v>1010900</v>
      </c>
      <c r="G360">
        <v>5000</v>
      </c>
    </row>
    <row r="361" spans="1:7" x14ac:dyDescent="0.3">
      <c r="A361" s="80">
        <v>45712</v>
      </c>
      <c r="B361">
        <v>1010100</v>
      </c>
      <c r="C361">
        <v>29990</v>
      </c>
      <c r="E361" s="80">
        <v>45696</v>
      </c>
      <c r="F361">
        <v>1010900</v>
      </c>
      <c r="G361">
        <v>8769</v>
      </c>
    </row>
    <row r="362" spans="1:7" x14ac:dyDescent="0.3">
      <c r="A362" s="80">
        <v>45712</v>
      </c>
      <c r="B362">
        <v>1010100</v>
      </c>
      <c r="C362">
        <v>26991</v>
      </c>
      <c r="E362" s="80">
        <v>45696</v>
      </c>
      <c r="F362">
        <v>1010900</v>
      </c>
      <c r="G362">
        <v>5000</v>
      </c>
    </row>
    <row r="363" spans="1:7" x14ac:dyDescent="0.3">
      <c r="A363" s="80">
        <v>45712</v>
      </c>
      <c r="B363">
        <v>1010100</v>
      </c>
      <c r="C363">
        <v>21990</v>
      </c>
      <c r="E363" s="80">
        <v>45695</v>
      </c>
      <c r="F363">
        <v>1010900</v>
      </c>
      <c r="G363">
        <v>5000</v>
      </c>
    </row>
    <row r="364" spans="1:7" x14ac:dyDescent="0.3">
      <c r="A364" s="80">
        <v>45712</v>
      </c>
      <c r="B364">
        <v>1010100</v>
      </c>
      <c r="C364">
        <v>29990</v>
      </c>
      <c r="E364" s="80">
        <v>45695</v>
      </c>
      <c r="F364">
        <v>1010900</v>
      </c>
      <c r="G364">
        <v>5000</v>
      </c>
    </row>
    <row r="365" spans="1:7" x14ac:dyDescent="0.3">
      <c r="A365" s="80">
        <v>45711</v>
      </c>
      <c r="B365">
        <v>1010100</v>
      </c>
      <c r="C365">
        <v>29990</v>
      </c>
      <c r="E365" s="80">
        <v>45695</v>
      </c>
      <c r="F365">
        <v>1010900</v>
      </c>
      <c r="G365">
        <v>5000</v>
      </c>
    </row>
    <row r="366" spans="1:7" x14ac:dyDescent="0.3">
      <c r="A366" s="80">
        <v>45711</v>
      </c>
      <c r="B366">
        <v>1010100</v>
      </c>
      <c r="C366">
        <v>29990</v>
      </c>
      <c r="E366" s="80">
        <v>45695</v>
      </c>
      <c r="F366">
        <v>1010900</v>
      </c>
      <c r="G366">
        <v>5000</v>
      </c>
    </row>
    <row r="367" spans="1:7" x14ac:dyDescent="0.3">
      <c r="A367" s="80">
        <v>45710</v>
      </c>
      <c r="B367">
        <v>1010100</v>
      </c>
      <c r="C367">
        <v>29990</v>
      </c>
      <c r="E367" s="80">
        <v>45695</v>
      </c>
      <c r="F367">
        <v>1010900</v>
      </c>
      <c r="G367">
        <v>5000</v>
      </c>
    </row>
    <row r="368" spans="1:7" x14ac:dyDescent="0.3">
      <c r="A368" s="80">
        <v>45710</v>
      </c>
      <c r="B368">
        <v>1010100</v>
      </c>
      <c r="C368">
        <v>29990</v>
      </c>
      <c r="E368" s="80">
        <v>45695</v>
      </c>
      <c r="F368">
        <v>1010900</v>
      </c>
      <c r="G368">
        <v>5000</v>
      </c>
    </row>
    <row r="369" spans="1:7" x14ac:dyDescent="0.3">
      <c r="A369" s="80">
        <v>45710</v>
      </c>
      <c r="B369">
        <v>1010100</v>
      </c>
      <c r="C369">
        <v>29990</v>
      </c>
      <c r="E369" s="80">
        <v>45694</v>
      </c>
      <c r="F369">
        <v>1010900</v>
      </c>
      <c r="G369">
        <v>5000</v>
      </c>
    </row>
    <row r="370" spans="1:7" x14ac:dyDescent="0.3">
      <c r="A370" s="80">
        <v>45710</v>
      </c>
      <c r="B370">
        <v>1010100</v>
      </c>
      <c r="C370">
        <v>29990</v>
      </c>
      <c r="E370" s="80">
        <v>45694</v>
      </c>
      <c r="F370">
        <v>1010900</v>
      </c>
      <c r="G370">
        <v>5000</v>
      </c>
    </row>
    <row r="371" spans="1:7" x14ac:dyDescent="0.3">
      <c r="A371" s="80">
        <v>45710</v>
      </c>
      <c r="B371">
        <v>1010100</v>
      </c>
      <c r="C371">
        <v>29990</v>
      </c>
      <c r="E371" s="80">
        <v>45694</v>
      </c>
      <c r="F371">
        <v>1010900</v>
      </c>
      <c r="G371">
        <v>5000</v>
      </c>
    </row>
    <row r="372" spans="1:7" x14ac:dyDescent="0.3">
      <c r="A372" s="80">
        <v>45710</v>
      </c>
      <c r="B372">
        <v>1010100</v>
      </c>
      <c r="C372">
        <v>29990</v>
      </c>
      <c r="E372" s="80">
        <v>45694</v>
      </c>
      <c r="F372">
        <v>1010900</v>
      </c>
      <c r="G372">
        <v>8769</v>
      </c>
    </row>
    <row r="373" spans="1:7" x14ac:dyDescent="0.3">
      <c r="A373" s="80">
        <v>45710</v>
      </c>
      <c r="B373">
        <v>1010100</v>
      </c>
      <c r="C373">
        <v>29990</v>
      </c>
      <c r="E373" s="80">
        <v>45694</v>
      </c>
      <c r="F373">
        <v>1010900</v>
      </c>
      <c r="G373">
        <v>5000</v>
      </c>
    </row>
    <row r="374" spans="1:7" x14ac:dyDescent="0.3">
      <c r="A374" s="80">
        <v>45710</v>
      </c>
      <c r="B374">
        <v>1010100</v>
      </c>
      <c r="C374">
        <v>29990</v>
      </c>
      <c r="E374" s="80">
        <v>45694</v>
      </c>
      <c r="F374">
        <v>1010900</v>
      </c>
      <c r="G374">
        <v>500</v>
      </c>
    </row>
    <row r="375" spans="1:7" x14ac:dyDescent="0.3">
      <c r="A375" s="80">
        <v>45710</v>
      </c>
      <c r="B375">
        <v>1010100</v>
      </c>
      <c r="C375">
        <v>26991</v>
      </c>
      <c r="E375" s="80">
        <v>45694</v>
      </c>
      <c r="F375">
        <v>1010900</v>
      </c>
      <c r="G375">
        <v>5000</v>
      </c>
    </row>
    <row r="376" spans="1:7" x14ac:dyDescent="0.3">
      <c r="A376" s="80">
        <v>45710</v>
      </c>
      <c r="B376">
        <v>1010100</v>
      </c>
      <c r="C376">
        <v>29990</v>
      </c>
      <c r="E376" s="80">
        <v>45694</v>
      </c>
      <c r="F376">
        <v>1010900</v>
      </c>
      <c r="G376">
        <v>17538</v>
      </c>
    </row>
    <row r="377" spans="1:7" x14ac:dyDescent="0.3">
      <c r="A377" s="80">
        <v>45709</v>
      </c>
      <c r="B377">
        <v>1010100</v>
      </c>
      <c r="C377">
        <v>29990</v>
      </c>
      <c r="E377" s="80">
        <v>45694</v>
      </c>
      <c r="F377">
        <v>1010900</v>
      </c>
      <c r="G377">
        <v>5000</v>
      </c>
    </row>
    <row r="378" spans="1:7" x14ac:dyDescent="0.3">
      <c r="A378" s="80">
        <v>45709</v>
      </c>
      <c r="B378">
        <v>1010100</v>
      </c>
      <c r="C378">
        <v>29990</v>
      </c>
      <c r="E378" s="80">
        <v>45694</v>
      </c>
      <c r="F378">
        <v>1010900</v>
      </c>
      <c r="G378">
        <v>5000</v>
      </c>
    </row>
    <row r="379" spans="1:7" x14ac:dyDescent="0.3">
      <c r="A379" s="80">
        <v>45709</v>
      </c>
      <c r="B379">
        <v>1010100</v>
      </c>
      <c r="C379">
        <v>9990</v>
      </c>
      <c r="E379" s="80">
        <v>45694</v>
      </c>
      <c r="F379">
        <v>1010900</v>
      </c>
      <c r="G379">
        <v>5000</v>
      </c>
    </row>
    <row r="380" spans="1:7" x14ac:dyDescent="0.3">
      <c r="A380" s="80">
        <v>45709</v>
      </c>
      <c r="B380">
        <v>1010100</v>
      </c>
      <c r="C380">
        <v>29990</v>
      </c>
      <c r="E380" s="80">
        <v>45693</v>
      </c>
      <c r="F380">
        <v>1010900</v>
      </c>
      <c r="G380">
        <v>5000</v>
      </c>
    </row>
    <row r="381" spans="1:7" x14ac:dyDescent="0.3">
      <c r="A381" s="80">
        <v>45709</v>
      </c>
      <c r="B381">
        <v>1010100</v>
      </c>
      <c r="C381">
        <v>29990</v>
      </c>
      <c r="E381" s="80">
        <v>45693</v>
      </c>
      <c r="F381">
        <v>1010900</v>
      </c>
      <c r="G381">
        <v>5000</v>
      </c>
    </row>
    <row r="382" spans="1:7" x14ac:dyDescent="0.3">
      <c r="A382" s="80">
        <v>45709</v>
      </c>
      <c r="B382">
        <v>1010100</v>
      </c>
      <c r="C382">
        <v>29990</v>
      </c>
      <c r="E382" s="80">
        <v>45693</v>
      </c>
      <c r="F382">
        <v>1010900</v>
      </c>
      <c r="G382">
        <v>5000</v>
      </c>
    </row>
    <row r="383" spans="1:7" x14ac:dyDescent="0.3">
      <c r="A383" s="80">
        <v>45709</v>
      </c>
      <c r="B383">
        <v>1010100</v>
      </c>
      <c r="C383">
        <v>29990</v>
      </c>
      <c r="E383" s="80">
        <v>45693</v>
      </c>
      <c r="F383">
        <v>1010900</v>
      </c>
      <c r="G383">
        <v>8769</v>
      </c>
    </row>
    <row r="384" spans="1:7" x14ac:dyDescent="0.3">
      <c r="A384" s="80">
        <v>45709</v>
      </c>
      <c r="B384">
        <v>1010100</v>
      </c>
      <c r="C384">
        <v>29990</v>
      </c>
      <c r="E384" s="80">
        <v>45693</v>
      </c>
      <c r="F384">
        <v>1010900</v>
      </c>
      <c r="G384">
        <v>8769</v>
      </c>
    </row>
    <row r="385" spans="1:7" x14ac:dyDescent="0.3">
      <c r="A385" s="80">
        <v>45709</v>
      </c>
      <c r="B385">
        <v>1010100</v>
      </c>
      <c r="C385">
        <v>29990</v>
      </c>
      <c r="E385" s="80">
        <v>45693</v>
      </c>
      <c r="F385">
        <v>1010900</v>
      </c>
      <c r="G385">
        <v>8769</v>
      </c>
    </row>
    <row r="386" spans="1:7" x14ac:dyDescent="0.3">
      <c r="A386" s="80">
        <v>45709</v>
      </c>
      <c r="B386">
        <v>1010100</v>
      </c>
      <c r="C386">
        <v>29990</v>
      </c>
      <c r="E386" s="80">
        <v>45693</v>
      </c>
      <c r="F386">
        <v>1010900</v>
      </c>
      <c r="G386">
        <v>5000</v>
      </c>
    </row>
    <row r="387" spans="1:7" x14ac:dyDescent="0.3">
      <c r="A387" s="80">
        <v>45709</v>
      </c>
      <c r="B387">
        <v>1010100</v>
      </c>
      <c r="C387">
        <v>29990</v>
      </c>
      <c r="E387" s="80">
        <v>45693</v>
      </c>
      <c r="F387">
        <v>1010900</v>
      </c>
      <c r="G387">
        <v>5000</v>
      </c>
    </row>
    <row r="388" spans="1:7" x14ac:dyDescent="0.3">
      <c r="A388" s="80">
        <v>45709</v>
      </c>
      <c r="B388">
        <v>1010100</v>
      </c>
      <c r="C388">
        <v>29990</v>
      </c>
      <c r="E388" s="80">
        <v>45693</v>
      </c>
      <c r="F388">
        <v>1010900</v>
      </c>
      <c r="G388">
        <v>5000</v>
      </c>
    </row>
    <row r="389" spans="1:7" x14ac:dyDescent="0.3">
      <c r="A389" s="80">
        <v>45708</v>
      </c>
      <c r="B389">
        <v>1010100</v>
      </c>
      <c r="C389">
        <v>29990</v>
      </c>
      <c r="E389" s="80">
        <v>45693</v>
      </c>
      <c r="F389">
        <v>1010900</v>
      </c>
      <c r="G389">
        <v>5000</v>
      </c>
    </row>
    <row r="390" spans="1:7" x14ac:dyDescent="0.3">
      <c r="A390" s="80">
        <v>45708</v>
      </c>
      <c r="B390">
        <v>1010100</v>
      </c>
      <c r="C390">
        <v>29990</v>
      </c>
      <c r="E390" s="80">
        <v>45693</v>
      </c>
      <c r="F390">
        <v>1010900</v>
      </c>
      <c r="G390">
        <v>8769</v>
      </c>
    </row>
    <row r="391" spans="1:7" x14ac:dyDescent="0.3">
      <c r="A391" s="80">
        <v>45708</v>
      </c>
      <c r="B391">
        <v>1010100</v>
      </c>
      <c r="C391">
        <v>29990</v>
      </c>
      <c r="E391" s="80">
        <v>45692</v>
      </c>
      <c r="F391">
        <v>1010900</v>
      </c>
      <c r="G391">
        <v>8769</v>
      </c>
    </row>
    <row r="392" spans="1:7" x14ac:dyDescent="0.3">
      <c r="A392" s="80">
        <v>45708</v>
      </c>
      <c r="B392">
        <v>1010100</v>
      </c>
      <c r="C392">
        <v>21990</v>
      </c>
      <c r="E392" s="80">
        <v>45692</v>
      </c>
      <c r="F392">
        <v>1010900</v>
      </c>
      <c r="G392">
        <v>8769</v>
      </c>
    </row>
    <row r="393" spans="1:7" x14ac:dyDescent="0.3">
      <c r="A393" s="80">
        <v>45708</v>
      </c>
      <c r="B393">
        <v>1010100</v>
      </c>
      <c r="C393">
        <v>29990</v>
      </c>
      <c r="E393" s="80">
        <v>45692</v>
      </c>
      <c r="F393">
        <v>1010900</v>
      </c>
      <c r="G393">
        <v>8769</v>
      </c>
    </row>
    <row r="394" spans="1:7" x14ac:dyDescent="0.3">
      <c r="A394" s="80">
        <v>45708</v>
      </c>
      <c r="B394">
        <v>1010100</v>
      </c>
      <c r="C394">
        <v>24990</v>
      </c>
      <c r="E394" s="80">
        <v>45692</v>
      </c>
      <c r="F394">
        <v>1010900</v>
      </c>
      <c r="G394">
        <v>5000</v>
      </c>
    </row>
    <row r="395" spans="1:7" x14ac:dyDescent="0.3">
      <c r="A395" s="80">
        <v>45708</v>
      </c>
      <c r="B395">
        <v>1010100</v>
      </c>
      <c r="C395">
        <v>29990</v>
      </c>
      <c r="E395" s="80">
        <v>45692</v>
      </c>
      <c r="F395">
        <v>1010900</v>
      </c>
      <c r="G395">
        <v>5000</v>
      </c>
    </row>
    <row r="396" spans="1:7" x14ac:dyDescent="0.3">
      <c r="A396" s="80">
        <v>45707</v>
      </c>
      <c r="B396">
        <v>1010100</v>
      </c>
      <c r="C396">
        <v>21990</v>
      </c>
      <c r="E396" s="80">
        <v>45692</v>
      </c>
      <c r="F396">
        <v>1010900</v>
      </c>
      <c r="G396">
        <v>5000</v>
      </c>
    </row>
    <row r="397" spans="1:7" x14ac:dyDescent="0.3">
      <c r="A397" s="80">
        <v>45705</v>
      </c>
      <c r="B397">
        <v>1010100</v>
      </c>
      <c r="C397">
        <v>21990</v>
      </c>
      <c r="E397" s="80">
        <v>45692</v>
      </c>
      <c r="F397">
        <v>1010900</v>
      </c>
      <c r="G397">
        <v>5000</v>
      </c>
    </row>
    <row r="398" spans="1:7" x14ac:dyDescent="0.3">
      <c r="A398" s="80">
        <v>45705</v>
      </c>
      <c r="B398">
        <v>1010100</v>
      </c>
      <c r="C398">
        <v>29990</v>
      </c>
      <c r="E398" s="80">
        <v>45692</v>
      </c>
      <c r="F398">
        <v>1010900</v>
      </c>
      <c r="G398">
        <v>5000</v>
      </c>
    </row>
    <row r="399" spans="1:7" x14ac:dyDescent="0.3">
      <c r="A399" s="80">
        <v>45705</v>
      </c>
      <c r="B399">
        <v>1010100</v>
      </c>
      <c r="C399">
        <v>21990</v>
      </c>
      <c r="E399" s="80">
        <v>45691</v>
      </c>
      <c r="F399">
        <v>1010900</v>
      </c>
      <c r="G399">
        <v>8769</v>
      </c>
    </row>
    <row r="400" spans="1:7" x14ac:dyDescent="0.3">
      <c r="A400" s="80">
        <v>45704</v>
      </c>
      <c r="B400">
        <v>1010100</v>
      </c>
      <c r="C400">
        <v>21990</v>
      </c>
      <c r="E400" s="80">
        <v>45691</v>
      </c>
      <c r="F400">
        <v>1010900</v>
      </c>
      <c r="G400">
        <v>5000</v>
      </c>
    </row>
    <row r="401" spans="1:7" x14ac:dyDescent="0.3">
      <c r="A401" s="80">
        <v>45704</v>
      </c>
      <c r="B401">
        <v>1010100</v>
      </c>
      <c r="C401">
        <v>24990</v>
      </c>
      <c r="E401" s="80">
        <v>45691</v>
      </c>
      <c r="F401">
        <v>1010900</v>
      </c>
      <c r="G401">
        <v>8769</v>
      </c>
    </row>
    <row r="402" spans="1:7" x14ac:dyDescent="0.3">
      <c r="A402" s="80">
        <v>45704</v>
      </c>
      <c r="B402">
        <v>1010100</v>
      </c>
      <c r="C402">
        <v>29990</v>
      </c>
      <c r="E402" s="80">
        <v>45691</v>
      </c>
      <c r="F402">
        <v>1010900</v>
      </c>
      <c r="G402">
        <v>5000</v>
      </c>
    </row>
    <row r="403" spans="1:7" x14ac:dyDescent="0.3">
      <c r="A403" s="80">
        <v>45703</v>
      </c>
      <c r="B403">
        <v>1010100</v>
      </c>
      <c r="C403">
        <v>21990</v>
      </c>
      <c r="E403" s="80">
        <v>45691</v>
      </c>
      <c r="F403">
        <v>1010900</v>
      </c>
      <c r="G403">
        <v>8769</v>
      </c>
    </row>
    <row r="404" spans="1:7" x14ac:dyDescent="0.3">
      <c r="A404" s="80">
        <v>45703</v>
      </c>
      <c r="B404">
        <v>1010100</v>
      </c>
      <c r="C404">
        <v>29990</v>
      </c>
      <c r="E404" s="80">
        <v>45691</v>
      </c>
      <c r="F404">
        <v>1010900</v>
      </c>
      <c r="G404">
        <v>5000</v>
      </c>
    </row>
    <row r="405" spans="1:7" x14ac:dyDescent="0.3">
      <c r="A405" s="80">
        <v>45703</v>
      </c>
      <c r="B405">
        <v>1010100</v>
      </c>
      <c r="C405">
        <v>29990</v>
      </c>
      <c r="E405" s="80">
        <v>45690</v>
      </c>
      <c r="F405">
        <v>1010900</v>
      </c>
      <c r="G405">
        <v>5000</v>
      </c>
    </row>
    <row r="406" spans="1:7" x14ac:dyDescent="0.3">
      <c r="A406" s="80">
        <v>45703</v>
      </c>
      <c r="B406">
        <v>1010100</v>
      </c>
      <c r="C406">
        <v>29990</v>
      </c>
      <c r="E406" s="80">
        <v>45690</v>
      </c>
      <c r="F406">
        <v>1010900</v>
      </c>
      <c r="G406">
        <v>5000</v>
      </c>
    </row>
    <row r="407" spans="1:7" x14ac:dyDescent="0.3">
      <c r="A407" s="80">
        <v>45702</v>
      </c>
      <c r="B407">
        <v>1010100</v>
      </c>
      <c r="C407">
        <v>29990</v>
      </c>
      <c r="E407" s="80">
        <v>45690</v>
      </c>
      <c r="F407">
        <v>1010900</v>
      </c>
      <c r="G407">
        <v>8769</v>
      </c>
    </row>
    <row r="408" spans="1:7" x14ac:dyDescent="0.3">
      <c r="A408" s="80">
        <v>45702</v>
      </c>
      <c r="B408">
        <v>1010100</v>
      </c>
      <c r="C408">
        <v>24990</v>
      </c>
      <c r="E408" s="80">
        <v>45690</v>
      </c>
      <c r="F408">
        <v>1010900</v>
      </c>
      <c r="G408">
        <v>5000</v>
      </c>
    </row>
    <row r="409" spans="1:7" x14ac:dyDescent="0.3">
      <c r="A409" s="80">
        <v>45701</v>
      </c>
      <c r="B409">
        <v>1010100</v>
      </c>
      <c r="C409">
        <v>21740</v>
      </c>
      <c r="E409" s="80">
        <v>45690</v>
      </c>
      <c r="F409">
        <v>1010900</v>
      </c>
      <c r="G409">
        <v>5000</v>
      </c>
    </row>
    <row r="410" spans="1:7" x14ac:dyDescent="0.3">
      <c r="A410" s="80">
        <v>45701</v>
      </c>
      <c r="B410">
        <v>1010100</v>
      </c>
      <c r="C410">
        <v>21740</v>
      </c>
      <c r="E410" s="80">
        <v>45690</v>
      </c>
      <c r="F410">
        <v>1010900</v>
      </c>
      <c r="G410">
        <v>5000</v>
      </c>
    </row>
    <row r="411" spans="1:7" x14ac:dyDescent="0.3">
      <c r="A411" s="80">
        <v>45701</v>
      </c>
      <c r="B411">
        <v>1010100</v>
      </c>
      <c r="C411">
        <v>21740</v>
      </c>
      <c r="E411" s="80">
        <v>45690</v>
      </c>
      <c r="F411">
        <v>1010900</v>
      </c>
      <c r="G411">
        <v>5000</v>
      </c>
    </row>
    <row r="412" spans="1:7" x14ac:dyDescent="0.3">
      <c r="A412" s="80">
        <v>45699</v>
      </c>
      <c r="B412">
        <v>1010100</v>
      </c>
      <c r="C412">
        <v>29990</v>
      </c>
      <c r="E412" s="80">
        <v>45690</v>
      </c>
      <c r="F412">
        <v>1010900</v>
      </c>
      <c r="G412">
        <v>5000</v>
      </c>
    </row>
    <row r="413" spans="1:7" x14ac:dyDescent="0.3">
      <c r="A413" s="80">
        <v>45699</v>
      </c>
      <c r="B413">
        <v>1010100</v>
      </c>
      <c r="C413">
        <v>21740</v>
      </c>
      <c r="E413" s="80">
        <v>45690</v>
      </c>
      <c r="F413">
        <v>1010900</v>
      </c>
      <c r="G413">
        <v>5000</v>
      </c>
    </row>
    <row r="414" spans="1:7" x14ac:dyDescent="0.3">
      <c r="A414" s="80">
        <v>45699</v>
      </c>
      <c r="B414">
        <v>1010100</v>
      </c>
      <c r="C414">
        <v>21740</v>
      </c>
      <c r="E414" s="80">
        <v>45690</v>
      </c>
      <c r="F414">
        <v>1010900</v>
      </c>
      <c r="G414">
        <v>5000</v>
      </c>
    </row>
    <row r="415" spans="1:7" x14ac:dyDescent="0.3">
      <c r="A415" s="80">
        <v>45699</v>
      </c>
      <c r="B415">
        <v>1010100</v>
      </c>
      <c r="C415">
        <v>9990</v>
      </c>
      <c r="E415" s="80">
        <v>45690</v>
      </c>
      <c r="F415">
        <v>1010900</v>
      </c>
      <c r="G415">
        <v>5000</v>
      </c>
    </row>
    <row r="416" spans="1:7" x14ac:dyDescent="0.3">
      <c r="A416" s="80">
        <v>45698</v>
      </c>
      <c r="B416">
        <v>1010100</v>
      </c>
      <c r="C416">
        <v>21740</v>
      </c>
      <c r="E416" s="80">
        <v>45690</v>
      </c>
      <c r="F416">
        <v>1010900</v>
      </c>
      <c r="G416">
        <v>5000</v>
      </c>
    </row>
    <row r="417" spans="1:7" x14ac:dyDescent="0.3">
      <c r="A417" s="80">
        <v>45698</v>
      </c>
      <c r="B417">
        <v>1010100</v>
      </c>
      <c r="C417">
        <v>18990</v>
      </c>
      <c r="E417" s="80">
        <v>45690</v>
      </c>
      <c r="F417">
        <v>1010900</v>
      </c>
      <c r="G417">
        <v>5000</v>
      </c>
    </row>
    <row r="418" spans="1:7" x14ac:dyDescent="0.3">
      <c r="A418" s="80">
        <v>45698</v>
      </c>
      <c r="B418">
        <v>1010100</v>
      </c>
      <c r="C418">
        <v>21740</v>
      </c>
      <c r="E418" s="80">
        <v>45690</v>
      </c>
      <c r="F418">
        <v>1010900</v>
      </c>
      <c r="G418">
        <v>5000</v>
      </c>
    </row>
    <row r="419" spans="1:7" x14ac:dyDescent="0.3">
      <c r="A419" s="80">
        <v>45698</v>
      </c>
      <c r="B419">
        <v>1010100</v>
      </c>
      <c r="C419">
        <v>21740</v>
      </c>
      <c r="E419" s="80">
        <v>45690</v>
      </c>
      <c r="F419">
        <v>1010900</v>
      </c>
      <c r="G419">
        <v>5000</v>
      </c>
    </row>
    <row r="420" spans="1:7" x14ac:dyDescent="0.3">
      <c r="A420" s="80">
        <v>45698</v>
      </c>
      <c r="B420">
        <v>1010100</v>
      </c>
      <c r="C420">
        <v>21740</v>
      </c>
      <c r="E420" s="80">
        <v>45690</v>
      </c>
      <c r="F420">
        <v>1010900</v>
      </c>
      <c r="G420">
        <v>8769</v>
      </c>
    </row>
    <row r="421" spans="1:7" x14ac:dyDescent="0.3">
      <c r="A421" s="80">
        <v>45698</v>
      </c>
      <c r="B421">
        <v>1010100</v>
      </c>
      <c r="C421">
        <v>18990</v>
      </c>
      <c r="E421" s="80">
        <v>45690</v>
      </c>
      <c r="F421">
        <v>1010900</v>
      </c>
      <c r="G421">
        <v>5000</v>
      </c>
    </row>
    <row r="422" spans="1:7" x14ac:dyDescent="0.3">
      <c r="A422" s="80">
        <v>45697</v>
      </c>
      <c r="B422">
        <v>1010100</v>
      </c>
      <c r="C422">
        <v>21740</v>
      </c>
      <c r="E422" s="80">
        <v>45690</v>
      </c>
      <c r="F422">
        <v>1010900</v>
      </c>
      <c r="G422">
        <v>2630</v>
      </c>
    </row>
    <row r="423" spans="1:7" x14ac:dyDescent="0.3">
      <c r="A423" s="80">
        <v>45697</v>
      </c>
      <c r="B423">
        <v>1010100</v>
      </c>
      <c r="C423">
        <v>29990</v>
      </c>
      <c r="E423" s="80">
        <v>45690</v>
      </c>
      <c r="F423">
        <v>1010900</v>
      </c>
      <c r="G423">
        <v>10000</v>
      </c>
    </row>
    <row r="424" spans="1:7" x14ac:dyDescent="0.3">
      <c r="A424" s="80">
        <v>45696</v>
      </c>
      <c r="B424">
        <v>1010100</v>
      </c>
      <c r="C424">
        <v>18990</v>
      </c>
      <c r="E424" s="80">
        <v>45690</v>
      </c>
      <c r="F424">
        <v>1010900</v>
      </c>
      <c r="G424">
        <v>5000</v>
      </c>
    </row>
    <row r="425" spans="1:7" x14ac:dyDescent="0.3">
      <c r="A425" s="80">
        <v>45696</v>
      </c>
      <c r="B425">
        <v>1010100</v>
      </c>
      <c r="C425">
        <v>29990</v>
      </c>
      <c r="E425" s="80">
        <v>45690</v>
      </c>
      <c r="F425">
        <v>1010900</v>
      </c>
      <c r="G425">
        <v>5000</v>
      </c>
    </row>
    <row r="426" spans="1:7" x14ac:dyDescent="0.3">
      <c r="A426" s="80">
        <v>45696</v>
      </c>
      <c r="B426">
        <v>1010100</v>
      </c>
      <c r="C426">
        <v>29990</v>
      </c>
      <c r="E426" s="80">
        <v>45690</v>
      </c>
      <c r="F426">
        <v>1010900</v>
      </c>
      <c r="G426">
        <v>5000</v>
      </c>
    </row>
    <row r="427" spans="1:7" x14ac:dyDescent="0.3">
      <c r="A427" s="80">
        <v>45696</v>
      </c>
      <c r="B427">
        <v>1010100</v>
      </c>
      <c r="C427">
        <v>21740</v>
      </c>
      <c r="E427" s="80">
        <v>45689</v>
      </c>
      <c r="F427">
        <v>1010900</v>
      </c>
      <c r="G427">
        <v>5000</v>
      </c>
    </row>
    <row r="428" spans="1:7" x14ac:dyDescent="0.3">
      <c r="A428" s="80">
        <v>45696</v>
      </c>
      <c r="B428">
        <v>1010100</v>
      </c>
      <c r="C428">
        <v>29990</v>
      </c>
      <c r="E428" s="80">
        <v>45689</v>
      </c>
      <c r="F428">
        <v>1010900</v>
      </c>
      <c r="G428">
        <v>5000</v>
      </c>
    </row>
    <row r="429" spans="1:7" x14ac:dyDescent="0.3">
      <c r="A429" s="80">
        <v>45695</v>
      </c>
      <c r="B429">
        <v>1010100</v>
      </c>
      <c r="C429">
        <v>29990</v>
      </c>
      <c r="E429" s="80">
        <v>45689</v>
      </c>
      <c r="F429">
        <v>1010900</v>
      </c>
      <c r="G429">
        <v>5000</v>
      </c>
    </row>
    <row r="430" spans="1:7" x14ac:dyDescent="0.3">
      <c r="A430" s="80">
        <v>45695</v>
      </c>
      <c r="B430">
        <v>1010100</v>
      </c>
      <c r="C430">
        <v>29990</v>
      </c>
      <c r="E430" s="80">
        <v>45689</v>
      </c>
      <c r="F430">
        <v>1010900</v>
      </c>
      <c r="G430">
        <v>8769</v>
      </c>
    </row>
    <row r="431" spans="1:7" x14ac:dyDescent="0.3">
      <c r="A431" s="80">
        <v>45695</v>
      </c>
      <c r="B431">
        <v>1010100</v>
      </c>
      <c r="C431">
        <v>29990</v>
      </c>
      <c r="E431" s="80">
        <v>45689</v>
      </c>
      <c r="F431">
        <v>1010900</v>
      </c>
      <c r="G431">
        <v>5000</v>
      </c>
    </row>
    <row r="432" spans="1:7" x14ac:dyDescent="0.3">
      <c r="A432" s="80">
        <v>45695</v>
      </c>
      <c r="B432">
        <v>1010100</v>
      </c>
      <c r="C432">
        <v>29990</v>
      </c>
      <c r="E432" s="80">
        <v>45689</v>
      </c>
      <c r="F432">
        <v>1010900</v>
      </c>
      <c r="G432">
        <v>5000</v>
      </c>
    </row>
    <row r="433" spans="1:7" x14ac:dyDescent="0.3">
      <c r="A433" s="80">
        <v>45695</v>
      </c>
      <c r="B433">
        <v>1010100</v>
      </c>
      <c r="C433">
        <v>29990</v>
      </c>
      <c r="E433" s="80">
        <v>45688</v>
      </c>
      <c r="F433">
        <v>1010900</v>
      </c>
      <c r="G433">
        <v>10000</v>
      </c>
    </row>
    <row r="434" spans="1:7" x14ac:dyDescent="0.3">
      <c r="A434" s="80">
        <v>45695</v>
      </c>
      <c r="B434">
        <v>1010100</v>
      </c>
      <c r="C434">
        <v>29990</v>
      </c>
      <c r="E434" s="80">
        <v>45688</v>
      </c>
      <c r="F434">
        <v>1010900</v>
      </c>
      <c r="G434">
        <v>5000</v>
      </c>
    </row>
    <row r="435" spans="1:7" x14ac:dyDescent="0.3">
      <c r="A435" s="80">
        <v>45694</v>
      </c>
      <c r="B435">
        <v>1010100</v>
      </c>
      <c r="C435">
        <v>29990</v>
      </c>
      <c r="E435" s="80">
        <v>45688</v>
      </c>
      <c r="F435">
        <v>1010900</v>
      </c>
      <c r="G435">
        <v>5000</v>
      </c>
    </row>
    <row r="436" spans="1:7" x14ac:dyDescent="0.3">
      <c r="A436" s="80">
        <v>45694</v>
      </c>
      <c r="B436">
        <v>1010100</v>
      </c>
      <c r="C436">
        <v>29990</v>
      </c>
      <c r="E436" s="80">
        <v>45688</v>
      </c>
      <c r="F436">
        <v>1010900</v>
      </c>
      <c r="G436">
        <v>8769</v>
      </c>
    </row>
    <row r="437" spans="1:7" x14ac:dyDescent="0.3">
      <c r="A437" s="80">
        <v>45694</v>
      </c>
      <c r="B437">
        <v>1010100</v>
      </c>
      <c r="C437">
        <v>29990</v>
      </c>
      <c r="E437" s="80">
        <v>45688</v>
      </c>
      <c r="F437">
        <v>1010900</v>
      </c>
      <c r="G437">
        <v>5000</v>
      </c>
    </row>
    <row r="438" spans="1:7" x14ac:dyDescent="0.3">
      <c r="A438" s="80">
        <v>45694</v>
      </c>
      <c r="B438">
        <v>1010100</v>
      </c>
      <c r="C438">
        <v>21740</v>
      </c>
      <c r="E438" s="80">
        <v>45688</v>
      </c>
      <c r="F438">
        <v>1010900</v>
      </c>
      <c r="G438">
        <v>5000</v>
      </c>
    </row>
    <row r="439" spans="1:7" x14ac:dyDescent="0.3">
      <c r="A439" s="80">
        <v>45694</v>
      </c>
      <c r="B439">
        <v>1010100</v>
      </c>
      <c r="C439">
        <v>29990</v>
      </c>
      <c r="E439" s="80">
        <v>45687</v>
      </c>
      <c r="F439">
        <v>1010900</v>
      </c>
      <c r="G439">
        <v>5000</v>
      </c>
    </row>
    <row r="440" spans="1:7" x14ac:dyDescent="0.3">
      <c r="A440" s="80">
        <v>45694</v>
      </c>
      <c r="B440">
        <v>1010100</v>
      </c>
      <c r="C440">
        <v>9990</v>
      </c>
      <c r="E440" s="80">
        <v>45687</v>
      </c>
      <c r="F440">
        <v>1010900</v>
      </c>
      <c r="G440">
        <v>8769</v>
      </c>
    </row>
    <row r="441" spans="1:7" x14ac:dyDescent="0.3">
      <c r="A441" s="80">
        <v>45694</v>
      </c>
      <c r="B441">
        <v>1010100</v>
      </c>
      <c r="C441">
        <v>29990</v>
      </c>
      <c r="E441" s="80">
        <v>45687</v>
      </c>
      <c r="F441">
        <v>1010900</v>
      </c>
      <c r="G441">
        <v>5000</v>
      </c>
    </row>
    <row r="442" spans="1:7" x14ac:dyDescent="0.3">
      <c r="A442" s="80">
        <v>45694</v>
      </c>
      <c r="B442">
        <v>1010100</v>
      </c>
      <c r="C442">
        <v>43480</v>
      </c>
      <c r="E442" s="80">
        <v>45687</v>
      </c>
      <c r="F442">
        <v>1010900</v>
      </c>
      <c r="G442">
        <v>5000</v>
      </c>
    </row>
    <row r="443" spans="1:7" x14ac:dyDescent="0.3">
      <c r="A443" s="80">
        <v>45694</v>
      </c>
      <c r="B443">
        <v>1010100</v>
      </c>
      <c r="C443">
        <v>29990</v>
      </c>
      <c r="E443" s="80">
        <v>45687</v>
      </c>
      <c r="F443">
        <v>1010900</v>
      </c>
      <c r="G443">
        <v>8769</v>
      </c>
    </row>
    <row r="444" spans="1:7" x14ac:dyDescent="0.3">
      <c r="A444" s="80">
        <v>45694</v>
      </c>
      <c r="B444">
        <v>1010100</v>
      </c>
      <c r="C444">
        <v>29990</v>
      </c>
      <c r="E444" s="80">
        <v>45687</v>
      </c>
      <c r="F444">
        <v>1010900</v>
      </c>
      <c r="G444">
        <v>8769</v>
      </c>
    </row>
    <row r="445" spans="1:7" x14ac:dyDescent="0.3">
      <c r="A445" s="80">
        <v>45694</v>
      </c>
      <c r="B445">
        <v>1010100</v>
      </c>
      <c r="C445">
        <v>29990</v>
      </c>
      <c r="E445" s="80">
        <v>45687</v>
      </c>
      <c r="F445">
        <v>1010900</v>
      </c>
      <c r="G445">
        <v>5000</v>
      </c>
    </row>
    <row r="446" spans="1:7" x14ac:dyDescent="0.3">
      <c r="A446" s="80">
        <v>45693</v>
      </c>
      <c r="B446">
        <v>1010100</v>
      </c>
      <c r="C446">
        <v>29990</v>
      </c>
      <c r="E446" s="80">
        <v>45687</v>
      </c>
      <c r="F446">
        <v>1010900</v>
      </c>
      <c r="G446">
        <v>8769</v>
      </c>
    </row>
    <row r="447" spans="1:7" x14ac:dyDescent="0.3">
      <c r="A447" s="80">
        <v>45693</v>
      </c>
      <c r="B447">
        <v>1010100</v>
      </c>
      <c r="C447">
        <v>29990</v>
      </c>
      <c r="E447" s="80">
        <v>45687</v>
      </c>
      <c r="F447">
        <v>1010900</v>
      </c>
      <c r="G447">
        <v>5000</v>
      </c>
    </row>
    <row r="448" spans="1:7" x14ac:dyDescent="0.3">
      <c r="A448" s="80">
        <v>45693</v>
      </c>
      <c r="B448">
        <v>1010100</v>
      </c>
      <c r="C448">
        <v>29990</v>
      </c>
      <c r="E448" s="80">
        <v>45687</v>
      </c>
      <c r="F448">
        <v>1010900</v>
      </c>
      <c r="G448">
        <v>5000</v>
      </c>
    </row>
    <row r="449" spans="1:7" x14ac:dyDescent="0.3">
      <c r="A449" s="80">
        <v>45693</v>
      </c>
      <c r="B449">
        <v>1010100</v>
      </c>
      <c r="C449">
        <v>21740</v>
      </c>
      <c r="E449" s="80">
        <v>45687</v>
      </c>
      <c r="F449">
        <v>1010900</v>
      </c>
      <c r="G449">
        <v>8769</v>
      </c>
    </row>
    <row r="450" spans="1:7" x14ac:dyDescent="0.3">
      <c r="A450" s="80">
        <v>45693</v>
      </c>
      <c r="B450">
        <v>1010100</v>
      </c>
      <c r="C450">
        <v>21740</v>
      </c>
      <c r="E450" s="80">
        <v>45687</v>
      </c>
      <c r="F450">
        <v>1010900</v>
      </c>
      <c r="G450">
        <v>8769</v>
      </c>
    </row>
    <row r="451" spans="1:7" x14ac:dyDescent="0.3">
      <c r="A451" s="80">
        <v>45693</v>
      </c>
      <c r="B451">
        <v>1010100</v>
      </c>
      <c r="C451">
        <v>21740</v>
      </c>
      <c r="E451" s="80">
        <v>45687</v>
      </c>
      <c r="F451">
        <v>1010900</v>
      </c>
      <c r="G451">
        <v>5000</v>
      </c>
    </row>
    <row r="452" spans="1:7" x14ac:dyDescent="0.3">
      <c r="A452" s="80">
        <v>45693</v>
      </c>
      <c r="B452">
        <v>1010100</v>
      </c>
      <c r="C452">
        <v>29990</v>
      </c>
      <c r="E452" s="80">
        <v>45687</v>
      </c>
      <c r="F452">
        <v>1010900</v>
      </c>
      <c r="G452">
        <v>5000</v>
      </c>
    </row>
    <row r="453" spans="1:7" x14ac:dyDescent="0.3">
      <c r="A453" s="80">
        <v>45693</v>
      </c>
      <c r="B453">
        <v>1010100</v>
      </c>
      <c r="C453">
        <v>29990</v>
      </c>
      <c r="E453" s="80">
        <v>45687</v>
      </c>
      <c r="F453">
        <v>1010900</v>
      </c>
      <c r="G453">
        <v>5000</v>
      </c>
    </row>
    <row r="454" spans="1:7" x14ac:dyDescent="0.3">
      <c r="A454" s="80">
        <v>45693</v>
      </c>
      <c r="B454">
        <v>1010100</v>
      </c>
      <c r="C454">
        <v>29990</v>
      </c>
      <c r="E454" s="80">
        <v>45687</v>
      </c>
      <c r="F454">
        <v>1010900</v>
      </c>
      <c r="G454">
        <v>5000</v>
      </c>
    </row>
    <row r="455" spans="1:7" x14ac:dyDescent="0.3">
      <c r="A455" s="80">
        <v>45693</v>
      </c>
      <c r="B455">
        <v>1010100</v>
      </c>
      <c r="C455">
        <v>29990</v>
      </c>
      <c r="E455" s="80">
        <v>45687</v>
      </c>
      <c r="F455">
        <v>1010900</v>
      </c>
      <c r="G455">
        <v>5000</v>
      </c>
    </row>
    <row r="456" spans="1:7" x14ac:dyDescent="0.3">
      <c r="A456" s="80">
        <v>45693</v>
      </c>
      <c r="B456">
        <v>1010100</v>
      </c>
      <c r="C456">
        <v>21740</v>
      </c>
      <c r="E456" s="80">
        <v>45686</v>
      </c>
      <c r="F456">
        <v>1010900</v>
      </c>
      <c r="G456">
        <v>10000</v>
      </c>
    </row>
    <row r="457" spans="1:7" x14ac:dyDescent="0.3">
      <c r="A457" s="80">
        <v>45692</v>
      </c>
      <c r="B457">
        <v>1010100</v>
      </c>
      <c r="C457">
        <v>21740</v>
      </c>
      <c r="E457" s="80">
        <v>45686</v>
      </c>
      <c r="F457">
        <v>1010900</v>
      </c>
      <c r="G457">
        <v>5000</v>
      </c>
    </row>
    <row r="458" spans="1:7" x14ac:dyDescent="0.3">
      <c r="A458" s="80">
        <v>45692</v>
      </c>
      <c r="B458">
        <v>1010100</v>
      </c>
      <c r="C458">
        <v>21740</v>
      </c>
      <c r="E458" s="80">
        <v>45686</v>
      </c>
      <c r="F458">
        <v>1010900</v>
      </c>
      <c r="G458">
        <v>5000</v>
      </c>
    </row>
    <row r="459" spans="1:7" x14ac:dyDescent="0.3">
      <c r="A459" s="80">
        <v>45692</v>
      </c>
      <c r="B459">
        <v>1010100</v>
      </c>
      <c r="C459">
        <v>21740</v>
      </c>
      <c r="E459" s="80">
        <v>45686</v>
      </c>
      <c r="F459">
        <v>1010900</v>
      </c>
      <c r="G459">
        <v>5000</v>
      </c>
    </row>
    <row r="460" spans="1:7" x14ac:dyDescent="0.3">
      <c r="A460" s="80">
        <v>45692</v>
      </c>
      <c r="B460">
        <v>1010100</v>
      </c>
      <c r="C460">
        <v>29990</v>
      </c>
      <c r="E460" s="80">
        <v>45686</v>
      </c>
      <c r="F460">
        <v>1010900</v>
      </c>
      <c r="G460">
        <v>5000</v>
      </c>
    </row>
    <row r="461" spans="1:7" x14ac:dyDescent="0.3">
      <c r="A461" s="80">
        <v>45692</v>
      </c>
      <c r="B461">
        <v>1010100</v>
      </c>
      <c r="C461">
        <v>26991</v>
      </c>
      <c r="E461" s="80">
        <v>45686</v>
      </c>
      <c r="F461">
        <v>1010900</v>
      </c>
      <c r="G461">
        <v>5000</v>
      </c>
    </row>
    <row r="462" spans="1:7" x14ac:dyDescent="0.3">
      <c r="A462" s="80">
        <v>45692</v>
      </c>
      <c r="B462">
        <v>1010100</v>
      </c>
      <c r="C462">
        <v>29990</v>
      </c>
      <c r="E462" s="80">
        <v>45686</v>
      </c>
      <c r="F462">
        <v>1010900</v>
      </c>
      <c r="G462">
        <v>5000</v>
      </c>
    </row>
    <row r="463" spans="1:7" x14ac:dyDescent="0.3">
      <c r="A463" s="80">
        <v>45692</v>
      </c>
      <c r="B463">
        <v>1010100</v>
      </c>
      <c r="C463">
        <v>29990</v>
      </c>
      <c r="E463" s="80">
        <v>45686</v>
      </c>
      <c r="F463">
        <v>1010900</v>
      </c>
      <c r="G463">
        <v>5000</v>
      </c>
    </row>
    <row r="464" spans="1:7" x14ac:dyDescent="0.3">
      <c r="A464" s="80">
        <v>45692</v>
      </c>
      <c r="B464">
        <v>1010100</v>
      </c>
      <c r="C464">
        <v>29990</v>
      </c>
      <c r="E464" s="80">
        <v>45686</v>
      </c>
      <c r="F464">
        <v>1010900</v>
      </c>
      <c r="G464">
        <v>5000</v>
      </c>
    </row>
    <row r="465" spans="1:7" x14ac:dyDescent="0.3">
      <c r="A465" s="80">
        <v>45691</v>
      </c>
      <c r="B465">
        <v>1010100</v>
      </c>
      <c r="C465">
        <v>21740</v>
      </c>
      <c r="E465" s="80">
        <v>45686</v>
      </c>
      <c r="F465">
        <v>1010900</v>
      </c>
      <c r="G465">
        <v>5000</v>
      </c>
    </row>
    <row r="466" spans="1:7" x14ac:dyDescent="0.3">
      <c r="A466" s="80">
        <v>45691</v>
      </c>
      <c r="B466">
        <v>1010100</v>
      </c>
      <c r="C466">
        <v>29990</v>
      </c>
      <c r="E466" s="80">
        <v>45686</v>
      </c>
      <c r="F466">
        <v>1010900</v>
      </c>
      <c r="G466">
        <v>5000</v>
      </c>
    </row>
    <row r="467" spans="1:7" x14ac:dyDescent="0.3">
      <c r="A467" s="80">
        <v>45691</v>
      </c>
      <c r="B467">
        <v>1010100</v>
      </c>
      <c r="C467">
        <v>21740</v>
      </c>
      <c r="E467" s="80">
        <v>45686</v>
      </c>
      <c r="F467">
        <v>1010900</v>
      </c>
      <c r="G467">
        <v>5000</v>
      </c>
    </row>
    <row r="468" spans="1:7" x14ac:dyDescent="0.3">
      <c r="A468" s="80">
        <v>45691</v>
      </c>
      <c r="B468">
        <v>1010100</v>
      </c>
      <c r="C468">
        <v>29990</v>
      </c>
      <c r="E468" s="80">
        <v>45685</v>
      </c>
      <c r="F468">
        <v>1010900</v>
      </c>
      <c r="G468">
        <v>5000</v>
      </c>
    </row>
    <row r="469" spans="1:7" x14ac:dyDescent="0.3">
      <c r="A469" s="80">
        <v>45691</v>
      </c>
      <c r="B469">
        <v>1010100</v>
      </c>
      <c r="C469">
        <v>21740</v>
      </c>
      <c r="E469" s="80">
        <v>45685</v>
      </c>
      <c r="F469">
        <v>1010900</v>
      </c>
      <c r="G469">
        <v>5000</v>
      </c>
    </row>
    <row r="470" spans="1:7" x14ac:dyDescent="0.3">
      <c r="A470" s="80">
        <v>45691</v>
      </c>
      <c r="B470">
        <v>1010100</v>
      </c>
      <c r="C470">
        <v>29990</v>
      </c>
      <c r="E470" s="80">
        <v>45685</v>
      </c>
      <c r="F470">
        <v>1010900</v>
      </c>
      <c r="G470">
        <v>5000</v>
      </c>
    </row>
    <row r="471" spans="1:7" x14ac:dyDescent="0.3">
      <c r="A471" s="80">
        <v>45690</v>
      </c>
      <c r="B471">
        <v>1010100</v>
      </c>
      <c r="C471">
        <v>29990</v>
      </c>
      <c r="E471" s="80">
        <v>45685</v>
      </c>
      <c r="F471">
        <v>1010900</v>
      </c>
      <c r="G471">
        <v>5000</v>
      </c>
    </row>
    <row r="472" spans="1:7" x14ac:dyDescent="0.3">
      <c r="A472" s="80">
        <v>45690</v>
      </c>
      <c r="B472">
        <v>1010100</v>
      </c>
      <c r="C472">
        <v>32990</v>
      </c>
      <c r="E472" s="80">
        <v>45685</v>
      </c>
      <c r="F472">
        <v>1010900</v>
      </c>
      <c r="G472">
        <v>5000</v>
      </c>
    </row>
    <row r="473" spans="1:7" x14ac:dyDescent="0.3">
      <c r="A473" s="80">
        <v>45690</v>
      </c>
      <c r="B473">
        <v>1010100</v>
      </c>
      <c r="C473">
        <v>21740</v>
      </c>
      <c r="E473" s="80">
        <v>45685</v>
      </c>
      <c r="F473">
        <v>1010900</v>
      </c>
      <c r="G473">
        <v>5000</v>
      </c>
    </row>
    <row r="474" spans="1:7" x14ac:dyDescent="0.3">
      <c r="A474" s="80">
        <v>45690</v>
      </c>
      <c r="B474">
        <v>1010100</v>
      </c>
      <c r="C474">
        <v>29990</v>
      </c>
      <c r="E474" s="80">
        <v>45685</v>
      </c>
      <c r="F474">
        <v>1010900</v>
      </c>
      <c r="G474">
        <v>5000</v>
      </c>
    </row>
    <row r="475" spans="1:7" x14ac:dyDescent="0.3">
      <c r="A475" s="80">
        <v>45690</v>
      </c>
      <c r="B475">
        <v>1010100</v>
      </c>
      <c r="C475">
        <v>29990</v>
      </c>
      <c r="E475" s="80">
        <v>45685</v>
      </c>
      <c r="F475">
        <v>1010900</v>
      </c>
      <c r="G475">
        <v>5000</v>
      </c>
    </row>
    <row r="476" spans="1:7" x14ac:dyDescent="0.3">
      <c r="A476" s="80">
        <v>45690</v>
      </c>
      <c r="B476">
        <v>1010100</v>
      </c>
      <c r="C476">
        <v>29990</v>
      </c>
      <c r="E476" s="80">
        <v>45684</v>
      </c>
      <c r="F476">
        <v>1010900</v>
      </c>
      <c r="G476">
        <v>5000</v>
      </c>
    </row>
    <row r="477" spans="1:7" x14ac:dyDescent="0.3">
      <c r="A477" s="80">
        <v>45690</v>
      </c>
      <c r="B477">
        <v>1010100</v>
      </c>
      <c r="C477">
        <v>29990</v>
      </c>
      <c r="E477" s="80">
        <v>45684</v>
      </c>
      <c r="F477">
        <v>1010900</v>
      </c>
      <c r="G477">
        <v>5000</v>
      </c>
    </row>
    <row r="478" spans="1:7" x14ac:dyDescent="0.3">
      <c r="A478" s="80">
        <v>45690</v>
      </c>
      <c r="B478">
        <v>1010100</v>
      </c>
      <c r="C478">
        <v>29990</v>
      </c>
      <c r="E478" s="80">
        <v>45684</v>
      </c>
      <c r="F478">
        <v>1010900</v>
      </c>
      <c r="G478">
        <v>5000</v>
      </c>
    </row>
    <row r="479" spans="1:7" x14ac:dyDescent="0.3">
      <c r="A479" s="80">
        <v>45690</v>
      </c>
      <c r="B479">
        <v>1010100</v>
      </c>
      <c r="C479">
        <v>29990</v>
      </c>
      <c r="E479" s="80">
        <v>45684</v>
      </c>
      <c r="F479">
        <v>1010900</v>
      </c>
      <c r="G479">
        <v>5000</v>
      </c>
    </row>
    <row r="480" spans="1:7" x14ac:dyDescent="0.3">
      <c r="A480" s="80">
        <v>45690</v>
      </c>
      <c r="B480">
        <v>1010100</v>
      </c>
      <c r="C480">
        <v>32990</v>
      </c>
      <c r="E480" s="80">
        <v>45684</v>
      </c>
      <c r="F480">
        <v>1010900</v>
      </c>
      <c r="G480">
        <v>5000</v>
      </c>
    </row>
    <row r="481" spans="1:7" x14ac:dyDescent="0.3">
      <c r="A481" s="80">
        <v>45690</v>
      </c>
      <c r="B481">
        <v>1010100</v>
      </c>
      <c r="C481">
        <v>29990</v>
      </c>
      <c r="E481" s="80">
        <v>45684</v>
      </c>
      <c r="F481">
        <v>1010900</v>
      </c>
      <c r="G481">
        <v>5000</v>
      </c>
    </row>
    <row r="482" spans="1:7" x14ac:dyDescent="0.3">
      <c r="A482" s="80">
        <v>45690</v>
      </c>
      <c r="B482">
        <v>1010100</v>
      </c>
      <c r="C482">
        <v>29990</v>
      </c>
      <c r="E482" s="80">
        <v>45684</v>
      </c>
      <c r="F482">
        <v>1010900</v>
      </c>
      <c r="G482">
        <v>10000</v>
      </c>
    </row>
    <row r="483" spans="1:7" x14ac:dyDescent="0.3">
      <c r="A483" s="80">
        <v>45690</v>
      </c>
      <c r="B483">
        <v>1010100</v>
      </c>
      <c r="C483">
        <v>29990</v>
      </c>
      <c r="E483" s="80">
        <v>45684</v>
      </c>
      <c r="F483">
        <v>1010900</v>
      </c>
      <c r="G483">
        <v>5000</v>
      </c>
    </row>
    <row r="484" spans="1:7" x14ac:dyDescent="0.3">
      <c r="A484" s="80">
        <v>45690</v>
      </c>
      <c r="B484">
        <v>1010100</v>
      </c>
      <c r="C484">
        <v>29990</v>
      </c>
      <c r="E484" s="80">
        <v>45683</v>
      </c>
      <c r="F484">
        <v>1010900</v>
      </c>
      <c r="G484">
        <v>5000</v>
      </c>
    </row>
    <row r="485" spans="1:7" x14ac:dyDescent="0.3">
      <c r="A485" s="80">
        <v>45690</v>
      </c>
      <c r="B485">
        <v>1010100</v>
      </c>
      <c r="C485">
        <v>29990</v>
      </c>
      <c r="E485" s="80">
        <v>45683</v>
      </c>
      <c r="F485">
        <v>1010900</v>
      </c>
      <c r="G485">
        <v>5000</v>
      </c>
    </row>
    <row r="486" spans="1:7" x14ac:dyDescent="0.3">
      <c r="A486" s="80">
        <v>45690</v>
      </c>
      <c r="B486">
        <v>1010100</v>
      </c>
      <c r="C486">
        <v>21740</v>
      </c>
      <c r="E486" s="80">
        <v>45683</v>
      </c>
      <c r="F486">
        <v>1010900</v>
      </c>
      <c r="G486">
        <v>5000</v>
      </c>
    </row>
    <row r="487" spans="1:7" x14ac:dyDescent="0.3">
      <c r="A487" s="80">
        <v>45690</v>
      </c>
      <c r="B487">
        <v>1010100</v>
      </c>
      <c r="C487">
        <v>29990</v>
      </c>
      <c r="E487" s="80">
        <v>45683</v>
      </c>
      <c r="F487">
        <v>1010900</v>
      </c>
      <c r="G487">
        <v>5000</v>
      </c>
    </row>
    <row r="488" spans="1:7" x14ac:dyDescent="0.3">
      <c r="A488" s="80">
        <v>45690</v>
      </c>
      <c r="B488">
        <v>1010100</v>
      </c>
      <c r="C488">
        <v>9990</v>
      </c>
      <c r="E488" s="80">
        <v>45683</v>
      </c>
      <c r="F488">
        <v>1010900</v>
      </c>
      <c r="G488">
        <v>5000</v>
      </c>
    </row>
    <row r="489" spans="1:7" x14ac:dyDescent="0.3">
      <c r="A489" s="80">
        <v>45690</v>
      </c>
      <c r="B489">
        <v>1010100</v>
      </c>
      <c r="C489">
        <v>59980</v>
      </c>
      <c r="E489" s="80">
        <v>45683</v>
      </c>
      <c r="F489">
        <v>1010900</v>
      </c>
      <c r="G489">
        <v>5000</v>
      </c>
    </row>
    <row r="490" spans="1:7" x14ac:dyDescent="0.3">
      <c r="A490" s="80">
        <v>45690</v>
      </c>
      <c r="B490">
        <v>1010100</v>
      </c>
      <c r="C490">
        <v>29990</v>
      </c>
      <c r="E490" s="80">
        <v>45683</v>
      </c>
      <c r="F490">
        <v>1010900</v>
      </c>
      <c r="G490">
        <v>5000</v>
      </c>
    </row>
    <row r="491" spans="1:7" x14ac:dyDescent="0.3">
      <c r="A491" s="80">
        <v>45690</v>
      </c>
      <c r="B491">
        <v>1010100</v>
      </c>
      <c r="C491">
        <v>29990</v>
      </c>
      <c r="E491" s="80">
        <v>45683</v>
      </c>
      <c r="F491">
        <v>1010900</v>
      </c>
      <c r="G491">
        <v>5000</v>
      </c>
    </row>
    <row r="492" spans="1:7" x14ac:dyDescent="0.3">
      <c r="A492" s="80">
        <v>45690</v>
      </c>
      <c r="B492">
        <v>1010100</v>
      </c>
      <c r="C492">
        <v>32990</v>
      </c>
      <c r="E492" s="80">
        <v>45682</v>
      </c>
      <c r="F492">
        <v>1010900</v>
      </c>
      <c r="G492">
        <v>5000</v>
      </c>
    </row>
    <row r="493" spans="1:7" x14ac:dyDescent="0.3">
      <c r="A493" s="80">
        <v>45689</v>
      </c>
      <c r="B493">
        <v>1010100</v>
      </c>
      <c r="C493">
        <v>32990</v>
      </c>
      <c r="E493" s="80">
        <v>45682</v>
      </c>
      <c r="F493">
        <v>1010900</v>
      </c>
      <c r="G493">
        <v>5000</v>
      </c>
    </row>
    <row r="494" spans="1:7" x14ac:dyDescent="0.3">
      <c r="A494" s="80">
        <v>45689</v>
      </c>
      <c r="B494">
        <v>1010100</v>
      </c>
      <c r="C494">
        <v>29990</v>
      </c>
      <c r="E494" s="80">
        <v>45682</v>
      </c>
      <c r="F494">
        <v>1010900</v>
      </c>
      <c r="G494">
        <v>5000</v>
      </c>
    </row>
    <row r="495" spans="1:7" x14ac:dyDescent="0.3">
      <c r="A495" s="80">
        <v>45689</v>
      </c>
      <c r="B495">
        <v>1010100</v>
      </c>
      <c r="C495">
        <v>32990</v>
      </c>
      <c r="E495" s="80">
        <v>45682</v>
      </c>
      <c r="F495">
        <v>1010900</v>
      </c>
      <c r="G495">
        <v>5000</v>
      </c>
    </row>
    <row r="496" spans="1:7" x14ac:dyDescent="0.3">
      <c r="A496" s="80">
        <v>45689</v>
      </c>
      <c r="B496">
        <v>1010100</v>
      </c>
      <c r="C496">
        <v>21740</v>
      </c>
      <c r="E496" s="80">
        <v>45682</v>
      </c>
      <c r="F496">
        <v>1010900</v>
      </c>
      <c r="G496">
        <v>5000</v>
      </c>
    </row>
    <row r="497" spans="1:7" x14ac:dyDescent="0.3">
      <c r="A497" s="80">
        <v>45689</v>
      </c>
      <c r="B497">
        <v>1010100</v>
      </c>
      <c r="C497">
        <v>29990</v>
      </c>
      <c r="E497" s="80">
        <v>45682</v>
      </c>
      <c r="F497">
        <v>1010900</v>
      </c>
      <c r="G497">
        <v>5000</v>
      </c>
    </row>
    <row r="498" spans="1:7" x14ac:dyDescent="0.3">
      <c r="A498" s="80">
        <v>45689</v>
      </c>
      <c r="B498">
        <v>1010100</v>
      </c>
      <c r="C498">
        <v>29990</v>
      </c>
      <c r="E498" s="80">
        <v>45682</v>
      </c>
      <c r="F498">
        <v>1010900</v>
      </c>
      <c r="G498">
        <v>5000</v>
      </c>
    </row>
    <row r="499" spans="1:7" x14ac:dyDescent="0.3">
      <c r="A499" s="80">
        <v>45688</v>
      </c>
      <c r="B499">
        <v>1010100</v>
      </c>
      <c r="C499">
        <v>59980</v>
      </c>
      <c r="E499" s="80">
        <v>45682</v>
      </c>
      <c r="F499">
        <v>1010900</v>
      </c>
      <c r="G499">
        <v>5000</v>
      </c>
    </row>
    <row r="500" spans="1:7" x14ac:dyDescent="0.3">
      <c r="A500" s="80">
        <v>45688</v>
      </c>
      <c r="B500">
        <v>1010100</v>
      </c>
      <c r="C500">
        <v>29990</v>
      </c>
      <c r="E500" s="80">
        <v>45682</v>
      </c>
      <c r="F500">
        <v>1010900</v>
      </c>
      <c r="G500">
        <v>5000</v>
      </c>
    </row>
    <row r="501" spans="1:7" x14ac:dyDescent="0.3">
      <c r="A501" s="80">
        <v>45688</v>
      </c>
      <c r="B501">
        <v>1010100</v>
      </c>
      <c r="C501">
        <v>29990</v>
      </c>
      <c r="E501" s="80">
        <v>45682</v>
      </c>
      <c r="F501">
        <v>1010900</v>
      </c>
      <c r="G501">
        <v>5000</v>
      </c>
    </row>
    <row r="502" spans="1:7" x14ac:dyDescent="0.3">
      <c r="A502" s="80">
        <v>45688</v>
      </c>
      <c r="B502">
        <v>1010100</v>
      </c>
      <c r="C502">
        <v>21740</v>
      </c>
      <c r="E502" s="80">
        <v>45682</v>
      </c>
      <c r="F502">
        <v>1010900</v>
      </c>
      <c r="G502">
        <v>5000</v>
      </c>
    </row>
    <row r="503" spans="1:7" x14ac:dyDescent="0.3">
      <c r="A503" s="80">
        <v>45688</v>
      </c>
      <c r="B503">
        <v>1010100</v>
      </c>
      <c r="C503">
        <v>29990</v>
      </c>
      <c r="E503" s="80">
        <v>45682</v>
      </c>
      <c r="F503">
        <v>1010900</v>
      </c>
      <c r="G503">
        <v>5000</v>
      </c>
    </row>
    <row r="504" spans="1:7" x14ac:dyDescent="0.3">
      <c r="A504" s="80">
        <v>45688</v>
      </c>
      <c r="B504">
        <v>1010100</v>
      </c>
      <c r="C504">
        <v>29990</v>
      </c>
      <c r="E504" s="80">
        <v>45682</v>
      </c>
      <c r="F504">
        <v>1010900</v>
      </c>
      <c r="G504">
        <v>5000</v>
      </c>
    </row>
    <row r="505" spans="1:7" x14ac:dyDescent="0.3">
      <c r="A505" s="80">
        <v>45687</v>
      </c>
      <c r="B505">
        <v>1010100</v>
      </c>
      <c r="C505">
        <v>29990</v>
      </c>
      <c r="E505" s="80">
        <v>45682</v>
      </c>
      <c r="F505">
        <v>1010900</v>
      </c>
      <c r="G505">
        <v>5000</v>
      </c>
    </row>
    <row r="506" spans="1:7" x14ac:dyDescent="0.3">
      <c r="A506" s="80">
        <v>45687</v>
      </c>
      <c r="B506">
        <v>1010100</v>
      </c>
      <c r="C506">
        <v>21740</v>
      </c>
      <c r="E506" s="80">
        <v>45682</v>
      </c>
      <c r="F506">
        <v>1010900</v>
      </c>
      <c r="G506">
        <v>5000</v>
      </c>
    </row>
    <row r="507" spans="1:7" x14ac:dyDescent="0.3">
      <c r="A507" s="80">
        <v>45687</v>
      </c>
      <c r="B507">
        <v>1010100</v>
      </c>
      <c r="C507">
        <v>29990</v>
      </c>
      <c r="E507" s="80">
        <v>45681</v>
      </c>
      <c r="F507">
        <v>1010900</v>
      </c>
      <c r="G507">
        <v>5000</v>
      </c>
    </row>
    <row r="508" spans="1:7" x14ac:dyDescent="0.3">
      <c r="A508" s="80">
        <v>45687</v>
      </c>
      <c r="B508">
        <v>1010100</v>
      </c>
      <c r="C508">
        <v>29990</v>
      </c>
      <c r="E508" s="80">
        <v>45681</v>
      </c>
      <c r="F508">
        <v>1010900</v>
      </c>
      <c r="G508">
        <v>5000</v>
      </c>
    </row>
    <row r="509" spans="1:7" x14ac:dyDescent="0.3">
      <c r="A509" s="80">
        <v>45687</v>
      </c>
      <c r="B509">
        <v>1010100</v>
      </c>
      <c r="C509">
        <v>21740</v>
      </c>
      <c r="E509" s="80">
        <v>45681</v>
      </c>
      <c r="F509">
        <v>1010900</v>
      </c>
      <c r="G509">
        <v>5000</v>
      </c>
    </row>
    <row r="510" spans="1:7" x14ac:dyDescent="0.3">
      <c r="A510" s="80">
        <v>45687</v>
      </c>
      <c r="B510">
        <v>1010100</v>
      </c>
      <c r="C510">
        <v>21740</v>
      </c>
      <c r="E510" s="80">
        <v>45681</v>
      </c>
      <c r="F510">
        <v>1010900</v>
      </c>
      <c r="G510">
        <v>5000</v>
      </c>
    </row>
    <row r="511" spans="1:7" x14ac:dyDescent="0.3">
      <c r="A511" s="80">
        <v>45687</v>
      </c>
      <c r="B511">
        <v>1010100</v>
      </c>
      <c r="C511">
        <v>32990</v>
      </c>
      <c r="E511" s="80">
        <v>45681</v>
      </c>
      <c r="F511">
        <v>1010900</v>
      </c>
      <c r="G511">
        <v>5000</v>
      </c>
    </row>
    <row r="512" spans="1:7" x14ac:dyDescent="0.3">
      <c r="A512" s="80">
        <v>45687</v>
      </c>
      <c r="B512">
        <v>1010100</v>
      </c>
      <c r="C512">
        <v>21740</v>
      </c>
      <c r="E512" s="80">
        <v>45681</v>
      </c>
      <c r="F512">
        <v>1010900</v>
      </c>
      <c r="G512">
        <v>5000</v>
      </c>
    </row>
    <row r="513" spans="1:7" x14ac:dyDescent="0.3">
      <c r="A513" s="80">
        <v>45687</v>
      </c>
      <c r="B513">
        <v>1010100</v>
      </c>
      <c r="C513">
        <v>29990</v>
      </c>
      <c r="E513" s="80">
        <v>45681</v>
      </c>
      <c r="F513">
        <v>1010900</v>
      </c>
      <c r="G513">
        <v>5000</v>
      </c>
    </row>
    <row r="514" spans="1:7" x14ac:dyDescent="0.3">
      <c r="A514" s="80">
        <v>45687</v>
      </c>
      <c r="B514">
        <v>1010100</v>
      </c>
      <c r="C514">
        <v>29990</v>
      </c>
      <c r="E514" s="80">
        <v>45681</v>
      </c>
      <c r="F514">
        <v>1010900</v>
      </c>
      <c r="G514">
        <v>5000</v>
      </c>
    </row>
    <row r="515" spans="1:7" x14ac:dyDescent="0.3">
      <c r="A515" s="80">
        <v>45687</v>
      </c>
      <c r="B515">
        <v>1010100</v>
      </c>
      <c r="C515">
        <v>21740</v>
      </c>
      <c r="E515" s="80">
        <v>45680</v>
      </c>
      <c r="F515">
        <v>1010900</v>
      </c>
      <c r="G515">
        <v>5000</v>
      </c>
    </row>
    <row r="516" spans="1:7" x14ac:dyDescent="0.3">
      <c r="A516" s="80">
        <v>45687</v>
      </c>
      <c r="B516">
        <v>1010100</v>
      </c>
      <c r="C516">
        <v>21740</v>
      </c>
      <c r="E516" s="80">
        <v>45680</v>
      </c>
      <c r="F516">
        <v>1010900</v>
      </c>
      <c r="G516">
        <v>5000</v>
      </c>
    </row>
    <row r="517" spans="1:7" x14ac:dyDescent="0.3">
      <c r="A517" s="80">
        <v>45687</v>
      </c>
      <c r="B517">
        <v>1010100</v>
      </c>
      <c r="C517">
        <v>29990</v>
      </c>
      <c r="E517" s="80">
        <v>45680</v>
      </c>
      <c r="F517">
        <v>1010900</v>
      </c>
      <c r="G517">
        <v>5000</v>
      </c>
    </row>
    <row r="518" spans="1:7" x14ac:dyDescent="0.3">
      <c r="A518" s="80">
        <v>45687</v>
      </c>
      <c r="B518">
        <v>1010100</v>
      </c>
      <c r="C518">
        <v>29990</v>
      </c>
      <c r="E518" s="80">
        <v>45680</v>
      </c>
      <c r="F518">
        <v>1010900</v>
      </c>
      <c r="G518">
        <v>5000</v>
      </c>
    </row>
    <row r="519" spans="1:7" x14ac:dyDescent="0.3">
      <c r="A519" s="80">
        <v>45687</v>
      </c>
      <c r="B519">
        <v>1010100</v>
      </c>
      <c r="C519">
        <v>32990</v>
      </c>
      <c r="E519" s="80">
        <v>45680</v>
      </c>
      <c r="F519">
        <v>1010900</v>
      </c>
      <c r="G519">
        <v>5000</v>
      </c>
    </row>
    <row r="520" spans="1:7" x14ac:dyDescent="0.3">
      <c r="A520" s="80">
        <v>45687</v>
      </c>
      <c r="B520">
        <v>1010100</v>
      </c>
      <c r="C520">
        <v>29990</v>
      </c>
      <c r="E520" s="80">
        <v>45680</v>
      </c>
      <c r="F520">
        <v>1010900</v>
      </c>
      <c r="G520">
        <v>5000</v>
      </c>
    </row>
    <row r="521" spans="1:7" x14ac:dyDescent="0.3">
      <c r="A521" s="80">
        <v>45687</v>
      </c>
      <c r="B521">
        <v>1010100</v>
      </c>
      <c r="C521">
        <v>29990</v>
      </c>
      <c r="E521" s="80">
        <v>45680</v>
      </c>
      <c r="F521">
        <v>1010900</v>
      </c>
      <c r="G521">
        <v>5000</v>
      </c>
    </row>
    <row r="522" spans="1:7" x14ac:dyDescent="0.3">
      <c r="A522" s="80">
        <v>45686</v>
      </c>
      <c r="B522">
        <v>1010100</v>
      </c>
      <c r="C522">
        <v>53982</v>
      </c>
      <c r="E522" s="80">
        <v>45679</v>
      </c>
      <c r="F522">
        <v>1010900</v>
      </c>
      <c r="G522">
        <v>5000</v>
      </c>
    </row>
    <row r="523" spans="1:7" x14ac:dyDescent="0.3">
      <c r="A523" s="80">
        <v>45686</v>
      </c>
      <c r="B523">
        <v>1010100</v>
      </c>
      <c r="C523">
        <v>29990</v>
      </c>
      <c r="E523" s="80">
        <v>45679</v>
      </c>
      <c r="F523">
        <v>1010900</v>
      </c>
      <c r="G523">
        <v>5000</v>
      </c>
    </row>
    <row r="524" spans="1:7" x14ac:dyDescent="0.3">
      <c r="A524" s="80">
        <v>45686</v>
      </c>
      <c r="B524">
        <v>1010100</v>
      </c>
      <c r="C524">
        <v>29990</v>
      </c>
      <c r="E524" s="80">
        <v>45679</v>
      </c>
      <c r="F524">
        <v>1010900</v>
      </c>
      <c r="G524">
        <v>5000</v>
      </c>
    </row>
    <row r="525" spans="1:7" x14ac:dyDescent="0.3">
      <c r="A525" s="80">
        <v>45686</v>
      </c>
      <c r="B525">
        <v>1010100</v>
      </c>
      <c r="C525">
        <v>26991</v>
      </c>
      <c r="E525" s="80">
        <v>45679</v>
      </c>
      <c r="F525">
        <v>1010900</v>
      </c>
      <c r="G525">
        <v>5000</v>
      </c>
    </row>
    <row r="526" spans="1:7" x14ac:dyDescent="0.3">
      <c r="A526" s="80">
        <v>45686</v>
      </c>
      <c r="B526">
        <v>1010100</v>
      </c>
      <c r="C526">
        <v>29990</v>
      </c>
      <c r="E526" s="80">
        <v>45679</v>
      </c>
      <c r="F526">
        <v>1010900</v>
      </c>
      <c r="G526">
        <v>5000</v>
      </c>
    </row>
    <row r="527" spans="1:7" x14ac:dyDescent="0.3">
      <c r="A527" s="80">
        <v>45686</v>
      </c>
      <c r="B527">
        <v>1010100</v>
      </c>
      <c r="C527">
        <v>29990</v>
      </c>
      <c r="E527" s="80">
        <v>45679</v>
      </c>
      <c r="F527">
        <v>1010900</v>
      </c>
      <c r="G527">
        <v>5000</v>
      </c>
    </row>
    <row r="528" spans="1:7" x14ac:dyDescent="0.3">
      <c r="A528" s="80">
        <v>45686</v>
      </c>
      <c r="B528">
        <v>1010100</v>
      </c>
      <c r="C528">
        <v>29990</v>
      </c>
      <c r="E528" s="80">
        <v>45679</v>
      </c>
      <c r="F528">
        <v>1010900</v>
      </c>
      <c r="G528">
        <v>10000</v>
      </c>
    </row>
    <row r="529" spans="1:7" x14ac:dyDescent="0.3">
      <c r="A529" s="80">
        <v>45686</v>
      </c>
      <c r="B529">
        <v>1010100</v>
      </c>
      <c r="C529">
        <v>29990</v>
      </c>
      <c r="E529" s="80">
        <v>45679</v>
      </c>
      <c r="F529">
        <v>1010900</v>
      </c>
      <c r="G529">
        <v>5000</v>
      </c>
    </row>
    <row r="530" spans="1:7" x14ac:dyDescent="0.3">
      <c r="A530" s="80">
        <v>45686</v>
      </c>
      <c r="B530">
        <v>1010100</v>
      </c>
      <c r="C530">
        <v>29990</v>
      </c>
      <c r="E530" s="80">
        <v>45679</v>
      </c>
      <c r="F530">
        <v>1010900</v>
      </c>
      <c r="G530">
        <v>5000</v>
      </c>
    </row>
    <row r="531" spans="1:7" x14ac:dyDescent="0.3">
      <c r="A531" s="80">
        <v>45686</v>
      </c>
      <c r="B531">
        <v>1010100</v>
      </c>
      <c r="C531">
        <v>29990</v>
      </c>
      <c r="E531" s="80">
        <v>45678</v>
      </c>
      <c r="F531">
        <v>1010900</v>
      </c>
      <c r="G531">
        <v>5000</v>
      </c>
    </row>
    <row r="532" spans="1:7" x14ac:dyDescent="0.3">
      <c r="A532" s="80">
        <v>45686</v>
      </c>
      <c r="B532">
        <v>1010100</v>
      </c>
      <c r="C532">
        <v>29990</v>
      </c>
      <c r="E532" s="80">
        <v>45678</v>
      </c>
      <c r="F532">
        <v>1010900</v>
      </c>
      <c r="G532">
        <v>5000</v>
      </c>
    </row>
    <row r="533" spans="1:7" x14ac:dyDescent="0.3">
      <c r="A533" s="80">
        <v>45686</v>
      </c>
      <c r="B533">
        <v>1010100</v>
      </c>
      <c r="C533">
        <v>26991</v>
      </c>
      <c r="E533" s="80">
        <v>45678</v>
      </c>
      <c r="F533">
        <v>1010900</v>
      </c>
      <c r="G533">
        <v>5000</v>
      </c>
    </row>
    <row r="534" spans="1:7" x14ac:dyDescent="0.3">
      <c r="A534" s="80">
        <v>45685</v>
      </c>
      <c r="B534">
        <v>1010100</v>
      </c>
      <c r="C534">
        <v>32990</v>
      </c>
      <c r="E534" s="80">
        <v>45678</v>
      </c>
      <c r="F534">
        <v>1010900</v>
      </c>
      <c r="G534">
        <v>5000</v>
      </c>
    </row>
    <row r="535" spans="1:7" x14ac:dyDescent="0.3">
      <c r="A535" s="80">
        <v>45685</v>
      </c>
      <c r="B535">
        <v>1010100</v>
      </c>
      <c r="C535">
        <v>29990</v>
      </c>
      <c r="E535" s="80">
        <v>45678</v>
      </c>
      <c r="F535">
        <v>1010900</v>
      </c>
      <c r="G535">
        <v>5000</v>
      </c>
    </row>
    <row r="536" spans="1:7" x14ac:dyDescent="0.3">
      <c r="A536" s="80">
        <v>45685</v>
      </c>
      <c r="B536">
        <v>1010100</v>
      </c>
      <c r="C536">
        <v>29990</v>
      </c>
      <c r="E536" s="80">
        <v>45678</v>
      </c>
      <c r="F536">
        <v>1010900</v>
      </c>
      <c r="G536">
        <v>5000</v>
      </c>
    </row>
    <row r="537" spans="1:7" x14ac:dyDescent="0.3">
      <c r="A537" s="80">
        <v>45685</v>
      </c>
      <c r="B537">
        <v>1010100</v>
      </c>
      <c r="C537">
        <v>29990</v>
      </c>
      <c r="E537" s="80">
        <v>45678</v>
      </c>
      <c r="F537">
        <v>1010900</v>
      </c>
      <c r="G537">
        <v>5000</v>
      </c>
    </row>
    <row r="538" spans="1:7" x14ac:dyDescent="0.3">
      <c r="A538" s="80">
        <v>45685</v>
      </c>
      <c r="B538">
        <v>1010100</v>
      </c>
      <c r="C538">
        <v>29990</v>
      </c>
      <c r="E538" s="80">
        <v>45678</v>
      </c>
      <c r="F538">
        <v>1010900</v>
      </c>
      <c r="G538">
        <v>5000</v>
      </c>
    </row>
    <row r="539" spans="1:7" x14ac:dyDescent="0.3">
      <c r="A539" s="80">
        <v>45685</v>
      </c>
      <c r="B539">
        <v>1010100</v>
      </c>
      <c r="C539">
        <v>29990</v>
      </c>
      <c r="E539" s="80">
        <v>45678</v>
      </c>
      <c r="F539">
        <v>1010900</v>
      </c>
      <c r="G539">
        <v>5000</v>
      </c>
    </row>
    <row r="540" spans="1:7" x14ac:dyDescent="0.3">
      <c r="A540" s="80">
        <v>45685</v>
      </c>
      <c r="B540">
        <v>1010100</v>
      </c>
      <c r="C540">
        <v>29990</v>
      </c>
      <c r="E540" s="80">
        <v>45678</v>
      </c>
      <c r="F540">
        <v>1010900</v>
      </c>
      <c r="G540">
        <v>5000</v>
      </c>
    </row>
    <row r="541" spans="1:7" x14ac:dyDescent="0.3">
      <c r="A541" s="80">
        <v>45685</v>
      </c>
      <c r="B541">
        <v>1010100</v>
      </c>
      <c r="C541">
        <v>29990</v>
      </c>
      <c r="E541" s="80">
        <v>45678</v>
      </c>
      <c r="F541">
        <v>1010900</v>
      </c>
      <c r="G541">
        <v>5000</v>
      </c>
    </row>
    <row r="542" spans="1:7" x14ac:dyDescent="0.3">
      <c r="A542" s="80">
        <v>45684</v>
      </c>
      <c r="B542">
        <v>1010100</v>
      </c>
      <c r="C542">
        <v>29990</v>
      </c>
      <c r="E542" s="80">
        <v>45678</v>
      </c>
      <c r="F542">
        <v>1010900</v>
      </c>
      <c r="G542">
        <v>5000</v>
      </c>
    </row>
    <row r="543" spans="1:7" x14ac:dyDescent="0.3">
      <c r="A543" s="80">
        <v>45684</v>
      </c>
      <c r="B543">
        <v>1010100</v>
      </c>
      <c r="C543">
        <v>29990</v>
      </c>
      <c r="E543" s="80">
        <v>45678</v>
      </c>
      <c r="F543">
        <v>1010900</v>
      </c>
      <c r="G543">
        <v>5000</v>
      </c>
    </row>
    <row r="544" spans="1:7" x14ac:dyDescent="0.3">
      <c r="A544" s="80">
        <v>45684</v>
      </c>
      <c r="B544">
        <v>1010100</v>
      </c>
      <c r="C544">
        <v>32990</v>
      </c>
      <c r="E544" s="80">
        <v>45678</v>
      </c>
      <c r="F544">
        <v>1010900</v>
      </c>
      <c r="G544">
        <v>5000</v>
      </c>
    </row>
    <row r="545" spans="1:7" x14ac:dyDescent="0.3">
      <c r="A545" s="80">
        <v>45684</v>
      </c>
      <c r="B545">
        <v>1010100</v>
      </c>
      <c r="C545">
        <v>29990</v>
      </c>
      <c r="E545" s="80">
        <v>45677</v>
      </c>
      <c r="F545">
        <v>1010900</v>
      </c>
      <c r="G545">
        <v>5000</v>
      </c>
    </row>
    <row r="546" spans="1:7" x14ac:dyDescent="0.3">
      <c r="A546" s="80">
        <v>45684</v>
      </c>
      <c r="B546">
        <v>1010100</v>
      </c>
      <c r="C546">
        <v>29990</v>
      </c>
      <c r="E546" s="80">
        <v>45677</v>
      </c>
      <c r="F546">
        <v>1010900</v>
      </c>
      <c r="G546">
        <v>5000</v>
      </c>
    </row>
    <row r="547" spans="1:7" x14ac:dyDescent="0.3">
      <c r="A547" s="80">
        <v>45684</v>
      </c>
      <c r="B547">
        <v>1010100</v>
      </c>
      <c r="C547">
        <v>29990</v>
      </c>
      <c r="E547" s="80">
        <v>45677</v>
      </c>
      <c r="F547">
        <v>1010900</v>
      </c>
      <c r="G547">
        <v>5000</v>
      </c>
    </row>
    <row r="548" spans="1:7" x14ac:dyDescent="0.3">
      <c r="A548" s="80">
        <v>45684</v>
      </c>
      <c r="B548">
        <v>1010100</v>
      </c>
      <c r="C548">
        <v>59980</v>
      </c>
      <c r="E548" s="80">
        <v>45677</v>
      </c>
      <c r="F548">
        <v>1010900</v>
      </c>
      <c r="G548">
        <v>5000</v>
      </c>
    </row>
    <row r="549" spans="1:7" x14ac:dyDescent="0.3">
      <c r="A549" s="80">
        <v>45684</v>
      </c>
      <c r="B549">
        <v>1010100</v>
      </c>
      <c r="C549">
        <v>29990</v>
      </c>
      <c r="E549" s="80">
        <v>45677</v>
      </c>
      <c r="F549">
        <v>1010900</v>
      </c>
      <c r="G549">
        <v>5000</v>
      </c>
    </row>
    <row r="550" spans="1:7" x14ac:dyDescent="0.3">
      <c r="A550" s="80">
        <v>45683</v>
      </c>
      <c r="B550">
        <v>1010100</v>
      </c>
      <c r="C550">
        <v>29990</v>
      </c>
      <c r="E550" s="80">
        <v>45677</v>
      </c>
      <c r="F550">
        <v>1010900</v>
      </c>
      <c r="G550">
        <v>5000</v>
      </c>
    </row>
    <row r="551" spans="1:7" x14ac:dyDescent="0.3">
      <c r="A551" s="80">
        <v>45683</v>
      </c>
      <c r="B551">
        <v>1010100</v>
      </c>
      <c r="C551">
        <v>29990</v>
      </c>
      <c r="E551" s="80">
        <v>45676</v>
      </c>
      <c r="F551">
        <v>1010900</v>
      </c>
      <c r="G551">
        <v>5000</v>
      </c>
    </row>
    <row r="552" spans="1:7" x14ac:dyDescent="0.3">
      <c r="A552" s="80">
        <v>45683</v>
      </c>
      <c r="B552">
        <v>1010100</v>
      </c>
      <c r="C552">
        <v>29990</v>
      </c>
      <c r="E552" s="80">
        <v>45676</v>
      </c>
      <c r="F552">
        <v>1010900</v>
      </c>
      <c r="G552">
        <v>5000</v>
      </c>
    </row>
    <row r="553" spans="1:7" x14ac:dyDescent="0.3">
      <c r="A553" s="80">
        <v>45683</v>
      </c>
      <c r="B553">
        <v>1010100</v>
      </c>
      <c r="C553">
        <v>32990</v>
      </c>
      <c r="E553" s="80">
        <v>45676</v>
      </c>
      <c r="F553">
        <v>1010900</v>
      </c>
      <c r="G553">
        <v>5000</v>
      </c>
    </row>
    <row r="554" spans="1:7" x14ac:dyDescent="0.3">
      <c r="A554" s="80">
        <v>45683</v>
      </c>
      <c r="B554">
        <v>1010100</v>
      </c>
      <c r="C554">
        <v>29990</v>
      </c>
      <c r="E554" s="80">
        <v>45676</v>
      </c>
      <c r="F554">
        <v>1010900</v>
      </c>
      <c r="G554">
        <v>5000</v>
      </c>
    </row>
    <row r="555" spans="1:7" x14ac:dyDescent="0.3">
      <c r="A555" s="80">
        <v>45683</v>
      </c>
      <c r="B555">
        <v>1010100</v>
      </c>
      <c r="C555">
        <v>29990</v>
      </c>
      <c r="E555" s="80">
        <v>45676</v>
      </c>
      <c r="F555">
        <v>1010900</v>
      </c>
      <c r="G555">
        <v>5000</v>
      </c>
    </row>
    <row r="556" spans="1:7" x14ac:dyDescent="0.3">
      <c r="A556" s="80">
        <v>45683</v>
      </c>
      <c r="B556">
        <v>1010100</v>
      </c>
      <c r="C556">
        <v>29990</v>
      </c>
      <c r="E556" s="80">
        <v>45676</v>
      </c>
      <c r="F556">
        <v>1010900</v>
      </c>
      <c r="G556">
        <v>5000</v>
      </c>
    </row>
    <row r="557" spans="1:7" x14ac:dyDescent="0.3">
      <c r="A557" s="80">
        <v>45683</v>
      </c>
      <c r="B557">
        <v>1010100</v>
      </c>
      <c r="C557">
        <v>29990</v>
      </c>
      <c r="E557" s="80">
        <v>45676</v>
      </c>
      <c r="F557">
        <v>1010900</v>
      </c>
      <c r="G557">
        <v>5000</v>
      </c>
    </row>
    <row r="558" spans="1:7" x14ac:dyDescent="0.3">
      <c r="A558" s="80">
        <v>45682</v>
      </c>
      <c r="B558">
        <v>1010100</v>
      </c>
      <c r="C558">
        <v>29990</v>
      </c>
      <c r="E558" s="80">
        <v>45676</v>
      </c>
      <c r="F558">
        <v>1010900</v>
      </c>
      <c r="G558">
        <v>5000</v>
      </c>
    </row>
    <row r="559" spans="1:7" x14ac:dyDescent="0.3">
      <c r="A559" s="80">
        <v>45682</v>
      </c>
      <c r="B559">
        <v>1010100</v>
      </c>
      <c r="C559">
        <v>29990</v>
      </c>
      <c r="E559" s="80">
        <v>45676</v>
      </c>
      <c r="F559">
        <v>1010900</v>
      </c>
      <c r="G559">
        <v>5000</v>
      </c>
    </row>
    <row r="560" spans="1:7" x14ac:dyDescent="0.3">
      <c r="A560" s="80">
        <v>45682</v>
      </c>
      <c r="B560">
        <v>1010100</v>
      </c>
      <c r="C560">
        <v>32990</v>
      </c>
      <c r="E560" s="80">
        <v>45676</v>
      </c>
      <c r="F560">
        <v>1010900</v>
      </c>
      <c r="G560">
        <v>5000</v>
      </c>
    </row>
    <row r="561" spans="1:7" x14ac:dyDescent="0.3">
      <c r="A561" s="80">
        <v>45682</v>
      </c>
      <c r="B561">
        <v>1010100</v>
      </c>
      <c r="C561">
        <v>29990</v>
      </c>
      <c r="E561" s="80">
        <v>45676</v>
      </c>
      <c r="F561">
        <v>1010900</v>
      </c>
      <c r="G561">
        <v>5000</v>
      </c>
    </row>
    <row r="562" spans="1:7" x14ac:dyDescent="0.3">
      <c r="A562" s="80">
        <v>45682</v>
      </c>
      <c r="B562">
        <v>1010100</v>
      </c>
      <c r="C562">
        <v>29990</v>
      </c>
      <c r="E562" s="80">
        <v>45676</v>
      </c>
      <c r="F562">
        <v>1010900</v>
      </c>
      <c r="G562">
        <v>3000</v>
      </c>
    </row>
    <row r="563" spans="1:7" x14ac:dyDescent="0.3">
      <c r="A563" s="80">
        <v>45682</v>
      </c>
      <c r="B563">
        <v>1010100</v>
      </c>
      <c r="C563">
        <v>32990</v>
      </c>
      <c r="E563" s="80">
        <v>45676</v>
      </c>
      <c r="F563">
        <v>1010900</v>
      </c>
      <c r="G563">
        <v>5000</v>
      </c>
    </row>
    <row r="564" spans="1:7" x14ac:dyDescent="0.3">
      <c r="A564" s="80">
        <v>45682</v>
      </c>
      <c r="B564">
        <v>1010100</v>
      </c>
      <c r="C564">
        <v>29990</v>
      </c>
      <c r="E564" s="80">
        <v>45676</v>
      </c>
      <c r="F564">
        <v>1010900</v>
      </c>
      <c r="G564">
        <v>5000</v>
      </c>
    </row>
    <row r="565" spans="1:7" x14ac:dyDescent="0.3">
      <c r="A565" s="80">
        <v>45682</v>
      </c>
      <c r="B565">
        <v>1010100</v>
      </c>
      <c r="C565">
        <v>29990</v>
      </c>
      <c r="E565" s="80">
        <v>45676</v>
      </c>
      <c r="F565">
        <v>1010900</v>
      </c>
      <c r="G565">
        <v>5000</v>
      </c>
    </row>
    <row r="566" spans="1:7" x14ac:dyDescent="0.3">
      <c r="A566" s="80">
        <v>45682</v>
      </c>
      <c r="B566">
        <v>1010100</v>
      </c>
      <c r="C566">
        <v>29990</v>
      </c>
      <c r="E566" s="80">
        <v>45676</v>
      </c>
      <c r="F566">
        <v>1010900</v>
      </c>
      <c r="G566">
        <v>5000</v>
      </c>
    </row>
    <row r="567" spans="1:7" x14ac:dyDescent="0.3">
      <c r="A567" s="80">
        <v>45682</v>
      </c>
      <c r="B567">
        <v>1010100</v>
      </c>
      <c r="C567">
        <v>29990</v>
      </c>
      <c r="E567" s="80">
        <v>45676</v>
      </c>
      <c r="F567">
        <v>1010900</v>
      </c>
      <c r="G567">
        <v>5000</v>
      </c>
    </row>
    <row r="568" spans="1:7" x14ac:dyDescent="0.3">
      <c r="A568" s="80">
        <v>45682</v>
      </c>
      <c r="B568">
        <v>1010100</v>
      </c>
      <c r="C568">
        <v>32990</v>
      </c>
      <c r="E568" s="80">
        <v>45676</v>
      </c>
      <c r="F568">
        <v>1010900</v>
      </c>
      <c r="G568">
        <v>2630</v>
      </c>
    </row>
    <row r="569" spans="1:7" x14ac:dyDescent="0.3">
      <c r="A569" s="80">
        <v>45682</v>
      </c>
      <c r="B569">
        <v>1010100</v>
      </c>
      <c r="C569">
        <v>29990</v>
      </c>
      <c r="E569" s="80">
        <v>45675</v>
      </c>
      <c r="F569">
        <v>1010900</v>
      </c>
      <c r="G569">
        <v>5000</v>
      </c>
    </row>
    <row r="570" spans="1:7" x14ac:dyDescent="0.3">
      <c r="A570" s="80">
        <v>45682</v>
      </c>
      <c r="B570">
        <v>1010100</v>
      </c>
      <c r="C570">
        <v>29990</v>
      </c>
      <c r="E570" s="80">
        <v>45675</v>
      </c>
      <c r="F570">
        <v>1010900</v>
      </c>
      <c r="G570">
        <v>5000</v>
      </c>
    </row>
    <row r="571" spans="1:7" x14ac:dyDescent="0.3">
      <c r="A571" s="80">
        <v>45682</v>
      </c>
      <c r="B571">
        <v>1010100</v>
      </c>
      <c r="C571">
        <v>29990</v>
      </c>
      <c r="E571" s="80">
        <v>45675</v>
      </c>
      <c r="F571">
        <v>1010900</v>
      </c>
      <c r="G571">
        <v>5000</v>
      </c>
    </row>
    <row r="572" spans="1:7" x14ac:dyDescent="0.3">
      <c r="A572" s="80">
        <v>45682</v>
      </c>
      <c r="B572">
        <v>1010100</v>
      </c>
      <c r="C572">
        <v>29990</v>
      </c>
      <c r="E572" s="80">
        <v>45675</v>
      </c>
      <c r="F572">
        <v>1010900</v>
      </c>
      <c r="G572">
        <v>5000</v>
      </c>
    </row>
    <row r="573" spans="1:7" x14ac:dyDescent="0.3">
      <c r="A573" s="80">
        <v>45681</v>
      </c>
      <c r="B573">
        <v>1010100</v>
      </c>
      <c r="C573">
        <v>29990</v>
      </c>
      <c r="E573" s="80">
        <v>45675</v>
      </c>
      <c r="F573">
        <v>1010900</v>
      </c>
      <c r="G573">
        <v>5000</v>
      </c>
    </row>
    <row r="574" spans="1:7" x14ac:dyDescent="0.3">
      <c r="A574" s="80">
        <v>45681</v>
      </c>
      <c r="B574">
        <v>1010100</v>
      </c>
      <c r="C574">
        <v>29990</v>
      </c>
      <c r="E574" s="80">
        <v>45675</v>
      </c>
      <c r="F574">
        <v>1010900</v>
      </c>
      <c r="G574">
        <v>5000</v>
      </c>
    </row>
    <row r="575" spans="1:7" x14ac:dyDescent="0.3">
      <c r="A575" s="80">
        <v>45681</v>
      </c>
      <c r="B575">
        <v>1010100</v>
      </c>
      <c r="C575">
        <v>29990</v>
      </c>
      <c r="E575" s="80">
        <v>45675</v>
      </c>
      <c r="F575">
        <v>1010900</v>
      </c>
      <c r="G575">
        <v>5000</v>
      </c>
    </row>
    <row r="576" spans="1:7" x14ac:dyDescent="0.3">
      <c r="A576" s="80">
        <v>45681</v>
      </c>
      <c r="B576">
        <v>1010100</v>
      </c>
      <c r="C576">
        <v>29990</v>
      </c>
      <c r="E576" s="80">
        <v>45675</v>
      </c>
      <c r="F576">
        <v>1010900</v>
      </c>
      <c r="G576">
        <v>5000</v>
      </c>
    </row>
    <row r="577" spans="1:7" x14ac:dyDescent="0.3">
      <c r="A577" s="80">
        <v>45681</v>
      </c>
      <c r="B577">
        <v>1010100</v>
      </c>
      <c r="C577">
        <v>29990</v>
      </c>
      <c r="E577" s="80">
        <v>45675</v>
      </c>
      <c r="F577">
        <v>1010900</v>
      </c>
      <c r="G577">
        <v>5000</v>
      </c>
    </row>
    <row r="578" spans="1:7" x14ac:dyDescent="0.3">
      <c r="A578" s="80">
        <v>45681</v>
      </c>
      <c r="B578">
        <v>1010100</v>
      </c>
      <c r="C578">
        <v>29990</v>
      </c>
      <c r="E578" s="80">
        <v>45675</v>
      </c>
      <c r="F578">
        <v>1010900</v>
      </c>
      <c r="G578">
        <v>5000</v>
      </c>
    </row>
    <row r="579" spans="1:7" x14ac:dyDescent="0.3">
      <c r="A579" s="80">
        <v>45681</v>
      </c>
      <c r="B579">
        <v>1010100</v>
      </c>
      <c r="C579">
        <v>29990</v>
      </c>
      <c r="E579" s="80">
        <v>45675</v>
      </c>
      <c r="F579">
        <v>1010900</v>
      </c>
      <c r="G579">
        <v>5000</v>
      </c>
    </row>
    <row r="580" spans="1:7" x14ac:dyDescent="0.3">
      <c r="A580" s="80">
        <v>45681</v>
      </c>
      <c r="B580">
        <v>1010100</v>
      </c>
      <c r="C580">
        <v>29990</v>
      </c>
      <c r="E580" s="80">
        <v>45674</v>
      </c>
      <c r="F580">
        <v>1010900</v>
      </c>
      <c r="G580">
        <v>5000</v>
      </c>
    </row>
    <row r="581" spans="1:7" x14ac:dyDescent="0.3">
      <c r="A581" s="80">
        <v>45680</v>
      </c>
      <c r="B581">
        <v>1010100</v>
      </c>
      <c r="C581">
        <v>29990</v>
      </c>
      <c r="E581" s="80">
        <v>45674</v>
      </c>
      <c r="F581">
        <v>1010900</v>
      </c>
      <c r="G581">
        <v>5000</v>
      </c>
    </row>
    <row r="582" spans="1:7" x14ac:dyDescent="0.3">
      <c r="A582" s="80">
        <v>45680</v>
      </c>
      <c r="B582">
        <v>1010100</v>
      </c>
      <c r="C582">
        <v>29990</v>
      </c>
      <c r="E582" s="80">
        <v>45674</v>
      </c>
      <c r="F582">
        <v>1010900</v>
      </c>
      <c r="G582">
        <v>5000</v>
      </c>
    </row>
    <row r="583" spans="1:7" x14ac:dyDescent="0.3">
      <c r="A583" s="80">
        <v>45680</v>
      </c>
      <c r="B583">
        <v>1010100</v>
      </c>
      <c r="C583">
        <v>29990</v>
      </c>
      <c r="E583" s="80">
        <v>45674</v>
      </c>
      <c r="F583">
        <v>1010900</v>
      </c>
      <c r="G583">
        <v>5000</v>
      </c>
    </row>
    <row r="584" spans="1:7" x14ac:dyDescent="0.3">
      <c r="A584" s="80">
        <v>45680</v>
      </c>
      <c r="B584">
        <v>1010100</v>
      </c>
      <c r="C584">
        <v>29990</v>
      </c>
      <c r="E584" s="80">
        <v>45674</v>
      </c>
      <c r="F584">
        <v>1010900</v>
      </c>
      <c r="G584">
        <v>5000</v>
      </c>
    </row>
    <row r="585" spans="1:7" x14ac:dyDescent="0.3">
      <c r="A585" s="80">
        <v>45680</v>
      </c>
      <c r="B585">
        <v>1010100</v>
      </c>
      <c r="C585">
        <v>29990</v>
      </c>
      <c r="E585" s="80">
        <v>45674</v>
      </c>
      <c r="F585">
        <v>1010900</v>
      </c>
      <c r="G585">
        <v>5000</v>
      </c>
    </row>
    <row r="586" spans="1:7" x14ac:dyDescent="0.3">
      <c r="A586" s="80">
        <v>45680</v>
      </c>
      <c r="B586">
        <v>1010100</v>
      </c>
      <c r="C586">
        <v>29990</v>
      </c>
      <c r="E586" s="80">
        <v>45674</v>
      </c>
      <c r="F586">
        <v>1010900</v>
      </c>
      <c r="G586">
        <v>5000</v>
      </c>
    </row>
    <row r="587" spans="1:7" x14ac:dyDescent="0.3">
      <c r="A587" s="80">
        <v>45680</v>
      </c>
      <c r="B587">
        <v>1010100</v>
      </c>
      <c r="C587">
        <v>29990</v>
      </c>
      <c r="E587" s="80">
        <v>45674</v>
      </c>
      <c r="F587">
        <v>1010900</v>
      </c>
      <c r="G587">
        <v>5000</v>
      </c>
    </row>
    <row r="588" spans="1:7" x14ac:dyDescent="0.3">
      <c r="A588" s="80">
        <v>45679</v>
      </c>
      <c r="B588">
        <v>1010100</v>
      </c>
      <c r="C588">
        <v>29990</v>
      </c>
      <c r="E588" s="80">
        <v>45674</v>
      </c>
      <c r="F588">
        <v>1010900</v>
      </c>
      <c r="G588">
        <v>5000</v>
      </c>
    </row>
    <row r="589" spans="1:7" x14ac:dyDescent="0.3">
      <c r="A589" s="80">
        <v>45679</v>
      </c>
      <c r="B589">
        <v>1010100</v>
      </c>
      <c r="C589">
        <v>29990</v>
      </c>
      <c r="E589" s="80">
        <v>45674</v>
      </c>
      <c r="F589">
        <v>1010900</v>
      </c>
      <c r="G589">
        <v>500</v>
      </c>
    </row>
    <row r="590" spans="1:7" x14ac:dyDescent="0.3">
      <c r="A590" s="80">
        <v>45679</v>
      </c>
      <c r="B590">
        <v>1010100</v>
      </c>
      <c r="C590">
        <v>29990</v>
      </c>
      <c r="E590" s="80">
        <v>45674</v>
      </c>
      <c r="F590">
        <v>1010900</v>
      </c>
      <c r="G590">
        <v>5000</v>
      </c>
    </row>
    <row r="591" spans="1:7" x14ac:dyDescent="0.3">
      <c r="A591" s="80">
        <v>45679</v>
      </c>
      <c r="B591">
        <v>1010100</v>
      </c>
      <c r="C591">
        <v>29990</v>
      </c>
      <c r="E591" s="80">
        <v>45673</v>
      </c>
      <c r="F591">
        <v>1010900</v>
      </c>
      <c r="G591">
        <v>5000</v>
      </c>
    </row>
    <row r="592" spans="1:7" x14ac:dyDescent="0.3">
      <c r="A592" s="80">
        <v>45679</v>
      </c>
      <c r="B592">
        <v>1010100</v>
      </c>
      <c r="C592">
        <v>29990</v>
      </c>
      <c r="E592" s="80">
        <v>45673</v>
      </c>
      <c r="F592">
        <v>1010900</v>
      </c>
      <c r="G592">
        <v>5000</v>
      </c>
    </row>
    <row r="593" spans="1:7" x14ac:dyDescent="0.3">
      <c r="A593" s="80">
        <v>45679</v>
      </c>
      <c r="B593">
        <v>1010100</v>
      </c>
      <c r="C593">
        <v>29990</v>
      </c>
      <c r="E593" s="80">
        <v>45673</v>
      </c>
      <c r="F593">
        <v>1010900</v>
      </c>
      <c r="G593">
        <v>5000</v>
      </c>
    </row>
    <row r="594" spans="1:7" x14ac:dyDescent="0.3">
      <c r="A594" s="80">
        <v>45679</v>
      </c>
      <c r="B594">
        <v>1010100</v>
      </c>
      <c r="C594">
        <v>53982</v>
      </c>
      <c r="E594" s="80">
        <v>45673</v>
      </c>
      <c r="F594">
        <v>1010900</v>
      </c>
      <c r="G594">
        <v>5000</v>
      </c>
    </row>
    <row r="595" spans="1:7" x14ac:dyDescent="0.3">
      <c r="A595" s="80">
        <v>45679</v>
      </c>
      <c r="B595">
        <v>1010100</v>
      </c>
      <c r="C595">
        <v>26991</v>
      </c>
      <c r="E595" s="80">
        <v>45673</v>
      </c>
      <c r="F595">
        <v>1010900</v>
      </c>
      <c r="G595">
        <v>5000</v>
      </c>
    </row>
    <row r="596" spans="1:7" x14ac:dyDescent="0.3">
      <c r="A596" s="80">
        <v>45679</v>
      </c>
      <c r="B596">
        <v>1010100</v>
      </c>
      <c r="C596">
        <v>29990</v>
      </c>
      <c r="E596" s="80">
        <v>45673</v>
      </c>
      <c r="F596">
        <v>1010900</v>
      </c>
      <c r="G596">
        <v>5000</v>
      </c>
    </row>
    <row r="597" spans="1:7" x14ac:dyDescent="0.3">
      <c r="A597" s="80">
        <v>45678</v>
      </c>
      <c r="B597">
        <v>1010100</v>
      </c>
      <c r="C597">
        <v>29990</v>
      </c>
      <c r="E597" s="80">
        <v>45672</v>
      </c>
      <c r="F597">
        <v>1010900</v>
      </c>
      <c r="G597">
        <v>5000</v>
      </c>
    </row>
    <row r="598" spans="1:7" x14ac:dyDescent="0.3">
      <c r="A598" s="80">
        <v>45678</v>
      </c>
      <c r="B598">
        <v>1010100</v>
      </c>
      <c r="C598">
        <v>29990</v>
      </c>
      <c r="E598" s="80">
        <v>45672</v>
      </c>
      <c r="F598">
        <v>1010900</v>
      </c>
      <c r="G598">
        <v>5000</v>
      </c>
    </row>
    <row r="599" spans="1:7" x14ac:dyDescent="0.3">
      <c r="A599" s="80">
        <v>45678</v>
      </c>
      <c r="B599">
        <v>1010100</v>
      </c>
      <c r="C599">
        <v>29990</v>
      </c>
      <c r="E599" s="80">
        <v>45672</v>
      </c>
      <c r="F599">
        <v>1010900</v>
      </c>
      <c r="G599">
        <v>5000</v>
      </c>
    </row>
    <row r="600" spans="1:7" x14ac:dyDescent="0.3">
      <c r="A600" s="80">
        <v>45678</v>
      </c>
      <c r="B600">
        <v>1010100</v>
      </c>
      <c r="C600">
        <v>29990</v>
      </c>
      <c r="E600" s="80">
        <v>45672</v>
      </c>
      <c r="F600">
        <v>1010900</v>
      </c>
      <c r="G600">
        <v>5000</v>
      </c>
    </row>
    <row r="601" spans="1:7" x14ac:dyDescent="0.3">
      <c r="A601" s="80">
        <v>45678</v>
      </c>
      <c r="B601">
        <v>1010100</v>
      </c>
      <c r="C601">
        <v>29990</v>
      </c>
      <c r="E601" s="80">
        <v>45672</v>
      </c>
      <c r="F601">
        <v>1010900</v>
      </c>
      <c r="G601">
        <v>5000</v>
      </c>
    </row>
    <row r="602" spans="1:7" x14ac:dyDescent="0.3">
      <c r="A602" s="80">
        <v>45678</v>
      </c>
      <c r="B602">
        <v>1010100</v>
      </c>
      <c r="C602">
        <v>29990</v>
      </c>
      <c r="E602" s="80">
        <v>45672</v>
      </c>
      <c r="F602">
        <v>1010900</v>
      </c>
      <c r="G602">
        <v>5000</v>
      </c>
    </row>
    <row r="603" spans="1:7" x14ac:dyDescent="0.3">
      <c r="A603" s="80">
        <v>45678</v>
      </c>
      <c r="B603">
        <v>1010100</v>
      </c>
      <c r="C603">
        <v>29990</v>
      </c>
      <c r="E603" s="80">
        <v>45672</v>
      </c>
      <c r="F603">
        <v>1010900</v>
      </c>
      <c r="G603">
        <v>5000</v>
      </c>
    </row>
    <row r="604" spans="1:7" x14ac:dyDescent="0.3">
      <c r="A604" s="80">
        <v>45678</v>
      </c>
      <c r="B604">
        <v>1010100</v>
      </c>
      <c r="C604">
        <v>29990</v>
      </c>
      <c r="E604" s="80">
        <v>45672</v>
      </c>
      <c r="F604">
        <v>1010900</v>
      </c>
      <c r="G604">
        <v>5000</v>
      </c>
    </row>
    <row r="605" spans="1:7" x14ac:dyDescent="0.3">
      <c r="A605" s="80">
        <v>45678</v>
      </c>
      <c r="B605">
        <v>1010100</v>
      </c>
      <c r="C605">
        <v>29990</v>
      </c>
      <c r="E605" s="80">
        <v>45672</v>
      </c>
      <c r="F605">
        <v>1010900</v>
      </c>
      <c r="G605">
        <v>5000</v>
      </c>
    </row>
    <row r="606" spans="1:7" x14ac:dyDescent="0.3">
      <c r="A606" s="80">
        <v>45678</v>
      </c>
      <c r="B606">
        <v>1010100</v>
      </c>
      <c r="C606">
        <v>29990</v>
      </c>
      <c r="E606" s="80">
        <v>45672</v>
      </c>
      <c r="F606">
        <v>1010900</v>
      </c>
      <c r="G606">
        <v>5000</v>
      </c>
    </row>
    <row r="607" spans="1:7" x14ac:dyDescent="0.3">
      <c r="A607" s="80">
        <v>45678</v>
      </c>
      <c r="B607">
        <v>1010100</v>
      </c>
      <c r="C607">
        <v>26991</v>
      </c>
      <c r="E607" s="80">
        <v>45672</v>
      </c>
      <c r="F607">
        <v>1010900</v>
      </c>
      <c r="G607">
        <v>5000</v>
      </c>
    </row>
    <row r="608" spans="1:7" x14ac:dyDescent="0.3">
      <c r="A608" s="80">
        <v>45678</v>
      </c>
      <c r="B608">
        <v>1010100</v>
      </c>
      <c r="C608">
        <v>29990</v>
      </c>
      <c r="E608" s="80">
        <v>45672</v>
      </c>
      <c r="F608">
        <v>1010900</v>
      </c>
      <c r="G608">
        <v>5000</v>
      </c>
    </row>
    <row r="609" spans="1:7" x14ac:dyDescent="0.3">
      <c r="A609" s="80">
        <v>45678</v>
      </c>
      <c r="B609">
        <v>1010100</v>
      </c>
      <c r="C609">
        <v>29990</v>
      </c>
      <c r="E609" s="80">
        <v>45672</v>
      </c>
      <c r="F609">
        <v>1010900</v>
      </c>
      <c r="G609">
        <v>5000</v>
      </c>
    </row>
    <row r="610" spans="1:7" x14ac:dyDescent="0.3">
      <c r="A610" s="80">
        <v>45678</v>
      </c>
      <c r="B610">
        <v>1010100</v>
      </c>
      <c r="C610">
        <v>29990</v>
      </c>
      <c r="E610" s="80">
        <v>45671</v>
      </c>
      <c r="F610">
        <v>1010900</v>
      </c>
      <c r="G610">
        <v>5000</v>
      </c>
    </row>
    <row r="611" spans="1:7" x14ac:dyDescent="0.3">
      <c r="A611" s="80">
        <v>45677</v>
      </c>
      <c r="B611">
        <v>1010100</v>
      </c>
      <c r="C611">
        <v>29990</v>
      </c>
      <c r="E611" s="80">
        <v>45671</v>
      </c>
      <c r="F611">
        <v>1010900</v>
      </c>
      <c r="G611">
        <v>5000</v>
      </c>
    </row>
    <row r="612" spans="1:7" x14ac:dyDescent="0.3">
      <c r="A612" s="80">
        <v>45677</v>
      </c>
      <c r="B612">
        <v>1010100</v>
      </c>
      <c r="C612">
        <v>29990</v>
      </c>
      <c r="E612" s="80">
        <v>45671</v>
      </c>
      <c r="F612">
        <v>1010900</v>
      </c>
      <c r="G612">
        <v>5000</v>
      </c>
    </row>
    <row r="613" spans="1:7" x14ac:dyDescent="0.3">
      <c r="A613" s="80">
        <v>45677</v>
      </c>
      <c r="B613">
        <v>1010100</v>
      </c>
      <c r="C613">
        <v>29990</v>
      </c>
      <c r="E613" s="80">
        <v>45671</v>
      </c>
      <c r="F613">
        <v>1010900</v>
      </c>
      <c r="G613">
        <v>5000</v>
      </c>
    </row>
    <row r="614" spans="1:7" x14ac:dyDescent="0.3">
      <c r="A614" s="80">
        <v>45677</v>
      </c>
      <c r="B614">
        <v>1010100</v>
      </c>
      <c r="C614">
        <v>32990</v>
      </c>
      <c r="E614" s="80">
        <v>45671</v>
      </c>
      <c r="F614">
        <v>1010900</v>
      </c>
      <c r="G614">
        <v>3000</v>
      </c>
    </row>
    <row r="615" spans="1:7" x14ac:dyDescent="0.3">
      <c r="A615" s="80">
        <v>45677</v>
      </c>
      <c r="B615">
        <v>1010100</v>
      </c>
      <c r="C615">
        <v>29990</v>
      </c>
      <c r="E615" s="80">
        <v>45671</v>
      </c>
      <c r="F615">
        <v>1010900</v>
      </c>
      <c r="G615">
        <v>5000</v>
      </c>
    </row>
    <row r="616" spans="1:7" x14ac:dyDescent="0.3">
      <c r="A616" s="80">
        <v>45677</v>
      </c>
      <c r="B616">
        <v>1010100</v>
      </c>
      <c r="C616">
        <v>29990</v>
      </c>
      <c r="E616" s="80">
        <v>45671</v>
      </c>
      <c r="F616">
        <v>1010900</v>
      </c>
      <c r="G616">
        <v>5000</v>
      </c>
    </row>
    <row r="617" spans="1:7" x14ac:dyDescent="0.3">
      <c r="A617" s="80">
        <v>45676</v>
      </c>
      <c r="B617">
        <v>1010100</v>
      </c>
      <c r="C617">
        <v>29990</v>
      </c>
      <c r="E617" s="80">
        <v>45671</v>
      </c>
      <c r="F617">
        <v>1010900</v>
      </c>
      <c r="G617">
        <v>5000</v>
      </c>
    </row>
    <row r="618" spans="1:7" x14ac:dyDescent="0.3">
      <c r="A618" s="80">
        <v>45676</v>
      </c>
      <c r="B618">
        <v>1010100</v>
      </c>
      <c r="C618">
        <v>29990</v>
      </c>
      <c r="E618" s="80">
        <v>45671</v>
      </c>
      <c r="F618">
        <v>1010900</v>
      </c>
      <c r="G618">
        <v>5000</v>
      </c>
    </row>
    <row r="619" spans="1:7" x14ac:dyDescent="0.3">
      <c r="A619" s="80">
        <v>45676</v>
      </c>
      <c r="B619">
        <v>1010100</v>
      </c>
      <c r="C619">
        <v>32990</v>
      </c>
      <c r="E619" s="80">
        <v>45670</v>
      </c>
      <c r="F619">
        <v>1010900</v>
      </c>
      <c r="G619">
        <v>5000</v>
      </c>
    </row>
    <row r="620" spans="1:7" x14ac:dyDescent="0.3">
      <c r="A620" s="80">
        <v>45676</v>
      </c>
      <c r="B620">
        <v>1010100</v>
      </c>
      <c r="C620">
        <v>29990</v>
      </c>
      <c r="E620" s="80">
        <v>45670</v>
      </c>
      <c r="F620">
        <v>1010900</v>
      </c>
      <c r="G620">
        <v>5000</v>
      </c>
    </row>
    <row r="621" spans="1:7" x14ac:dyDescent="0.3">
      <c r="A621" s="80">
        <v>45676</v>
      </c>
      <c r="B621">
        <v>1010100</v>
      </c>
      <c r="C621">
        <v>29990</v>
      </c>
      <c r="E621" s="80">
        <v>45670</v>
      </c>
      <c r="F621">
        <v>1010900</v>
      </c>
      <c r="G621">
        <v>5000</v>
      </c>
    </row>
    <row r="622" spans="1:7" x14ac:dyDescent="0.3">
      <c r="A622" s="80">
        <v>45676</v>
      </c>
      <c r="B622">
        <v>1010100</v>
      </c>
      <c r="C622">
        <v>29990</v>
      </c>
      <c r="E622" s="80">
        <v>45670</v>
      </c>
      <c r="F622">
        <v>1010900</v>
      </c>
      <c r="G622">
        <v>5000</v>
      </c>
    </row>
    <row r="623" spans="1:7" x14ac:dyDescent="0.3">
      <c r="A623" s="80">
        <v>45676</v>
      </c>
      <c r="B623">
        <v>1010100</v>
      </c>
      <c r="C623">
        <v>29990</v>
      </c>
      <c r="E623" s="80">
        <v>45670</v>
      </c>
      <c r="F623">
        <v>1010900</v>
      </c>
      <c r="G623">
        <v>5000</v>
      </c>
    </row>
    <row r="624" spans="1:7" x14ac:dyDescent="0.3">
      <c r="A624" s="80">
        <v>45676</v>
      </c>
      <c r="B624">
        <v>1010100</v>
      </c>
      <c r="C624">
        <v>29990</v>
      </c>
      <c r="E624" s="80">
        <v>45670</v>
      </c>
      <c r="F624">
        <v>1010900</v>
      </c>
      <c r="G624">
        <v>5000</v>
      </c>
    </row>
    <row r="625" spans="1:7" x14ac:dyDescent="0.3">
      <c r="A625" s="80">
        <v>45676</v>
      </c>
      <c r="B625">
        <v>1010100</v>
      </c>
      <c r="C625">
        <v>29990</v>
      </c>
      <c r="E625" s="80">
        <v>45669</v>
      </c>
      <c r="F625">
        <v>1010900</v>
      </c>
      <c r="G625">
        <v>5000</v>
      </c>
    </row>
    <row r="626" spans="1:7" x14ac:dyDescent="0.3">
      <c r="A626" s="80">
        <v>45676</v>
      </c>
      <c r="B626">
        <v>1010100</v>
      </c>
      <c r="C626">
        <v>29990</v>
      </c>
      <c r="E626" s="80">
        <v>45669</v>
      </c>
      <c r="F626">
        <v>1010900</v>
      </c>
      <c r="G626">
        <v>5000</v>
      </c>
    </row>
    <row r="627" spans="1:7" x14ac:dyDescent="0.3">
      <c r="A627" s="80">
        <v>45676</v>
      </c>
      <c r="B627">
        <v>1010100</v>
      </c>
      <c r="C627">
        <v>29990</v>
      </c>
      <c r="E627" s="80">
        <v>45669</v>
      </c>
      <c r="F627">
        <v>1010900</v>
      </c>
      <c r="G627">
        <v>5000</v>
      </c>
    </row>
    <row r="628" spans="1:7" x14ac:dyDescent="0.3">
      <c r="A628" s="80">
        <v>45676</v>
      </c>
      <c r="B628">
        <v>1010100</v>
      </c>
      <c r="C628">
        <v>9990</v>
      </c>
      <c r="E628" s="80">
        <v>45669</v>
      </c>
      <c r="F628">
        <v>1010900</v>
      </c>
      <c r="G628">
        <v>5000</v>
      </c>
    </row>
    <row r="629" spans="1:7" x14ac:dyDescent="0.3">
      <c r="A629" s="80">
        <v>45676</v>
      </c>
      <c r="B629">
        <v>1010100</v>
      </c>
      <c r="C629">
        <v>29990</v>
      </c>
      <c r="E629" s="80">
        <v>45669</v>
      </c>
      <c r="F629">
        <v>1010900</v>
      </c>
      <c r="G629">
        <v>5000</v>
      </c>
    </row>
    <row r="630" spans="1:7" x14ac:dyDescent="0.3">
      <c r="A630" s="80">
        <v>45676</v>
      </c>
      <c r="B630">
        <v>1010100</v>
      </c>
      <c r="C630">
        <v>29990</v>
      </c>
      <c r="E630" s="80">
        <v>45669</v>
      </c>
      <c r="F630">
        <v>1010900</v>
      </c>
      <c r="G630">
        <v>5000</v>
      </c>
    </row>
    <row r="631" spans="1:7" x14ac:dyDescent="0.3">
      <c r="A631" s="80">
        <v>45676</v>
      </c>
      <c r="B631">
        <v>1010100</v>
      </c>
      <c r="C631">
        <v>29990</v>
      </c>
      <c r="E631" s="80">
        <v>45669</v>
      </c>
      <c r="F631">
        <v>1010900</v>
      </c>
      <c r="G631">
        <v>5000</v>
      </c>
    </row>
    <row r="632" spans="1:7" x14ac:dyDescent="0.3">
      <c r="A632" s="80">
        <v>45676</v>
      </c>
      <c r="B632">
        <v>1010100</v>
      </c>
      <c r="C632">
        <v>29990</v>
      </c>
      <c r="E632" s="80">
        <v>45669</v>
      </c>
      <c r="F632">
        <v>1010900</v>
      </c>
      <c r="G632">
        <v>5000</v>
      </c>
    </row>
    <row r="633" spans="1:7" x14ac:dyDescent="0.3">
      <c r="A633" s="80">
        <v>45676</v>
      </c>
      <c r="B633">
        <v>1010100</v>
      </c>
      <c r="C633">
        <v>29990</v>
      </c>
      <c r="E633" s="80">
        <v>45668</v>
      </c>
      <c r="F633">
        <v>1010900</v>
      </c>
      <c r="G633">
        <v>5000</v>
      </c>
    </row>
    <row r="634" spans="1:7" x14ac:dyDescent="0.3">
      <c r="A634" s="80">
        <v>45676</v>
      </c>
      <c r="B634">
        <v>1010100</v>
      </c>
      <c r="C634">
        <v>9990</v>
      </c>
      <c r="E634" s="80">
        <v>45668</v>
      </c>
      <c r="F634">
        <v>1010900</v>
      </c>
      <c r="G634">
        <v>5000</v>
      </c>
    </row>
    <row r="635" spans="1:7" x14ac:dyDescent="0.3">
      <c r="A635" s="80">
        <v>45675</v>
      </c>
      <c r="B635">
        <v>1010100</v>
      </c>
      <c r="C635">
        <v>29990</v>
      </c>
      <c r="E635" s="80">
        <v>45668</v>
      </c>
      <c r="F635">
        <v>1010900</v>
      </c>
      <c r="G635">
        <v>5000</v>
      </c>
    </row>
    <row r="636" spans="1:7" x14ac:dyDescent="0.3">
      <c r="A636" s="80">
        <v>45675</v>
      </c>
      <c r="B636">
        <v>1010100</v>
      </c>
      <c r="C636">
        <v>29990</v>
      </c>
      <c r="E636" s="80">
        <v>45668</v>
      </c>
      <c r="F636">
        <v>1010900</v>
      </c>
      <c r="G636">
        <v>5000</v>
      </c>
    </row>
    <row r="637" spans="1:7" x14ac:dyDescent="0.3">
      <c r="A637" s="80">
        <v>45675</v>
      </c>
      <c r="B637">
        <v>1010100</v>
      </c>
      <c r="C637">
        <v>29990</v>
      </c>
      <c r="E637" s="80">
        <v>45668</v>
      </c>
      <c r="F637">
        <v>1010900</v>
      </c>
      <c r="G637">
        <v>5000</v>
      </c>
    </row>
    <row r="638" spans="1:7" x14ac:dyDescent="0.3">
      <c r="A638" s="80">
        <v>45675</v>
      </c>
      <c r="B638">
        <v>1010100</v>
      </c>
      <c r="C638">
        <v>32990</v>
      </c>
      <c r="E638" s="80">
        <v>45668</v>
      </c>
      <c r="F638">
        <v>1010900</v>
      </c>
      <c r="G638">
        <v>5000</v>
      </c>
    </row>
    <row r="639" spans="1:7" x14ac:dyDescent="0.3">
      <c r="A639" s="80">
        <v>45675</v>
      </c>
      <c r="B639">
        <v>1010100</v>
      </c>
      <c r="C639">
        <v>26991</v>
      </c>
      <c r="E639" s="80">
        <v>45668</v>
      </c>
      <c r="F639">
        <v>1010900</v>
      </c>
      <c r="G639">
        <v>5000</v>
      </c>
    </row>
    <row r="640" spans="1:7" x14ac:dyDescent="0.3">
      <c r="A640" s="80">
        <v>45675</v>
      </c>
      <c r="B640">
        <v>1010100</v>
      </c>
      <c r="C640">
        <v>29990</v>
      </c>
      <c r="E640" s="80">
        <v>45668</v>
      </c>
      <c r="F640">
        <v>1010900</v>
      </c>
      <c r="G640">
        <v>5000</v>
      </c>
    </row>
    <row r="641" spans="1:7" x14ac:dyDescent="0.3">
      <c r="A641" s="80">
        <v>45675</v>
      </c>
      <c r="B641">
        <v>1010100</v>
      </c>
      <c r="C641">
        <v>29990</v>
      </c>
      <c r="E641" s="80">
        <v>45668</v>
      </c>
      <c r="F641">
        <v>1010900</v>
      </c>
      <c r="G641">
        <v>5000</v>
      </c>
    </row>
    <row r="642" spans="1:7" x14ac:dyDescent="0.3">
      <c r="A642" s="80">
        <v>45675</v>
      </c>
      <c r="B642">
        <v>1010100</v>
      </c>
      <c r="C642">
        <v>29990</v>
      </c>
      <c r="E642" s="80">
        <v>45668</v>
      </c>
      <c r="F642">
        <v>1010900</v>
      </c>
      <c r="G642">
        <v>5000</v>
      </c>
    </row>
    <row r="643" spans="1:7" x14ac:dyDescent="0.3">
      <c r="A643" s="80">
        <v>45675</v>
      </c>
      <c r="B643">
        <v>1010100</v>
      </c>
      <c r="C643">
        <v>26991</v>
      </c>
      <c r="E643" s="80">
        <v>45668</v>
      </c>
      <c r="F643">
        <v>1010900</v>
      </c>
      <c r="G643">
        <v>5000</v>
      </c>
    </row>
    <row r="644" spans="1:7" x14ac:dyDescent="0.3">
      <c r="A644" s="80">
        <v>45675</v>
      </c>
      <c r="B644">
        <v>1010100</v>
      </c>
      <c r="C644">
        <v>29990</v>
      </c>
      <c r="E644" s="80">
        <v>45668</v>
      </c>
      <c r="F644">
        <v>1010900</v>
      </c>
      <c r="G644">
        <v>5000</v>
      </c>
    </row>
    <row r="645" spans="1:7" x14ac:dyDescent="0.3">
      <c r="A645" s="80">
        <v>45675</v>
      </c>
      <c r="B645">
        <v>1010100</v>
      </c>
      <c r="C645">
        <v>29990</v>
      </c>
      <c r="E645" s="80">
        <v>45668</v>
      </c>
      <c r="F645">
        <v>1010900</v>
      </c>
      <c r="G645">
        <v>5000</v>
      </c>
    </row>
    <row r="646" spans="1:7" x14ac:dyDescent="0.3">
      <c r="A646" s="80">
        <v>45674</v>
      </c>
      <c r="B646">
        <v>1010100</v>
      </c>
      <c r="C646">
        <v>26991</v>
      </c>
      <c r="E646" s="80">
        <v>45668</v>
      </c>
      <c r="F646">
        <v>1010900</v>
      </c>
      <c r="G646">
        <v>5000</v>
      </c>
    </row>
    <row r="647" spans="1:7" x14ac:dyDescent="0.3">
      <c r="A647" s="80">
        <v>45674</v>
      </c>
      <c r="B647">
        <v>1010100</v>
      </c>
      <c r="C647">
        <v>32990</v>
      </c>
      <c r="E647" s="80">
        <v>45668</v>
      </c>
      <c r="F647">
        <v>1010900</v>
      </c>
      <c r="G647">
        <v>5000</v>
      </c>
    </row>
    <row r="648" spans="1:7" x14ac:dyDescent="0.3">
      <c r="A648" s="80">
        <v>45674</v>
      </c>
      <c r="B648">
        <v>1010100</v>
      </c>
      <c r="C648">
        <v>29990</v>
      </c>
      <c r="E648" s="80">
        <v>45667</v>
      </c>
      <c r="F648">
        <v>1010900</v>
      </c>
      <c r="G648">
        <v>5000</v>
      </c>
    </row>
    <row r="649" spans="1:7" x14ac:dyDescent="0.3">
      <c r="A649" s="80">
        <v>45674</v>
      </c>
      <c r="B649">
        <v>1010100</v>
      </c>
      <c r="C649">
        <v>29990</v>
      </c>
      <c r="E649" s="80">
        <v>45667</v>
      </c>
      <c r="F649">
        <v>1010900</v>
      </c>
      <c r="G649">
        <v>5000</v>
      </c>
    </row>
    <row r="650" spans="1:7" x14ac:dyDescent="0.3">
      <c r="A650" s="80">
        <v>45674</v>
      </c>
      <c r="B650">
        <v>1010100</v>
      </c>
      <c r="C650">
        <v>26991</v>
      </c>
      <c r="E650" s="80">
        <v>45667</v>
      </c>
      <c r="F650">
        <v>1010900</v>
      </c>
      <c r="G650">
        <v>5000</v>
      </c>
    </row>
    <row r="651" spans="1:7" x14ac:dyDescent="0.3">
      <c r="A651" s="80">
        <v>45674</v>
      </c>
      <c r="B651">
        <v>1010100</v>
      </c>
      <c r="C651">
        <v>29990</v>
      </c>
      <c r="E651" s="80">
        <v>45667</v>
      </c>
      <c r="F651">
        <v>1010900</v>
      </c>
      <c r="G651">
        <v>5000</v>
      </c>
    </row>
    <row r="652" spans="1:7" x14ac:dyDescent="0.3">
      <c r="A652" s="80">
        <v>45674</v>
      </c>
      <c r="B652">
        <v>1010100</v>
      </c>
      <c r="C652">
        <v>26991</v>
      </c>
      <c r="E652" s="80">
        <v>45667</v>
      </c>
      <c r="F652">
        <v>1010900</v>
      </c>
      <c r="G652">
        <v>5000</v>
      </c>
    </row>
    <row r="653" spans="1:7" x14ac:dyDescent="0.3">
      <c r="A653" s="80">
        <v>45674</v>
      </c>
      <c r="B653">
        <v>1010100</v>
      </c>
      <c r="C653">
        <v>29990</v>
      </c>
      <c r="E653" s="80">
        <v>45667</v>
      </c>
      <c r="F653">
        <v>1010900</v>
      </c>
      <c r="G653">
        <v>5000</v>
      </c>
    </row>
    <row r="654" spans="1:7" x14ac:dyDescent="0.3">
      <c r="A654" s="80">
        <v>45674</v>
      </c>
      <c r="B654">
        <v>1010100</v>
      </c>
      <c r="C654">
        <v>29990</v>
      </c>
      <c r="E654" s="80">
        <v>45667</v>
      </c>
      <c r="F654">
        <v>1010900</v>
      </c>
      <c r="G654">
        <v>5000</v>
      </c>
    </row>
    <row r="655" spans="1:7" x14ac:dyDescent="0.3">
      <c r="A655" s="80">
        <v>45674</v>
      </c>
      <c r="B655">
        <v>1010100</v>
      </c>
      <c r="C655">
        <v>9990</v>
      </c>
      <c r="E655" s="80">
        <v>45667</v>
      </c>
      <c r="F655">
        <v>1010900</v>
      </c>
      <c r="G655">
        <v>5000</v>
      </c>
    </row>
    <row r="656" spans="1:7" x14ac:dyDescent="0.3">
      <c r="A656" s="80">
        <v>45674</v>
      </c>
      <c r="B656">
        <v>1010100</v>
      </c>
      <c r="C656">
        <v>29990</v>
      </c>
      <c r="E656" s="80">
        <v>45667</v>
      </c>
      <c r="F656">
        <v>1010900</v>
      </c>
      <c r="G656">
        <v>5000</v>
      </c>
    </row>
    <row r="657" spans="1:7" x14ac:dyDescent="0.3">
      <c r="A657" s="80">
        <v>45673</v>
      </c>
      <c r="B657">
        <v>1010100</v>
      </c>
      <c r="C657">
        <v>29990</v>
      </c>
      <c r="E657" s="80">
        <v>45667</v>
      </c>
      <c r="F657">
        <v>1010900</v>
      </c>
      <c r="G657">
        <v>5000</v>
      </c>
    </row>
    <row r="658" spans="1:7" x14ac:dyDescent="0.3">
      <c r="A658" s="80">
        <v>45673</v>
      </c>
      <c r="B658">
        <v>1010100</v>
      </c>
      <c r="C658">
        <v>29990</v>
      </c>
      <c r="E658" s="80">
        <v>45667</v>
      </c>
      <c r="F658">
        <v>1010900</v>
      </c>
      <c r="G658">
        <v>5000</v>
      </c>
    </row>
    <row r="659" spans="1:7" x14ac:dyDescent="0.3">
      <c r="A659" s="80">
        <v>45673</v>
      </c>
      <c r="B659">
        <v>1010100</v>
      </c>
      <c r="C659">
        <v>29990</v>
      </c>
      <c r="E659" s="80">
        <v>45667</v>
      </c>
      <c r="F659">
        <v>1010900</v>
      </c>
      <c r="G659">
        <v>5000</v>
      </c>
    </row>
    <row r="660" spans="1:7" x14ac:dyDescent="0.3">
      <c r="A660" s="80">
        <v>45673</v>
      </c>
      <c r="B660">
        <v>1010100</v>
      </c>
      <c r="C660">
        <v>29990</v>
      </c>
      <c r="E660" s="80">
        <v>45667</v>
      </c>
      <c r="F660">
        <v>1010900</v>
      </c>
      <c r="G660">
        <v>5000</v>
      </c>
    </row>
    <row r="661" spans="1:7" x14ac:dyDescent="0.3">
      <c r="A661" s="80">
        <v>45673</v>
      </c>
      <c r="B661">
        <v>1010100</v>
      </c>
      <c r="C661">
        <v>29990</v>
      </c>
      <c r="E661" s="80">
        <v>45667</v>
      </c>
      <c r="F661">
        <v>1010900</v>
      </c>
      <c r="G661">
        <v>5000</v>
      </c>
    </row>
    <row r="662" spans="1:7" x14ac:dyDescent="0.3">
      <c r="A662" s="80">
        <v>45673</v>
      </c>
      <c r="B662">
        <v>1010100</v>
      </c>
      <c r="C662">
        <v>32990</v>
      </c>
      <c r="E662" s="80">
        <v>45667</v>
      </c>
      <c r="F662">
        <v>1010900</v>
      </c>
      <c r="G662">
        <v>5000</v>
      </c>
    </row>
    <row r="663" spans="1:7" x14ac:dyDescent="0.3">
      <c r="A663" s="80">
        <v>45672</v>
      </c>
      <c r="B663">
        <v>1010100</v>
      </c>
      <c r="C663">
        <v>26991</v>
      </c>
      <c r="E663" s="80">
        <v>45666</v>
      </c>
      <c r="F663">
        <v>1010900</v>
      </c>
      <c r="G663">
        <v>5000</v>
      </c>
    </row>
    <row r="664" spans="1:7" x14ac:dyDescent="0.3">
      <c r="A664" s="80">
        <v>45672</v>
      </c>
      <c r="B664">
        <v>1010100</v>
      </c>
      <c r="C664">
        <v>29990</v>
      </c>
      <c r="E664" s="80">
        <v>45666</v>
      </c>
      <c r="F664">
        <v>1010900</v>
      </c>
      <c r="G664">
        <v>5000</v>
      </c>
    </row>
    <row r="665" spans="1:7" x14ac:dyDescent="0.3">
      <c r="A665" s="80">
        <v>45672</v>
      </c>
      <c r="B665">
        <v>1010100</v>
      </c>
      <c r="C665">
        <v>29990</v>
      </c>
      <c r="E665" s="80">
        <v>45666</v>
      </c>
      <c r="F665">
        <v>1010900</v>
      </c>
      <c r="G665">
        <v>5000</v>
      </c>
    </row>
    <row r="666" spans="1:7" x14ac:dyDescent="0.3">
      <c r="A666" s="80">
        <v>45672</v>
      </c>
      <c r="B666">
        <v>1010100</v>
      </c>
      <c r="C666">
        <v>29990</v>
      </c>
      <c r="E666" s="80">
        <v>45666</v>
      </c>
      <c r="F666">
        <v>1010900</v>
      </c>
      <c r="G666">
        <v>5000</v>
      </c>
    </row>
    <row r="667" spans="1:7" x14ac:dyDescent="0.3">
      <c r="A667" s="80">
        <v>45672</v>
      </c>
      <c r="B667">
        <v>1010100</v>
      </c>
      <c r="C667">
        <v>29990</v>
      </c>
      <c r="E667" s="80">
        <v>45666</v>
      </c>
      <c r="F667">
        <v>1010900</v>
      </c>
      <c r="G667">
        <v>5000</v>
      </c>
    </row>
    <row r="668" spans="1:7" x14ac:dyDescent="0.3">
      <c r="A668" s="80">
        <v>45672</v>
      </c>
      <c r="B668">
        <v>1010100</v>
      </c>
      <c r="C668">
        <v>29990</v>
      </c>
      <c r="E668" s="80">
        <v>45666</v>
      </c>
      <c r="F668">
        <v>1010900</v>
      </c>
      <c r="G668">
        <v>5000</v>
      </c>
    </row>
    <row r="669" spans="1:7" x14ac:dyDescent="0.3">
      <c r="A669" s="80">
        <v>45672</v>
      </c>
      <c r="B669">
        <v>1010100</v>
      </c>
      <c r="C669">
        <v>29990</v>
      </c>
      <c r="E669" s="80">
        <v>45666</v>
      </c>
      <c r="F669">
        <v>1010900</v>
      </c>
      <c r="G669">
        <v>5000</v>
      </c>
    </row>
    <row r="670" spans="1:7" x14ac:dyDescent="0.3">
      <c r="A670" s="80">
        <v>45672</v>
      </c>
      <c r="B670">
        <v>1010100</v>
      </c>
      <c r="C670">
        <v>29990</v>
      </c>
      <c r="E670" s="80">
        <v>45666</v>
      </c>
      <c r="F670">
        <v>1010900</v>
      </c>
      <c r="G670">
        <v>5000</v>
      </c>
    </row>
    <row r="671" spans="1:7" x14ac:dyDescent="0.3">
      <c r="A671" s="80">
        <v>45672</v>
      </c>
      <c r="B671">
        <v>1010100</v>
      </c>
      <c r="C671">
        <v>29990</v>
      </c>
      <c r="E671" s="80">
        <v>45666</v>
      </c>
      <c r="F671">
        <v>1010900</v>
      </c>
      <c r="G671">
        <v>5000</v>
      </c>
    </row>
    <row r="672" spans="1:7" x14ac:dyDescent="0.3">
      <c r="A672" s="80">
        <v>45672</v>
      </c>
      <c r="B672">
        <v>1010100</v>
      </c>
      <c r="C672">
        <v>29990</v>
      </c>
      <c r="E672" s="80">
        <v>45666</v>
      </c>
      <c r="F672">
        <v>1010900</v>
      </c>
      <c r="G672">
        <v>5000</v>
      </c>
    </row>
    <row r="673" spans="1:7" x14ac:dyDescent="0.3">
      <c r="A673" s="80">
        <v>45672</v>
      </c>
      <c r="B673">
        <v>1010100</v>
      </c>
      <c r="C673">
        <v>29990</v>
      </c>
      <c r="E673" s="80">
        <v>45666</v>
      </c>
      <c r="F673">
        <v>1010900</v>
      </c>
      <c r="G673">
        <v>5000</v>
      </c>
    </row>
    <row r="674" spans="1:7" x14ac:dyDescent="0.3">
      <c r="A674" s="80">
        <v>45672</v>
      </c>
      <c r="B674">
        <v>1010100</v>
      </c>
      <c r="C674">
        <v>29990</v>
      </c>
      <c r="E674" s="80">
        <v>45666</v>
      </c>
      <c r="F674">
        <v>1010900</v>
      </c>
      <c r="G674">
        <v>5000</v>
      </c>
    </row>
    <row r="675" spans="1:7" x14ac:dyDescent="0.3">
      <c r="A675" s="80">
        <v>45672</v>
      </c>
      <c r="B675">
        <v>1010100</v>
      </c>
      <c r="C675">
        <v>29990</v>
      </c>
      <c r="E675" s="80">
        <v>45666</v>
      </c>
      <c r="F675">
        <v>1010900</v>
      </c>
      <c r="G675">
        <v>5000</v>
      </c>
    </row>
    <row r="676" spans="1:7" x14ac:dyDescent="0.3">
      <c r="A676" s="80">
        <v>45671</v>
      </c>
      <c r="B676">
        <v>1010100</v>
      </c>
      <c r="C676">
        <v>29990</v>
      </c>
      <c r="E676" s="80">
        <v>45666</v>
      </c>
      <c r="F676">
        <v>1010900</v>
      </c>
      <c r="G676">
        <v>5000</v>
      </c>
    </row>
    <row r="677" spans="1:7" x14ac:dyDescent="0.3">
      <c r="A677" s="80">
        <v>45671</v>
      </c>
      <c r="B677">
        <v>1010100</v>
      </c>
      <c r="C677">
        <v>29990</v>
      </c>
      <c r="E677" s="80">
        <v>45666</v>
      </c>
      <c r="F677">
        <v>1010900</v>
      </c>
      <c r="G677">
        <v>5000</v>
      </c>
    </row>
    <row r="678" spans="1:7" x14ac:dyDescent="0.3">
      <c r="A678" s="80">
        <v>45671</v>
      </c>
      <c r="B678">
        <v>1010100</v>
      </c>
      <c r="C678">
        <v>29990</v>
      </c>
      <c r="E678" s="80">
        <v>45666</v>
      </c>
      <c r="F678">
        <v>1010900</v>
      </c>
      <c r="G678">
        <v>5000</v>
      </c>
    </row>
    <row r="679" spans="1:7" x14ac:dyDescent="0.3">
      <c r="A679" s="80">
        <v>45671</v>
      </c>
      <c r="B679">
        <v>1010100</v>
      </c>
      <c r="C679">
        <v>29990</v>
      </c>
      <c r="E679" s="80">
        <v>45666</v>
      </c>
      <c r="F679">
        <v>1010900</v>
      </c>
      <c r="G679">
        <v>5000</v>
      </c>
    </row>
    <row r="680" spans="1:7" x14ac:dyDescent="0.3">
      <c r="A680" s="80">
        <v>45671</v>
      </c>
      <c r="B680">
        <v>1010100</v>
      </c>
      <c r="C680">
        <v>9990</v>
      </c>
      <c r="E680" s="80">
        <v>45666</v>
      </c>
      <c r="F680">
        <v>1010900</v>
      </c>
      <c r="G680">
        <v>5000</v>
      </c>
    </row>
    <row r="681" spans="1:7" x14ac:dyDescent="0.3">
      <c r="A681" s="80">
        <v>45671</v>
      </c>
      <c r="B681">
        <v>1010100</v>
      </c>
      <c r="C681">
        <v>29990</v>
      </c>
      <c r="E681" s="80">
        <v>45665</v>
      </c>
      <c r="F681">
        <v>1010900</v>
      </c>
      <c r="G681">
        <v>5000</v>
      </c>
    </row>
    <row r="682" spans="1:7" x14ac:dyDescent="0.3">
      <c r="A682" s="80">
        <v>45671</v>
      </c>
      <c r="B682">
        <v>1010100</v>
      </c>
      <c r="C682">
        <v>29990</v>
      </c>
      <c r="E682" s="80">
        <v>45665</v>
      </c>
      <c r="F682">
        <v>1010900</v>
      </c>
      <c r="G682">
        <v>5000</v>
      </c>
    </row>
    <row r="683" spans="1:7" x14ac:dyDescent="0.3">
      <c r="A683" s="80">
        <v>45671</v>
      </c>
      <c r="B683">
        <v>1010100</v>
      </c>
      <c r="C683">
        <v>32990</v>
      </c>
      <c r="E683" s="80">
        <v>45665</v>
      </c>
      <c r="F683">
        <v>1010900</v>
      </c>
      <c r="G683">
        <v>5000</v>
      </c>
    </row>
    <row r="684" spans="1:7" x14ac:dyDescent="0.3">
      <c r="A684" s="80">
        <v>45671</v>
      </c>
      <c r="B684">
        <v>1010100</v>
      </c>
      <c r="C684">
        <v>32990</v>
      </c>
      <c r="E684" s="80">
        <v>45665</v>
      </c>
      <c r="F684">
        <v>1010900</v>
      </c>
      <c r="G684">
        <v>5000</v>
      </c>
    </row>
    <row r="685" spans="1:7" x14ac:dyDescent="0.3">
      <c r="A685" s="80">
        <v>45670</v>
      </c>
      <c r="B685">
        <v>1010100</v>
      </c>
      <c r="C685">
        <v>29990</v>
      </c>
      <c r="E685" s="80">
        <v>45665</v>
      </c>
      <c r="F685">
        <v>1010900</v>
      </c>
      <c r="G685">
        <v>5000</v>
      </c>
    </row>
    <row r="686" spans="1:7" x14ac:dyDescent="0.3">
      <c r="A686" s="80">
        <v>45670</v>
      </c>
      <c r="B686">
        <v>1010100</v>
      </c>
      <c r="C686">
        <v>29990</v>
      </c>
      <c r="E686" s="80">
        <v>45665</v>
      </c>
      <c r="F686">
        <v>1010900</v>
      </c>
      <c r="G686">
        <v>5000</v>
      </c>
    </row>
    <row r="687" spans="1:7" x14ac:dyDescent="0.3">
      <c r="A687" s="80">
        <v>45670</v>
      </c>
      <c r="B687">
        <v>1010100</v>
      </c>
      <c r="C687">
        <v>29990</v>
      </c>
      <c r="E687" s="80">
        <v>45665</v>
      </c>
      <c r="F687">
        <v>1010900</v>
      </c>
      <c r="G687">
        <v>5000</v>
      </c>
    </row>
    <row r="688" spans="1:7" x14ac:dyDescent="0.3">
      <c r="A688" s="80">
        <v>45670</v>
      </c>
      <c r="B688">
        <v>1010100</v>
      </c>
      <c r="C688">
        <v>29990</v>
      </c>
      <c r="E688" s="80">
        <v>45665</v>
      </c>
      <c r="F688">
        <v>1010900</v>
      </c>
      <c r="G688">
        <v>5000</v>
      </c>
    </row>
    <row r="689" spans="1:7" x14ac:dyDescent="0.3">
      <c r="A689" s="80">
        <v>45670</v>
      </c>
      <c r="B689">
        <v>1010100</v>
      </c>
      <c r="C689">
        <v>29990</v>
      </c>
      <c r="E689" s="80">
        <v>45665</v>
      </c>
      <c r="F689">
        <v>1010900</v>
      </c>
      <c r="G689">
        <v>5000</v>
      </c>
    </row>
    <row r="690" spans="1:7" x14ac:dyDescent="0.3">
      <c r="A690" s="80">
        <v>45670</v>
      </c>
      <c r="B690">
        <v>1010100</v>
      </c>
      <c r="C690">
        <v>26991</v>
      </c>
      <c r="E690" s="80">
        <v>45665</v>
      </c>
      <c r="F690">
        <v>1010900</v>
      </c>
      <c r="G690">
        <v>5000</v>
      </c>
    </row>
    <row r="691" spans="1:7" x14ac:dyDescent="0.3">
      <c r="A691" s="80">
        <v>45669</v>
      </c>
      <c r="B691">
        <v>1010100</v>
      </c>
      <c r="C691">
        <v>32990</v>
      </c>
      <c r="E691" s="80">
        <v>45665</v>
      </c>
      <c r="F691">
        <v>1010900</v>
      </c>
      <c r="G691">
        <v>5000</v>
      </c>
    </row>
    <row r="692" spans="1:7" x14ac:dyDescent="0.3">
      <c r="A692" s="80">
        <v>45669</v>
      </c>
      <c r="B692">
        <v>1010100</v>
      </c>
      <c r="C692">
        <v>32990</v>
      </c>
      <c r="E692" s="80">
        <v>45665</v>
      </c>
      <c r="F692">
        <v>1010900</v>
      </c>
      <c r="G692">
        <v>5000</v>
      </c>
    </row>
    <row r="693" spans="1:7" x14ac:dyDescent="0.3">
      <c r="A693" s="80">
        <v>45669</v>
      </c>
      <c r="B693">
        <v>1010100</v>
      </c>
      <c r="C693">
        <v>32990</v>
      </c>
      <c r="E693" s="80">
        <v>45665</v>
      </c>
      <c r="F693">
        <v>1010900</v>
      </c>
      <c r="G693">
        <v>5000</v>
      </c>
    </row>
    <row r="694" spans="1:7" x14ac:dyDescent="0.3">
      <c r="A694" s="80">
        <v>45669</v>
      </c>
      <c r="B694">
        <v>1010100</v>
      </c>
      <c r="C694">
        <v>32990</v>
      </c>
      <c r="E694" s="80">
        <v>45665</v>
      </c>
      <c r="F694">
        <v>1010900</v>
      </c>
      <c r="G694">
        <v>5000</v>
      </c>
    </row>
    <row r="695" spans="1:7" x14ac:dyDescent="0.3">
      <c r="A695" s="80">
        <v>45669</v>
      </c>
      <c r="B695">
        <v>1010100</v>
      </c>
      <c r="C695">
        <v>32990</v>
      </c>
      <c r="E695" s="80">
        <v>45665</v>
      </c>
      <c r="F695">
        <v>1010900</v>
      </c>
      <c r="G695">
        <v>5000</v>
      </c>
    </row>
    <row r="696" spans="1:7" x14ac:dyDescent="0.3">
      <c r="A696" s="80">
        <v>45669</v>
      </c>
      <c r="B696">
        <v>1010100</v>
      </c>
      <c r="C696">
        <v>32990</v>
      </c>
      <c r="E696" s="80">
        <v>45665</v>
      </c>
      <c r="F696">
        <v>1010900</v>
      </c>
      <c r="G696">
        <v>5000</v>
      </c>
    </row>
    <row r="697" spans="1:7" x14ac:dyDescent="0.3">
      <c r="A697" s="80">
        <v>45669</v>
      </c>
      <c r="B697">
        <v>1010100</v>
      </c>
      <c r="C697">
        <v>32990</v>
      </c>
      <c r="E697" s="80">
        <v>45665</v>
      </c>
      <c r="F697">
        <v>1010900</v>
      </c>
      <c r="G697">
        <v>5000</v>
      </c>
    </row>
    <row r="698" spans="1:7" x14ac:dyDescent="0.3">
      <c r="A698" s="80">
        <v>45669</v>
      </c>
      <c r="B698">
        <v>1010100</v>
      </c>
      <c r="C698">
        <v>32990</v>
      </c>
      <c r="E698" s="80">
        <v>45665</v>
      </c>
      <c r="F698">
        <v>1010900</v>
      </c>
      <c r="G698">
        <v>5000</v>
      </c>
    </row>
    <row r="699" spans="1:7" x14ac:dyDescent="0.3">
      <c r="A699" s="80">
        <v>45668</v>
      </c>
      <c r="B699">
        <v>1010100</v>
      </c>
      <c r="C699">
        <v>29990</v>
      </c>
      <c r="E699" s="80">
        <v>45665</v>
      </c>
      <c r="F699">
        <v>1010900</v>
      </c>
      <c r="G699">
        <v>5000</v>
      </c>
    </row>
    <row r="700" spans="1:7" x14ac:dyDescent="0.3">
      <c r="A700" s="80">
        <v>45668</v>
      </c>
      <c r="B700">
        <v>1010100</v>
      </c>
      <c r="C700">
        <v>29990</v>
      </c>
      <c r="E700" s="80">
        <v>45665</v>
      </c>
      <c r="F700">
        <v>1010900</v>
      </c>
      <c r="G700">
        <v>5000</v>
      </c>
    </row>
    <row r="701" spans="1:7" x14ac:dyDescent="0.3">
      <c r="A701" s="80">
        <v>45668</v>
      </c>
      <c r="B701">
        <v>1010100</v>
      </c>
      <c r="C701">
        <v>29990</v>
      </c>
      <c r="E701" s="80">
        <v>45665</v>
      </c>
      <c r="F701">
        <v>1010900</v>
      </c>
      <c r="G701">
        <v>5000</v>
      </c>
    </row>
    <row r="702" spans="1:7" x14ac:dyDescent="0.3">
      <c r="A702" s="80">
        <v>45668</v>
      </c>
      <c r="B702">
        <v>1010100</v>
      </c>
      <c r="C702">
        <v>29990</v>
      </c>
      <c r="E702" s="80">
        <v>45665</v>
      </c>
      <c r="F702">
        <v>1010900</v>
      </c>
      <c r="G702">
        <v>5000</v>
      </c>
    </row>
    <row r="703" spans="1:7" x14ac:dyDescent="0.3">
      <c r="A703" s="80">
        <v>45668</v>
      </c>
      <c r="B703">
        <v>1010100</v>
      </c>
      <c r="C703">
        <v>29990</v>
      </c>
      <c r="E703" s="80">
        <v>45665</v>
      </c>
      <c r="F703">
        <v>1010900</v>
      </c>
      <c r="G703">
        <v>5000</v>
      </c>
    </row>
    <row r="704" spans="1:7" x14ac:dyDescent="0.3">
      <c r="A704" s="80">
        <v>45668</v>
      </c>
      <c r="B704">
        <v>1010100</v>
      </c>
      <c r="C704">
        <v>29990</v>
      </c>
      <c r="E704" s="80">
        <v>45665</v>
      </c>
      <c r="F704">
        <v>1010900</v>
      </c>
      <c r="G704">
        <v>5000</v>
      </c>
    </row>
    <row r="705" spans="1:7" x14ac:dyDescent="0.3">
      <c r="A705" s="80">
        <v>45668</v>
      </c>
      <c r="B705">
        <v>1010100</v>
      </c>
      <c r="C705">
        <v>29990</v>
      </c>
      <c r="E705" s="80">
        <v>45664</v>
      </c>
      <c r="F705">
        <v>1010900</v>
      </c>
      <c r="G705">
        <v>5000</v>
      </c>
    </row>
    <row r="706" spans="1:7" x14ac:dyDescent="0.3">
      <c r="A706" s="80">
        <v>45668</v>
      </c>
      <c r="B706">
        <v>1010100</v>
      </c>
      <c r="C706">
        <v>29990</v>
      </c>
      <c r="E706" s="80">
        <v>45664</v>
      </c>
      <c r="F706">
        <v>1010900</v>
      </c>
      <c r="G706">
        <v>5000</v>
      </c>
    </row>
    <row r="707" spans="1:7" x14ac:dyDescent="0.3">
      <c r="A707" s="80">
        <v>45668</v>
      </c>
      <c r="B707">
        <v>1010100</v>
      </c>
      <c r="C707">
        <v>29990</v>
      </c>
      <c r="E707" s="80">
        <v>45664</v>
      </c>
      <c r="F707">
        <v>1010900</v>
      </c>
      <c r="G707">
        <v>5000</v>
      </c>
    </row>
    <row r="708" spans="1:7" x14ac:dyDescent="0.3">
      <c r="A708" s="80">
        <v>45668</v>
      </c>
      <c r="B708">
        <v>1010100</v>
      </c>
      <c r="C708">
        <v>29990</v>
      </c>
      <c r="E708" s="80">
        <v>45664</v>
      </c>
      <c r="F708">
        <v>1010900</v>
      </c>
      <c r="G708">
        <v>5000</v>
      </c>
    </row>
    <row r="709" spans="1:7" x14ac:dyDescent="0.3">
      <c r="A709" s="80">
        <v>45668</v>
      </c>
      <c r="B709">
        <v>1010100</v>
      </c>
      <c r="C709">
        <v>29990</v>
      </c>
      <c r="E709" s="80">
        <v>45664</v>
      </c>
      <c r="F709">
        <v>1010900</v>
      </c>
      <c r="G709">
        <v>5000</v>
      </c>
    </row>
    <row r="710" spans="1:7" x14ac:dyDescent="0.3">
      <c r="A710" s="80">
        <v>45668</v>
      </c>
      <c r="B710">
        <v>1010100</v>
      </c>
      <c r="C710">
        <v>29990</v>
      </c>
      <c r="E710" s="80">
        <v>45664</v>
      </c>
      <c r="F710">
        <v>1010900</v>
      </c>
      <c r="G710">
        <v>5000</v>
      </c>
    </row>
    <row r="711" spans="1:7" x14ac:dyDescent="0.3">
      <c r="A711" s="80">
        <v>45668</v>
      </c>
      <c r="B711">
        <v>1010100</v>
      </c>
      <c r="C711">
        <v>29990</v>
      </c>
      <c r="E711" s="80">
        <v>45664</v>
      </c>
      <c r="F711">
        <v>1010900</v>
      </c>
      <c r="G711">
        <v>5000</v>
      </c>
    </row>
    <row r="712" spans="1:7" x14ac:dyDescent="0.3">
      <c r="A712" s="80">
        <v>45668</v>
      </c>
      <c r="B712">
        <v>1010100</v>
      </c>
      <c r="C712">
        <v>29990</v>
      </c>
      <c r="E712" s="80">
        <v>45664</v>
      </c>
      <c r="F712">
        <v>1010900</v>
      </c>
      <c r="G712">
        <v>10000</v>
      </c>
    </row>
    <row r="713" spans="1:7" x14ac:dyDescent="0.3">
      <c r="A713" s="80">
        <v>45668</v>
      </c>
      <c r="B713">
        <v>1010100</v>
      </c>
      <c r="C713">
        <v>29990</v>
      </c>
      <c r="E713" s="80">
        <v>45664</v>
      </c>
      <c r="F713">
        <v>1010900</v>
      </c>
      <c r="G713">
        <v>10000</v>
      </c>
    </row>
    <row r="714" spans="1:7" x14ac:dyDescent="0.3">
      <c r="A714" s="80">
        <v>45667</v>
      </c>
      <c r="B714">
        <v>1010100</v>
      </c>
      <c r="C714">
        <v>29990</v>
      </c>
      <c r="E714" s="80">
        <v>45664</v>
      </c>
      <c r="F714">
        <v>1010900</v>
      </c>
      <c r="G714">
        <v>5000</v>
      </c>
    </row>
    <row r="715" spans="1:7" x14ac:dyDescent="0.3">
      <c r="A715" s="80">
        <v>45667</v>
      </c>
      <c r="B715">
        <v>1010100</v>
      </c>
      <c r="C715">
        <v>29990</v>
      </c>
      <c r="E715" s="80">
        <v>45664</v>
      </c>
      <c r="F715">
        <v>1010900</v>
      </c>
      <c r="G715">
        <v>5000</v>
      </c>
    </row>
    <row r="716" spans="1:7" x14ac:dyDescent="0.3">
      <c r="A716" s="80">
        <v>45667</v>
      </c>
      <c r="B716">
        <v>1010100</v>
      </c>
      <c r="C716">
        <v>29990</v>
      </c>
      <c r="E716" s="80">
        <v>45664</v>
      </c>
      <c r="F716">
        <v>1010900</v>
      </c>
      <c r="G716">
        <v>5000</v>
      </c>
    </row>
    <row r="717" spans="1:7" x14ac:dyDescent="0.3">
      <c r="A717" s="80">
        <v>45667</v>
      </c>
      <c r="B717">
        <v>1010100</v>
      </c>
      <c r="C717">
        <v>29990</v>
      </c>
      <c r="E717" s="80">
        <v>45664</v>
      </c>
      <c r="F717">
        <v>1010900</v>
      </c>
      <c r="G717">
        <v>5000</v>
      </c>
    </row>
    <row r="718" spans="1:7" x14ac:dyDescent="0.3">
      <c r="A718" s="80">
        <v>45667</v>
      </c>
      <c r="B718">
        <v>1010100</v>
      </c>
      <c r="C718">
        <v>29990</v>
      </c>
      <c r="E718" s="80">
        <v>45664</v>
      </c>
      <c r="F718">
        <v>1010900</v>
      </c>
      <c r="G718">
        <v>5000</v>
      </c>
    </row>
    <row r="719" spans="1:7" x14ac:dyDescent="0.3">
      <c r="A719" s="80">
        <v>45667</v>
      </c>
      <c r="B719">
        <v>1010100</v>
      </c>
      <c r="C719">
        <v>29990</v>
      </c>
      <c r="E719" s="80">
        <v>45664</v>
      </c>
      <c r="F719">
        <v>1010900</v>
      </c>
      <c r="G719">
        <v>5000</v>
      </c>
    </row>
    <row r="720" spans="1:7" x14ac:dyDescent="0.3">
      <c r="A720" s="80">
        <v>45667</v>
      </c>
      <c r="B720">
        <v>1010100</v>
      </c>
      <c r="C720">
        <v>29990</v>
      </c>
      <c r="E720" s="80">
        <v>45664</v>
      </c>
      <c r="F720">
        <v>1010900</v>
      </c>
      <c r="G720">
        <v>5000</v>
      </c>
    </row>
    <row r="721" spans="1:7" x14ac:dyDescent="0.3">
      <c r="A721" s="80">
        <v>45667</v>
      </c>
      <c r="B721">
        <v>1010100</v>
      </c>
      <c r="C721">
        <v>29990</v>
      </c>
      <c r="E721" s="80">
        <v>45664</v>
      </c>
      <c r="F721">
        <v>1010900</v>
      </c>
      <c r="G721">
        <v>5000</v>
      </c>
    </row>
    <row r="722" spans="1:7" x14ac:dyDescent="0.3">
      <c r="A722" s="80">
        <v>45667</v>
      </c>
      <c r="B722">
        <v>1010100</v>
      </c>
      <c r="C722">
        <v>29990</v>
      </c>
      <c r="E722" s="80">
        <v>45663</v>
      </c>
      <c r="F722">
        <v>1010900</v>
      </c>
      <c r="G722">
        <v>5000</v>
      </c>
    </row>
    <row r="723" spans="1:7" x14ac:dyDescent="0.3">
      <c r="A723" s="80">
        <v>45667</v>
      </c>
      <c r="B723">
        <v>1010100</v>
      </c>
      <c r="C723">
        <v>29990</v>
      </c>
      <c r="E723" s="80">
        <v>45663</v>
      </c>
      <c r="F723">
        <v>1010900</v>
      </c>
      <c r="G723">
        <v>5000</v>
      </c>
    </row>
    <row r="724" spans="1:7" x14ac:dyDescent="0.3">
      <c r="A724" s="80">
        <v>45667</v>
      </c>
      <c r="B724">
        <v>1010100</v>
      </c>
      <c r="C724">
        <v>29990</v>
      </c>
      <c r="E724" s="80">
        <v>45663</v>
      </c>
      <c r="F724">
        <v>1010900</v>
      </c>
      <c r="G724">
        <v>5000</v>
      </c>
    </row>
    <row r="725" spans="1:7" x14ac:dyDescent="0.3">
      <c r="A725" s="80">
        <v>45667</v>
      </c>
      <c r="B725">
        <v>1010100</v>
      </c>
      <c r="C725">
        <v>29990</v>
      </c>
      <c r="E725" s="80">
        <v>45663</v>
      </c>
      <c r="F725">
        <v>1010900</v>
      </c>
      <c r="G725">
        <v>5000</v>
      </c>
    </row>
    <row r="726" spans="1:7" x14ac:dyDescent="0.3">
      <c r="A726" s="80">
        <v>45667</v>
      </c>
      <c r="B726">
        <v>1010100</v>
      </c>
      <c r="C726">
        <v>29990</v>
      </c>
      <c r="E726" s="80">
        <v>45663</v>
      </c>
      <c r="F726">
        <v>1010900</v>
      </c>
      <c r="G726">
        <v>5000</v>
      </c>
    </row>
    <row r="727" spans="1:7" x14ac:dyDescent="0.3">
      <c r="A727" s="80">
        <v>45667</v>
      </c>
      <c r="B727">
        <v>1010100</v>
      </c>
      <c r="C727">
        <v>29990</v>
      </c>
      <c r="E727" s="80">
        <v>45663</v>
      </c>
      <c r="F727">
        <v>1010900</v>
      </c>
      <c r="G727">
        <v>5000</v>
      </c>
    </row>
    <row r="728" spans="1:7" x14ac:dyDescent="0.3">
      <c r="A728" s="80">
        <v>45667</v>
      </c>
      <c r="B728">
        <v>1010100</v>
      </c>
      <c r="C728">
        <v>29990</v>
      </c>
      <c r="E728" s="80">
        <v>45663</v>
      </c>
      <c r="F728">
        <v>1010900</v>
      </c>
      <c r="G728">
        <v>5000</v>
      </c>
    </row>
    <row r="729" spans="1:7" x14ac:dyDescent="0.3">
      <c r="A729" s="80">
        <v>45666</v>
      </c>
      <c r="B729">
        <v>1010100</v>
      </c>
      <c r="C729">
        <v>29990</v>
      </c>
      <c r="E729" s="80">
        <v>45663</v>
      </c>
      <c r="F729">
        <v>1010900</v>
      </c>
      <c r="G729">
        <v>5000</v>
      </c>
    </row>
    <row r="730" spans="1:7" x14ac:dyDescent="0.3">
      <c r="A730" s="80">
        <v>45666</v>
      </c>
      <c r="B730">
        <v>1010100</v>
      </c>
      <c r="C730">
        <v>29990</v>
      </c>
      <c r="E730" s="80">
        <v>45663</v>
      </c>
      <c r="F730">
        <v>1010900</v>
      </c>
      <c r="G730">
        <v>5000</v>
      </c>
    </row>
    <row r="731" spans="1:7" x14ac:dyDescent="0.3">
      <c r="A731" s="80">
        <v>45666</v>
      </c>
      <c r="B731">
        <v>1010100</v>
      </c>
      <c r="C731">
        <v>29990</v>
      </c>
      <c r="E731" s="80">
        <v>45663</v>
      </c>
      <c r="F731">
        <v>1010900</v>
      </c>
      <c r="G731">
        <v>5000</v>
      </c>
    </row>
    <row r="732" spans="1:7" x14ac:dyDescent="0.3">
      <c r="A732" s="80">
        <v>45666</v>
      </c>
      <c r="B732">
        <v>1010100</v>
      </c>
      <c r="C732">
        <v>29990</v>
      </c>
      <c r="E732" s="80">
        <v>45663</v>
      </c>
      <c r="F732">
        <v>1010900</v>
      </c>
      <c r="G732">
        <v>5000</v>
      </c>
    </row>
    <row r="733" spans="1:7" x14ac:dyDescent="0.3">
      <c r="A733" s="80">
        <v>45666</v>
      </c>
      <c r="B733">
        <v>1010100</v>
      </c>
      <c r="C733">
        <v>29990</v>
      </c>
      <c r="E733" s="80">
        <v>45663</v>
      </c>
      <c r="F733">
        <v>1010900</v>
      </c>
      <c r="G733">
        <v>5000</v>
      </c>
    </row>
    <row r="734" spans="1:7" x14ac:dyDescent="0.3">
      <c r="A734" s="80">
        <v>45666</v>
      </c>
      <c r="B734">
        <v>1010100</v>
      </c>
      <c r="C734">
        <v>29990</v>
      </c>
      <c r="E734" s="80">
        <v>45663</v>
      </c>
      <c r="F734">
        <v>1010900</v>
      </c>
      <c r="G734">
        <v>5000</v>
      </c>
    </row>
    <row r="735" spans="1:7" x14ac:dyDescent="0.3">
      <c r="A735" s="80">
        <v>45666</v>
      </c>
      <c r="B735">
        <v>1010100</v>
      </c>
      <c r="C735">
        <v>29990</v>
      </c>
      <c r="E735" s="80">
        <v>45663</v>
      </c>
      <c r="F735">
        <v>1010900</v>
      </c>
      <c r="G735">
        <v>5000</v>
      </c>
    </row>
    <row r="736" spans="1:7" x14ac:dyDescent="0.3">
      <c r="A736" s="80">
        <v>45666</v>
      </c>
      <c r="B736">
        <v>1010100</v>
      </c>
      <c r="C736">
        <v>29990</v>
      </c>
      <c r="E736" s="80">
        <v>45663</v>
      </c>
      <c r="F736">
        <v>1010900</v>
      </c>
      <c r="G736">
        <v>5000</v>
      </c>
    </row>
    <row r="737" spans="1:7" x14ac:dyDescent="0.3">
      <c r="A737" s="80">
        <v>45666</v>
      </c>
      <c r="B737">
        <v>1010100</v>
      </c>
      <c r="C737">
        <v>29990</v>
      </c>
      <c r="E737" s="80">
        <v>45663</v>
      </c>
      <c r="F737">
        <v>1010900</v>
      </c>
      <c r="G737">
        <v>5000</v>
      </c>
    </row>
    <row r="738" spans="1:7" x14ac:dyDescent="0.3">
      <c r="A738" s="80">
        <v>45666</v>
      </c>
      <c r="B738">
        <v>1010100</v>
      </c>
      <c r="C738">
        <v>29990</v>
      </c>
      <c r="E738" s="80">
        <v>45663</v>
      </c>
      <c r="F738">
        <v>1010900</v>
      </c>
      <c r="G738">
        <v>5000</v>
      </c>
    </row>
    <row r="739" spans="1:7" x14ac:dyDescent="0.3">
      <c r="A739" s="80">
        <v>45666</v>
      </c>
      <c r="B739">
        <v>1010100</v>
      </c>
      <c r="C739">
        <v>29990</v>
      </c>
      <c r="E739" s="80">
        <v>45663</v>
      </c>
      <c r="F739">
        <v>1010900</v>
      </c>
      <c r="G739">
        <v>5000</v>
      </c>
    </row>
    <row r="740" spans="1:7" x14ac:dyDescent="0.3">
      <c r="A740" s="80">
        <v>45666</v>
      </c>
      <c r="B740">
        <v>1010100</v>
      </c>
      <c r="C740">
        <v>29990</v>
      </c>
      <c r="E740" s="80">
        <v>45663</v>
      </c>
      <c r="F740">
        <v>1010900</v>
      </c>
      <c r="G740">
        <v>5000</v>
      </c>
    </row>
    <row r="741" spans="1:7" x14ac:dyDescent="0.3">
      <c r="A741" s="80">
        <v>45666</v>
      </c>
      <c r="B741">
        <v>1010100</v>
      </c>
      <c r="C741">
        <v>29990</v>
      </c>
      <c r="E741" s="80">
        <v>45663</v>
      </c>
      <c r="F741">
        <v>1010900</v>
      </c>
      <c r="G741">
        <v>5000</v>
      </c>
    </row>
    <row r="742" spans="1:7" x14ac:dyDescent="0.3">
      <c r="A742" s="80">
        <v>45666</v>
      </c>
      <c r="B742">
        <v>1010100</v>
      </c>
      <c r="C742">
        <v>29990</v>
      </c>
      <c r="E742" s="80">
        <v>45663</v>
      </c>
      <c r="F742">
        <v>1010900</v>
      </c>
      <c r="G742">
        <v>500</v>
      </c>
    </row>
    <row r="743" spans="1:7" x14ac:dyDescent="0.3">
      <c r="A743" s="80">
        <v>45666</v>
      </c>
      <c r="B743">
        <v>1010100</v>
      </c>
      <c r="C743">
        <v>29990</v>
      </c>
      <c r="E743" s="80">
        <v>45663</v>
      </c>
      <c r="F743">
        <v>1010900</v>
      </c>
      <c r="G743">
        <v>5000</v>
      </c>
    </row>
    <row r="744" spans="1:7" x14ac:dyDescent="0.3">
      <c r="A744" s="80">
        <v>45666</v>
      </c>
      <c r="B744">
        <v>1010100</v>
      </c>
      <c r="C744">
        <v>29990</v>
      </c>
      <c r="E744" s="80">
        <v>45663</v>
      </c>
      <c r="F744">
        <v>1010900</v>
      </c>
      <c r="G744">
        <v>5000</v>
      </c>
    </row>
    <row r="745" spans="1:7" x14ac:dyDescent="0.3">
      <c r="A745" s="80">
        <v>45666</v>
      </c>
      <c r="B745">
        <v>1010100</v>
      </c>
      <c r="C745">
        <v>29990</v>
      </c>
      <c r="E745" s="80">
        <v>45663</v>
      </c>
      <c r="F745">
        <v>1010900</v>
      </c>
      <c r="G745">
        <v>5000</v>
      </c>
    </row>
    <row r="746" spans="1:7" x14ac:dyDescent="0.3">
      <c r="A746" s="80">
        <v>45666</v>
      </c>
      <c r="B746">
        <v>1010100</v>
      </c>
      <c r="C746">
        <v>29990</v>
      </c>
      <c r="E746" s="80">
        <v>45663</v>
      </c>
      <c r="F746">
        <v>1010900</v>
      </c>
      <c r="G746">
        <v>5000</v>
      </c>
    </row>
    <row r="747" spans="1:7" x14ac:dyDescent="0.3">
      <c r="A747" s="80">
        <v>45665</v>
      </c>
      <c r="B747">
        <v>1010100</v>
      </c>
      <c r="C747">
        <v>29990</v>
      </c>
      <c r="E747" s="80">
        <v>45662</v>
      </c>
      <c r="F747">
        <v>1010900</v>
      </c>
      <c r="G747">
        <v>5000</v>
      </c>
    </row>
    <row r="748" spans="1:7" x14ac:dyDescent="0.3">
      <c r="A748" s="80">
        <v>45665</v>
      </c>
      <c r="B748">
        <v>1010100</v>
      </c>
      <c r="C748">
        <v>29990</v>
      </c>
      <c r="E748" s="80">
        <v>45662</v>
      </c>
      <c r="F748">
        <v>1010900</v>
      </c>
      <c r="G748">
        <v>5000</v>
      </c>
    </row>
    <row r="749" spans="1:7" x14ac:dyDescent="0.3">
      <c r="A749" s="80">
        <v>45665</v>
      </c>
      <c r="B749">
        <v>1010100</v>
      </c>
      <c r="C749">
        <v>29990</v>
      </c>
      <c r="E749" s="80">
        <v>45662</v>
      </c>
      <c r="F749">
        <v>1010900</v>
      </c>
      <c r="G749">
        <v>5000</v>
      </c>
    </row>
    <row r="750" spans="1:7" x14ac:dyDescent="0.3">
      <c r="A750" s="80">
        <v>45665</v>
      </c>
      <c r="B750">
        <v>1010100</v>
      </c>
      <c r="C750">
        <v>29990</v>
      </c>
      <c r="E750" s="80">
        <v>45662</v>
      </c>
      <c r="F750">
        <v>1010900</v>
      </c>
      <c r="G750">
        <v>5000</v>
      </c>
    </row>
    <row r="751" spans="1:7" x14ac:dyDescent="0.3">
      <c r="A751" s="80">
        <v>45665</v>
      </c>
      <c r="B751">
        <v>1010100</v>
      </c>
      <c r="C751">
        <v>29990</v>
      </c>
      <c r="E751" s="80">
        <v>45662</v>
      </c>
      <c r="F751">
        <v>1010900</v>
      </c>
      <c r="G751">
        <v>5000</v>
      </c>
    </row>
    <row r="752" spans="1:7" x14ac:dyDescent="0.3">
      <c r="A752" s="80">
        <v>45665</v>
      </c>
      <c r="B752">
        <v>1010100</v>
      </c>
      <c r="C752">
        <v>29990</v>
      </c>
      <c r="E752" s="80">
        <v>45662</v>
      </c>
      <c r="F752">
        <v>1010900</v>
      </c>
      <c r="G752">
        <v>5000</v>
      </c>
    </row>
    <row r="753" spans="1:7" x14ac:dyDescent="0.3">
      <c r="A753" s="80">
        <v>45665</v>
      </c>
      <c r="B753">
        <v>1010100</v>
      </c>
      <c r="C753">
        <v>29990</v>
      </c>
      <c r="E753" s="80">
        <v>45662</v>
      </c>
      <c r="F753">
        <v>1010900</v>
      </c>
      <c r="G753">
        <v>5000</v>
      </c>
    </row>
    <row r="754" spans="1:7" x14ac:dyDescent="0.3">
      <c r="A754" s="80">
        <v>45665</v>
      </c>
      <c r="B754">
        <v>1010100</v>
      </c>
      <c r="C754">
        <v>29990</v>
      </c>
      <c r="E754" s="80">
        <v>45662</v>
      </c>
      <c r="F754">
        <v>1010900</v>
      </c>
      <c r="G754">
        <v>5000</v>
      </c>
    </row>
    <row r="755" spans="1:7" x14ac:dyDescent="0.3">
      <c r="A755" s="80">
        <v>45665</v>
      </c>
      <c r="B755">
        <v>1010100</v>
      </c>
      <c r="C755">
        <v>29990</v>
      </c>
      <c r="E755" s="80">
        <v>45662</v>
      </c>
      <c r="F755">
        <v>1010900</v>
      </c>
      <c r="G755">
        <v>5000</v>
      </c>
    </row>
    <row r="756" spans="1:7" x14ac:dyDescent="0.3">
      <c r="A756" s="80">
        <v>45665</v>
      </c>
      <c r="B756">
        <v>1010100</v>
      </c>
      <c r="C756">
        <v>29990</v>
      </c>
      <c r="E756" s="80">
        <v>45662</v>
      </c>
      <c r="F756">
        <v>1010900</v>
      </c>
      <c r="G756">
        <v>5000</v>
      </c>
    </row>
    <row r="757" spans="1:7" x14ac:dyDescent="0.3">
      <c r="A757" s="80">
        <v>45665</v>
      </c>
      <c r="B757">
        <v>1010100</v>
      </c>
      <c r="C757">
        <v>29990</v>
      </c>
      <c r="E757" s="80">
        <v>45662</v>
      </c>
      <c r="F757">
        <v>1010900</v>
      </c>
      <c r="G757">
        <v>5000</v>
      </c>
    </row>
    <row r="758" spans="1:7" x14ac:dyDescent="0.3">
      <c r="A758" s="80">
        <v>45665</v>
      </c>
      <c r="B758">
        <v>1010100</v>
      </c>
      <c r="C758">
        <v>29990</v>
      </c>
      <c r="E758" s="80">
        <v>45662</v>
      </c>
      <c r="F758">
        <v>1010900</v>
      </c>
      <c r="G758">
        <v>5000</v>
      </c>
    </row>
    <row r="759" spans="1:7" x14ac:dyDescent="0.3">
      <c r="A759" s="80">
        <v>45665</v>
      </c>
      <c r="B759">
        <v>1010100</v>
      </c>
      <c r="C759">
        <v>29990</v>
      </c>
      <c r="E759" s="80">
        <v>45662</v>
      </c>
      <c r="F759">
        <v>1010900</v>
      </c>
      <c r="G759">
        <v>5000</v>
      </c>
    </row>
    <row r="760" spans="1:7" x14ac:dyDescent="0.3">
      <c r="A760" s="80">
        <v>45665</v>
      </c>
      <c r="B760">
        <v>1010100</v>
      </c>
      <c r="C760">
        <v>29990</v>
      </c>
      <c r="E760" s="80">
        <v>45662</v>
      </c>
      <c r="F760">
        <v>1010900</v>
      </c>
      <c r="G760">
        <v>2630</v>
      </c>
    </row>
    <row r="761" spans="1:7" x14ac:dyDescent="0.3">
      <c r="A761" s="80">
        <v>45665</v>
      </c>
      <c r="B761">
        <v>1010100</v>
      </c>
      <c r="C761">
        <v>29990</v>
      </c>
      <c r="E761" s="80">
        <v>45662</v>
      </c>
      <c r="F761">
        <v>1010900</v>
      </c>
      <c r="G761">
        <v>5000</v>
      </c>
    </row>
    <row r="762" spans="1:7" x14ac:dyDescent="0.3">
      <c r="A762" s="80">
        <v>45665</v>
      </c>
      <c r="B762">
        <v>1010100</v>
      </c>
      <c r="C762">
        <v>29990</v>
      </c>
      <c r="E762" s="80">
        <v>45662</v>
      </c>
      <c r="F762">
        <v>1010900</v>
      </c>
      <c r="G762">
        <v>5000</v>
      </c>
    </row>
    <row r="763" spans="1:7" x14ac:dyDescent="0.3">
      <c r="A763" s="80">
        <v>45665</v>
      </c>
      <c r="B763">
        <v>1010100</v>
      </c>
      <c r="C763">
        <v>29990</v>
      </c>
      <c r="E763" s="80">
        <v>45662</v>
      </c>
      <c r="F763">
        <v>1010900</v>
      </c>
      <c r="G763">
        <v>10000</v>
      </c>
    </row>
    <row r="764" spans="1:7" x14ac:dyDescent="0.3">
      <c r="A764" s="80">
        <v>45665</v>
      </c>
      <c r="B764">
        <v>1010100</v>
      </c>
      <c r="C764">
        <v>29990</v>
      </c>
      <c r="E764" s="80">
        <v>45662</v>
      </c>
      <c r="F764">
        <v>1010900</v>
      </c>
      <c r="G764">
        <v>5000</v>
      </c>
    </row>
    <row r="765" spans="1:7" x14ac:dyDescent="0.3">
      <c r="A765" s="80">
        <v>45665</v>
      </c>
      <c r="B765">
        <v>1010100</v>
      </c>
      <c r="C765">
        <v>29990</v>
      </c>
      <c r="E765" s="80">
        <v>45662</v>
      </c>
      <c r="F765">
        <v>1010900</v>
      </c>
      <c r="G765">
        <v>5000</v>
      </c>
    </row>
    <row r="766" spans="1:7" x14ac:dyDescent="0.3">
      <c r="A766" s="80">
        <v>45665</v>
      </c>
      <c r="B766">
        <v>1010100</v>
      </c>
      <c r="C766">
        <v>29990</v>
      </c>
      <c r="E766" s="80">
        <v>45662</v>
      </c>
      <c r="F766">
        <v>1010900</v>
      </c>
      <c r="G766">
        <v>5000</v>
      </c>
    </row>
    <row r="767" spans="1:7" x14ac:dyDescent="0.3">
      <c r="A767" s="80">
        <v>45665</v>
      </c>
      <c r="B767">
        <v>1010100</v>
      </c>
      <c r="C767">
        <v>29990</v>
      </c>
      <c r="E767" s="80">
        <v>45662</v>
      </c>
      <c r="F767">
        <v>1010900</v>
      </c>
      <c r="G767">
        <v>5000</v>
      </c>
    </row>
    <row r="768" spans="1:7" x14ac:dyDescent="0.3">
      <c r="A768" s="80">
        <v>45665</v>
      </c>
      <c r="B768">
        <v>1010100</v>
      </c>
      <c r="C768">
        <v>29990</v>
      </c>
      <c r="E768" s="80">
        <v>45662</v>
      </c>
      <c r="F768">
        <v>1010900</v>
      </c>
      <c r="G768">
        <v>5000</v>
      </c>
    </row>
    <row r="769" spans="1:7" x14ac:dyDescent="0.3">
      <c r="A769" s="80">
        <v>45665</v>
      </c>
      <c r="B769">
        <v>1010100</v>
      </c>
      <c r="C769">
        <v>29990</v>
      </c>
      <c r="E769" s="80">
        <v>45662</v>
      </c>
      <c r="F769">
        <v>1010900</v>
      </c>
      <c r="G769">
        <v>5000</v>
      </c>
    </row>
    <row r="770" spans="1:7" x14ac:dyDescent="0.3">
      <c r="A770" s="80">
        <v>45665</v>
      </c>
      <c r="B770">
        <v>1010100</v>
      </c>
      <c r="C770">
        <v>29990</v>
      </c>
      <c r="E770" s="80">
        <v>45662</v>
      </c>
      <c r="F770">
        <v>1010900</v>
      </c>
      <c r="G770">
        <v>5000</v>
      </c>
    </row>
    <row r="771" spans="1:7" x14ac:dyDescent="0.3">
      <c r="A771" s="80">
        <v>45664</v>
      </c>
      <c r="B771">
        <v>1010100</v>
      </c>
      <c r="C771">
        <v>29990</v>
      </c>
      <c r="E771" s="80">
        <v>45661</v>
      </c>
      <c r="F771">
        <v>1010900</v>
      </c>
      <c r="G771">
        <v>5000</v>
      </c>
    </row>
    <row r="772" spans="1:7" x14ac:dyDescent="0.3">
      <c r="A772" s="80">
        <v>45664</v>
      </c>
      <c r="B772">
        <v>1010100</v>
      </c>
      <c r="C772">
        <v>29990</v>
      </c>
      <c r="E772" s="80">
        <v>45661</v>
      </c>
      <c r="F772">
        <v>1010900</v>
      </c>
      <c r="G772">
        <v>5000</v>
      </c>
    </row>
    <row r="773" spans="1:7" x14ac:dyDescent="0.3">
      <c r="A773" s="80">
        <v>45664</v>
      </c>
      <c r="B773">
        <v>1010100</v>
      </c>
      <c r="C773">
        <v>29990</v>
      </c>
      <c r="E773" s="80">
        <v>45661</v>
      </c>
      <c r="F773">
        <v>1010900</v>
      </c>
      <c r="G773">
        <v>5000</v>
      </c>
    </row>
    <row r="774" spans="1:7" x14ac:dyDescent="0.3">
      <c r="A774" s="80">
        <v>45664</v>
      </c>
      <c r="B774">
        <v>1010100</v>
      </c>
      <c r="C774">
        <v>29990</v>
      </c>
      <c r="E774" s="80">
        <v>45661</v>
      </c>
      <c r="F774">
        <v>1010900</v>
      </c>
      <c r="G774">
        <v>5000</v>
      </c>
    </row>
    <row r="775" spans="1:7" x14ac:dyDescent="0.3">
      <c r="A775" s="80">
        <v>45664</v>
      </c>
      <c r="B775">
        <v>1010100</v>
      </c>
      <c r="C775">
        <v>29990</v>
      </c>
      <c r="E775" s="80">
        <v>45661</v>
      </c>
      <c r="F775">
        <v>1010900</v>
      </c>
      <c r="G775">
        <v>5000</v>
      </c>
    </row>
    <row r="776" spans="1:7" x14ac:dyDescent="0.3">
      <c r="A776" s="80">
        <v>45664</v>
      </c>
      <c r="B776">
        <v>1010100</v>
      </c>
      <c r="C776">
        <v>29990</v>
      </c>
      <c r="E776" s="80">
        <v>45661</v>
      </c>
      <c r="F776">
        <v>1010900</v>
      </c>
      <c r="G776">
        <v>5000</v>
      </c>
    </row>
    <row r="777" spans="1:7" x14ac:dyDescent="0.3">
      <c r="A777" s="80">
        <v>45664</v>
      </c>
      <c r="B777">
        <v>1010100</v>
      </c>
      <c r="C777">
        <v>29990</v>
      </c>
      <c r="E777" s="80">
        <v>45661</v>
      </c>
      <c r="F777">
        <v>1010900</v>
      </c>
      <c r="G777">
        <v>5000</v>
      </c>
    </row>
    <row r="778" spans="1:7" x14ac:dyDescent="0.3">
      <c r="A778" s="80">
        <v>45664</v>
      </c>
      <c r="B778">
        <v>1010100</v>
      </c>
      <c r="C778">
        <v>59980</v>
      </c>
      <c r="E778" s="80">
        <v>45661</v>
      </c>
      <c r="F778">
        <v>1010900</v>
      </c>
      <c r="G778">
        <v>5000</v>
      </c>
    </row>
    <row r="779" spans="1:7" x14ac:dyDescent="0.3">
      <c r="A779" s="80">
        <v>45664</v>
      </c>
      <c r="B779">
        <v>1010100</v>
      </c>
      <c r="C779">
        <v>59980</v>
      </c>
      <c r="E779" s="80">
        <v>45661</v>
      </c>
      <c r="F779">
        <v>1010900</v>
      </c>
      <c r="G779">
        <v>5000</v>
      </c>
    </row>
    <row r="780" spans="1:7" x14ac:dyDescent="0.3">
      <c r="A780" s="80">
        <v>45664</v>
      </c>
      <c r="B780">
        <v>1010100</v>
      </c>
      <c r="C780">
        <v>29990</v>
      </c>
      <c r="E780" s="80">
        <v>45661</v>
      </c>
      <c r="F780">
        <v>1010900</v>
      </c>
      <c r="G780">
        <v>500</v>
      </c>
    </row>
    <row r="781" spans="1:7" x14ac:dyDescent="0.3">
      <c r="A781" s="80">
        <v>45664</v>
      </c>
      <c r="B781">
        <v>1010100</v>
      </c>
      <c r="C781">
        <v>29990</v>
      </c>
      <c r="E781" s="80">
        <v>45661</v>
      </c>
      <c r="F781">
        <v>1010900</v>
      </c>
      <c r="G781">
        <v>5000</v>
      </c>
    </row>
    <row r="782" spans="1:7" x14ac:dyDescent="0.3">
      <c r="A782" s="80">
        <v>45664</v>
      </c>
      <c r="B782">
        <v>1010100</v>
      </c>
      <c r="C782">
        <v>29990</v>
      </c>
      <c r="E782" s="80">
        <v>45661</v>
      </c>
      <c r="F782">
        <v>1010900</v>
      </c>
      <c r="G782">
        <v>5000</v>
      </c>
    </row>
    <row r="783" spans="1:7" x14ac:dyDescent="0.3">
      <c r="A783" s="80">
        <v>45664</v>
      </c>
      <c r="B783">
        <v>1010100</v>
      </c>
      <c r="C783">
        <v>29990</v>
      </c>
      <c r="E783" s="80">
        <v>45661</v>
      </c>
      <c r="F783">
        <v>1010900</v>
      </c>
      <c r="G783">
        <v>5000</v>
      </c>
    </row>
    <row r="784" spans="1:7" x14ac:dyDescent="0.3">
      <c r="A784" s="80">
        <v>45664</v>
      </c>
      <c r="B784">
        <v>1010100</v>
      </c>
      <c r="C784">
        <v>29990</v>
      </c>
      <c r="E784" s="80">
        <v>45661</v>
      </c>
      <c r="F784">
        <v>1010900</v>
      </c>
      <c r="G784">
        <v>5000</v>
      </c>
    </row>
    <row r="785" spans="1:7" x14ac:dyDescent="0.3">
      <c r="A785" s="80">
        <v>45664</v>
      </c>
      <c r="B785">
        <v>1010100</v>
      </c>
      <c r="C785">
        <v>29990</v>
      </c>
      <c r="E785" s="80">
        <v>45661</v>
      </c>
      <c r="F785">
        <v>1010900</v>
      </c>
      <c r="G785">
        <v>5000</v>
      </c>
    </row>
    <row r="786" spans="1:7" x14ac:dyDescent="0.3">
      <c r="A786" s="80">
        <v>45664</v>
      </c>
      <c r="B786">
        <v>1010100</v>
      </c>
      <c r="C786">
        <v>29990</v>
      </c>
      <c r="E786" s="80">
        <v>45661</v>
      </c>
      <c r="F786">
        <v>1010900</v>
      </c>
      <c r="G786">
        <v>5000</v>
      </c>
    </row>
    <row r="787" spans="1:7" x14ac:dyDescent="0.3">
      <c r="A787" s="80">
        <v>45664</v>
      </c>
      <c r="B787">
        <v>1010100</v>
      </c>
      <c r="C787">
        <v>29990</v>
      </c>
      <c r="E787" s="80">
        <v>45661</v>
      </c>
      <c r="F787">
        <v>1010900</v>
      </c>
      <c r="G787">
        <v>5000</v>
      </c>
    </row>
    <row r="788" spans="1:7" x14ac:dyDescent="0.3">
      <c r="A788" s="80">
        <v>45663</v>
      </c>
      <c r="B788">
        <v>1010100</v>
      </c>
      <c r="C788">
        <v>29990</v>
      </c>
      <c r="E788" s="80">
        <v>45661</v>
      </c>
      <c r="F788">
        <v>1010900</v>
      </c>
      <c r="G788">
        <v>5000</v>
      </c>
    </row>
    <row r="789" spans="1:7" x14ac:dyDescent="0.3">
      <c r="A789" s="80">
        <v>45663</v>
      </c>
      <c r="B789">
        <v>1010100</v>
      </c>
      <c r="C789">
        <v>29990</v>
      </c>
      <c r="E789" s="80">
        <v>45661</v>
      </c>
      <c r="F789">
        <v>1010900</v>
      </c>
      <c r="G789">
        <v>5000</v>
      </c>
    </row>
    <row r="790" spans="1:7" x14ac:dyDescent="0.3">
      <c r="A790" s="80">
        <v>45663</v>
      </c>
      <c r="B790">
        <v>1010100</v>
      </c>
      <c r="C790">
        <v>29990</v>
      </c>
      <c r="E790" s="80">
        <v>45660</v>
      </c>
      <c r="F790">
        <v>1010900</v>
      </c>
      <c r="G790">
        <v>5000</v>
      </c>
    </row>
    <row r="791" spans="1:7" x14ac:dyDescent="0.3">
      <c r="A791" s="80">
        <v>45663</v>
      </c>
      <c r="B791">
        <v>1010100</v>
      </c>
      <c r="C791">
        <v>29990</v>
      </c>
      <c r="E791" s="80">
        <v>45660</v>
      </c>
      <c r="F791">
        <v>1010900</v>
      </c>
      <c r="G791">
        <v>5000</v>
      </c>
    </row>
    <row r="792" spans="1:7" x14ac:dyDescent="0.3">
      <c r="A792" s="80">
        <v>45663</v>
      </c>
      <c r="B792">
        <v>1010100</v>
      </c>
      <c r="C792">
        <v>26991</v>
      </c>
      <c r="E792" s="80">
        <v>45660</v>
      </c>
      <c r="F792">
        <v>1010900</v>
      </c>
      <c r="G792">
        <v>5000</v>
      </c>
    </row>
    <row r="793" spans="1:7" x14ac:dyDescent="0.3">
      <c r="A793" s="80">
        <v>45663</v>
      </c>
      <c r="B793">
        <v>1010100</v>
      </c>
      <c r="C793">
        <v>29990</v>
      </c>
      <c r="E793" s="80">
        <v>45660</v>
      </c>
      <c r="F793">
        <v>1010900</v>
      </c>
      <c r="G793">
        <v>5000</v>
      </c>
    </row>
    <row r="794" spans="1:7" x14ac:dyDescent="0.3">
      <c r="A794" s="80">
        <v>45663</v>
      </c>
      <c r="B794">
        <v>1010100</v>
      </c>
      <c r="C794">
        <v>29990</v>
      </c>
      <c r="E794" s="80">
        <v>45660</v>
      </c>
      <c r="F794">
        <v>1010900</v>
      </c>
      <c r="G794">
        <v>5000</v>
      </c>
    </row>
    <row r="795" spans="1:7" x14ac:dyDescent="0.3">
      <c r="A795" s="80">
        <v>45663</v>
      </c>
      <c r="B795">
        <v>1010100</v>
      </c>
      <c r="C795">
        <v>29990</v>
      </c>
      <c r="E795" s="80">
        <v>45660</v>
      </c>
      <c r="F795">
        <v>1010900</v>
      </c>
      <c r="G795">
        <v>5000</v>
      </c>
    </row>
    <row r="796" spans="1:7" x14ac:dyDescent="0.3">
      <c r="A796" s="80">
        <v>45663</v>
      </c>
      <c r="B796">
        <v>1010100</v>
      </c>
      <c r="C796">
        <v>29990</v>
      </c>
      <c r="E796" s="80">
        <v>45660</v>
      </c>
      <c r="F796">
        <v>1010900</v>
      </c>
      <c r="G796">
        <v>5000</v>
      </c>
    </row>
    <row r="797" spans="1:7" x14ac:dyDescent="0.3">
      <c r="A797" s="80">
        <v>45663</v>
      </c>
      <c r="B797">
        <v>1010100</v>
      </c>
      <c r="C797">
        <v>29990</v>
      </c>
      <c r="E797" s="80">
        <v>45660</v>
      </c>
      <c r="F797">
        <v>1010900</v>
      </c>
      <c r="G797">
        <v>5000</v>
      </c>
    </row>
    <row r="798" spans="1:7" x14ac:dyDescent="0.3">
      <c r="A798" s="80">
        <v>45663</v>
      </c>
      <c r="B798">
        <v>1010100</v>
      </c>
      <c r="C798">
        <v>29990</v>
      </c>
      <c r="E798" s="80">
        <v>45660</v>
      </c>
      <c r="F798">
        <v>1010900</v>
      </c>
      <c r="G798">
        <v>5000</v>
      </c>
    </row>
    <row r="799" spans="1:7" x14ac:dyDescent="0.3">
      <c r="A799" s="80">
        <v>45663</v>
      </c>
      <c r="B799">
        <v>1010100</v>
      </c>
      <c r="C799">
        <v>29990</v>
      </c>
      <c r="E799" s="80">
        <v>45660</v>
      </c>
      <c r="F799">
        <v>1010900</v>
      </c>
      <c r="G799">
        <v>5000</v>
      </c>
    </row>
    <row r="800" spans="1:7" x14ac:dyDescent="0.3">
      <c r="A800" s="80">
        <v>45663</v>
      </c>
      <c r="B800">
        <v>1010100</v>
      </c>
      <c r="C800">
        <v>29990</v>
      </c>
      <c r="E800" s="80">
        <v>45660</v>
      </c>
      <c r="F800">
        <v>1010900</v>
      </c>
      <c r="G800">
        <v>5000</v>
      </c>
    </row>
    <row r="801" spans="1:7" x14ac:dyDescent="0.3">
      <c r="A801" s="80">
        <v>45663</v>
      </c>
      <c r="B801">
        <v>1010100</v>
      </c>
      <c r="C801">
        <v>1000</v>
      </c>
      <c r="E801" s="80">
        <v>45660</v>
      </c>
      <c r="F801">
        <v>1010900</v>
      </c>
      <c r="G801">
        <v>5000</v>
      </c>
    </row>
    <row r="802" spans="1:7" x14ac:dyDescent="0.3">
      <c r="A802" s="80">
        <v>45663</v>
      </c>
      <c r="B802">
        <v>1010100</v>
      </c>
      <c r="C802">
        <v>26991</v>
      </c>
      <c r="E802" s="80">
        <v>45660</v>
      </c>
      <c r="F802">
        <v>1010900</v>
      </c>
      <c r="G802">
        <v>5000</v>
      </c>
    </row>
    <row r="803" spans="1:7" x14ac:dyDescent="0.3">
      <c r="A803" s="80">
        <v>45663</v>
      </c>
      <c r="B803">
        <v>1010100</v>
      </c>
      <c r="C803">
        <v>29990</v>
      </c>
      <c r="E803" s="80">
        <v>45660</v>
      </c>
      <c r="F803">
        <v>1010900</v>
      </c>
      <c r="G803">
        <v>5000</v>
      </c>
    </row>
    <row r="804" spans="1:7" x14ac:dyDescent="0.3">
      <c r="A804" s="80">
        <v>45663</v>
      </c>
      <c r="B804">
        <v>1010100</v>
      </c>
      <c r="C804">
        <v>29990</v>
      </c>
      <c r="E804" s="80">
        <v>45660</v>
      </c>
      <c r="F804">
        <v>1010900</v>
      </c>
      <c r="G804">
        <v>5000</v>
      </c>
    </row>
    <row r="805" spans="1:7" x14ac:dyDescent="0.3">
      <c r="A805" s="80">
        <v>45663</v>
      </c>
      <c r="B805">
        <v>1010100</v>
      </c>
      <c r="C805">
        <v>29990</v>
      </c>
      <c r="E805" s="80">
        <v>45660</v>
      </c>
      <c r="F805">
        <v>1010900</v>
      </c>
      <c r="G805">
        <v>2630</v>
      </c>
    </row>
    <row r="806" spans="1:7" x14ac:dyDescent="0.3">
      <c r="A806" s="80">
        <v>45663</v>
      </c>
      <c r="B806">
        <v>1010100</v>
      </c>
      <c r="C806">
        <v>29990</v>
      </c>
      <c r="E806" s="80">
        <v>45660</v>
      </c>
      <c r="F806">
        <v>1010900</v>
      </c>
      <c r="G806">
        <v>5000</v>
      </c>
    </row>
    <row r="807" spans="1:7" x14ac:dyDescent="0.3">
      <c r="A807" s="80">
        <v>45663</v>
      </c>
      <c r="B807">
        <v>1010100</v>
      </c>
      <c r="C807">
        <v>29990</v>
      </c>
      <c r="E807" s="80">
        <v>45659</v>
      </c>
      <c r="F807">
        <v>1010900</v>
      </c>
      <c r="G807">
        <v>5000</v>
      </c>
    </row>
    <row r="808" spans="1:7" x14ac:dyDescent="0.3">
      <c r="A808" s="80">
        <v>45663</v>
      </c>
      <c r="B808">
        <v>1010100</v>
      </c>
      <c r="C808">
        <v>9990</v>
      </c>
      <c r="E808" s="80">
        <v>45659</v>
      </c>
      <c r="F808">
        <v>1010900</v>
      </c>
      <c r="G808">
        <v>5000</v>
      </c>
    </row>
    <row r="809" spans="1:7" x14ac:dyDescent="0.3">
      <c r="A809" s="80">
        <v>45663</v>
      </c>
      <c r="B809">
        <v>1010100</v>
      </c>
      <c r="C809">
        <v>29990</v>
      </c>
      <c r="E809" s="80">
        <v>45659</v>
      </c>
      <c r="F809">
        <v>1010900</v>
      </c>
      <c r="G809">
        <v>5000</v>
      </c>
    </row>
    <row r="810" spans="1:7" x14ac:dyDescent="0.3">
      <c r="A810" s="80">
        <v>45663</v>
      </c>
      <c r="B810">
        <v>1010100</v>
      </c>
      <c r="C810">
        <v>29990</v>
      </c>
      <c r="E810" s="80">
        <v>45659</v>
      </c>
      <c r="F810">
        <v>1010900</v>
      </c>
      <c r="G810">
        <v>5000</v>
      </c>
    </row>
    <row r="811" spans="1:7" x14ac:dyDescent="0.3">
      <c r="A811" s="80">
        <v>45663</v>
      </c>
      <c r="B811">
        <v>1010100</v>
      </c>
      <c r="C811">
        <v>29990</v>
      </c>
      <c r="E811" s="80">
        <v>45659</v>
      </c>
      <c r="F811">
        <v>1010900</v>
      </c>
      <c r="G811">
        <v>5000</v>
      </c>
    </row>
    <row r="812" spans="1:7" x14ac:dyDescent="0.3">
      <c r="A812" s="80">
        <v>45663</v>
      </c>
      <c r="B812">
        <v>1010100</v>
      </c>
      <c r="C812">
        <v>29990</v>
      </c>
      <c r="E812" s="80">
        <v>45659</v>
      </c>
      <c r="F812">
        <v>1010900</v>
      </c>
      <c r="G812">
        <v>5000</v>
      </c>
    </row>
    <row r="813" spans="1:7" x14ac:dyDescent="0.3">
      <c r="A813" s="80">
        <v>45662</v>
      </c>
      <c r="B813">
        <v>1010100</v>
      </c>
      <c r="C813">
        <v>29990</v>
      </c>
      <c r="E813" s="80">
        <v>45659</v>
      </c>
      <c r="F813">
        <v>1010900</v>
      </c>
      <c r="G813">
        <v>5000</v>
      </c>
    </row>
    <row r="814" spans="1:7" x14ac:dyDescent="0.3">
      <c r="A814" s="80">
        <v>45662</v>
      </c>
      <c r="B814">
        <v>1010100</v>
      </c>
      <c r="C814">
        <v>29990</v>
      </c>
      <c r="E814" s="80">
        <v>45659</v>
      </c>
      <c r="F814">
        <v>1010900</v>
      </c>
      <c r="G814">
        <v>5000</v>
      </c>
    </row>
    <row r="815" spans="1:7" x14ac:dyDescent="0.3">
      <c r="A815" s="80">
        <v>45662</v>
      </c>
      <c r="B815">
        <v>1010100</v>
      </c>
      <c r="C815">
        <v>29990</v>
      </c>
      <c r="E815" s="80">
        <v>45659</v>
      </c>
      <c r="F815">
        <v>1010900</v>
      </c>
      <c r="G815">
        <v>5000</v>
      </c>
    </row>
    <row r="816" spans="1:7" x14ac:dyDescent="0.3">
      <c r="A816" s="80">
        <v>45662</v>
      </c>
      <c r="B816">
        <v>1010100</v>
      </c>
      <c r="C816">
        <v>29990</v>
      </c>
      <c r="E816" s="80">
        <v>45659</v>
      </c>
      <c r="F816">
        <v>1010900</v>
      </c>
      <c r="G816">
        <v>10000</v>
      </c>
    </row>
    <row r="817" spans="1:7" x14ac:dyDescent="0.3">
      <c r="A817" s="80">
        <v>45662</v>
      </c>
      <c r="B817">
        <v>1010100</v>
      </c>
      <c r="C817">
        <v>29990</v>
      </c>
      <c r="E817" s="80">
        <v>45659</v>
      </c>
      <c r="F817">
        <v>1010900</v>
      </c>
      <c r="G817">
        <v>5000</v>
      </c>
    </row>
    <row r="818" spans="1:7" x14ac:dyDescent="0.3">
      <c r="A818" s="80">
        <v>45662</v>
      </c>
      <c r="B818">
        <v>1010100</v>
      </c>
      <c r="C818">
        <v>29990</v>
      </c>
      <c r="E818" s="80">
        <v>45659</v>
      </c>
      <c r="F818">
        <v>1010900</v>
      </c>
      <c r="G818">
        <v>5000</v>
      </c>
    </row>
    <row r="819" spans="1:7" x14ac:dyDescent="0.3">
      <c r="A819" s="80">
        <v>45662</v>
      </c>
      <c r="B819">
        <v>1010100</v>
      </c>
      <c r="C819">
        <v>26991</v>
      </c>
      <c r="E819" s="80">
        <v>45659</v>
      </c>
      <c r="F819">
        <v>1010900</v>
      </c>
      <c r="G819">
        <v>5000</v>
      </c>
    </row>
    <row r="820" spans="1:7" x14ac:dyDescent="0.3">
      <c r="A820" s="80">
        <v>45662</v>
      </c>
      <c r="B820">
        <v>1010100</v>
      </c>
      <c r="C820">
        <v>29990</v>
      </c>
      <c r="E820" s="80">
        <v>45659</v>
      </c>
      <c r="F820">
        <v>1010900</v>
      </c>
      <c r="G820">
        <v>5000</v>
      </c>
    </row>
    <row r="821" spans="1:7" x14ac:dyDescent="0.3">
      <c r="A821" s="80">
        <v>45662</v>
      </c>
      <c r="B821">
        <v>1010100</v>
      </c>
      <c r="C821">
        <v>29990</v>
      </c>
      <c r="E821" s="80">
        <v>45659</v>
      </c>
      <c r="F821">
        <v>1010900</v>
      </c>
      <c r="G821">
        <v>5000</v>
      </c>
    </row>
    <row r="822" spans="1:7" x14ac:dyDescent="0.3">
      <c r="A822" s="80">
        <v>45662</v>
      </c>
      <c r="B822">
        <v>1010100</v>
      </c>
      <c r="C822">
        <v>29990</v>
      </c>
      <c r="E822" s="80">
        <v>45659</v>
      </c>
      <c r="F822">
        <v>1010900</v>
      </c>
      <c r="G822">
        <v>5000</v>
      </c>
    </row>
    <row r="823" spans="1:7" x14ac:dyDescent="0.3">
      <c r="A823" s="80">
        <v>45662</v>
      </c>
      <c r="B823">
        <v>1010100</v>
      </c>
      <c r="C823">
        <v>29990</v>
      </c>
      <c r="E823" s="80">
        <v>45659</v>
      </c>
      <c r="F823">
        <v>1010900</v>
      </c>
      <c r="G823">
        <v>5000</v>
      </c>
    </row>
    <row r="824" spans="1:7" x14ac:dyDescent="0.3">
      <c r="A824" s="80">
        <v>45662</v>
      </c>
      <c r="B824">
        <v>1010100</v>
      </c>
      <c r="C824">
        <v>29990</v>
      </c>
      <c r="E824" s="80">
        <v>45659</v>
      </c>
      <c r="F824">
        <v>1010900</v>
      </c>
      <c r="G824">
        <v>5000</v>
      </c>
    </row>
    <row r="825" spans="1:7" x14ac:dyDescent="0.3">
      <c r="A825" s="80">
        <v>45662</v>
      </c>
      <c r="B825">
        <v>1010100</v>
      </c>
      <c r="C825">
        <v>29990</v>
      </c>
      <c r="E825" s="80">
        <v>45659</v>
      </c>
      <c r="F825">
        <v>1010900</v>
      </c>
      <c r="G825">
        <v>5000</v>
      </c>
    </row>
    <row r="826" spans="1:7" x14ac:dyDescent="0.3">
      <c r="A826" s="80">
        <v>45662</v>
      </c>
      <c r="B826">
        <v>1010100</v>
      </c>
      <c r="C826">
        <v>9990</v>
      </c>
      <c r="E826" s="80">
        <v>45659</v>
      </c>
      <c r="F826">
        <v>1010900</v>
      </c>
      <c r="G826">
        <v>5000</v>
      </c>
    </row>
    <row r="827" spans="1:7" x14ac:dyDescent="0.3">
      <c r="A827" s="80">
        <v>45662</v>
      </c>
      <c r="B827">
        <v>1010100</v>
      </c>
      <c r="C827">
        <v>29990</v>
      </c>
      <c r="E827" s="80">
        <v>45659</v>
      </c>
      <c r="F827">
        <v>1010900</v>
      </c>
      <c r="G827">
        <v>5000</v>
      </c>
    </row>
    <row r="828" spans="1:7" x14ac:dyDescent="0.3">
      <c r="A828" s="80">
        <v>45662</v>
      </c>
      <c r="B828">
        <v>1010100</v>
      </c>
      <c r="C828">
        <v>29990</v>
      </c>
      <c r="E828" s="80">
        <v>45659</v>
      </c>
      <c r="F828">
        <v>1010900</v>
      </c>
      <c r="G828">
        <v>5000</v>
      </c>
    </row>
    <row r="829" spans="1:7" x14ac:dyDescent="0.3">
      <c r="A829" s="80">
        <v>45662</v>
      </c>
      <c r="B829">
        <v>1010100</v>
      </c>
      <c r="C829">
        <v>59980</v>
      </c>
      <c r="E829" s="80">
        <v>45659</v>
      </c>
      <c r="F829">
        <v>1010900</v>
      </c>
      <c r="G829">
        <v>5000</v>
      </c>
    </row>
    <row r="830" spans="1:7" x14ac:dyDescent="0.3">
      <c r="A830" s="80">
        <v>45662</v>
      </c>
      <c r="B830">
        <v>1010100</v>
      </c>
      <c r="C830">
        <v>29990</v>
      </c>
      <c r="E830" s="80">
        <v>45658</v>
      </c>
      <c r="F830">
        <v>1010900</v>
      </c>
      <c r="G830">
        <v>5000</v>
      </c>
    </row>
    <row r="831" spans="1:7" x14ac:dyDescent="0.3">
      <c r="A831" s="80">
        <v>45662</v>
      </c>
      <c r="B831">
        <v>1010100</v>
      </c>
      <c r="C831">
        <v>29990</v>
      </c>
      <c r="E831" s="80">
        <v>45658</v>
      </c>
      <c r="F831">
        <v>1010900</v>
      </c>
      <c r="G831">
        <v>5000</v>
      </c>
    </row>
    <row r="832" spans="1:7" x14ac:dyDescent="0.3">
      <c r="A832" s="80">
        <v>45662</v>
      </c>
      <c r="B832">
        <v>1010100</v>
      </c>
      <c r="C832">
        <v>29990</v>
      </c>
      <c r="E832" s="80">
        <v>45658</v>
      </c>
      <c r="F832">
        <v>1010900</v>
      </c>
      <c r="G832">
        <v>5000</v>
      </c>
    </row>
    <row r="833" spans="1:7" x14ac:dyDescent="0.3">
      <c r="A833" s="80">
        <v>45662</v>
      </c>
      <c r="B833">
        <v>1010100</v>
      </c>
      <c r="C833">
        <v>29990</v>
      </c>
      <c r="E833" s="80">
        <v>45658</v>
      </c>
      <c r="F833">
        <v>1010900</v>
      </c>
      <c r="G833">
        <v>5000</v>
      </c>
    </row>
    <row r="834" spans="1:7" x14ac:dyDescent="0.3">
      <c r="A834" s="80">
        <v>45662</v>
      </c>
      <c r="B834">
        <v>1010100</v>
      </c>
      <c r="C834">
        <v>29990</v>
      </c>
      <c r="E834" s="80">
        <v>45658</v>
      </c>
      <c r="F834">
        <v>1010900</v>
      </c>
      <c r="G834">
        <v>5000</v>
      </c>
    </row>
    <row r="835" spans="1:7" x14ac:dyDescent="0.3">
      <c r="A835" s="80">
        <v>45662</v>
      </c>
      <c r="B835">
        <v>1010100</v>
      </c>
      <c r="C835">
        <v>29990</v>
      </c>
      <c r="E835" s="80">
        <v>45658</v>
      </c>
      <c r="F835">
        <v>1010900</v>
      </c>
      <c r="G835">
        <v>5000</v>
      </c>
    </row>
    <row r="836" spans="1:7" x14ac:dyDescent="0.3">
      <c r="A836" s="80">
        <v>45662</v>
      </c>
      <c r="B836">
        <v>1010100</v>
      </c>
      <c r="C836">
        <v>29990</v>
      </c>
      <c r="E836" s="80">
        <v>45658</v>
      </c>
      <c r="F836">
        <v>1010900</v>
      </c>
      <c r="G836">
        <v>5000</v>
      </c>
    </row>
    <row r="837" spans="1:7" x14ac:dyDescent="0.3">
      <c r="A837" s="80">
        <v>45661</v>
      </c>
      <c r="B837">
        <v>1010100</v>
      </c>
      <c r="C837">
        <v>29990</v>
      </c>
      <c r="E837" s="80">
        <v>45658</v>
      </c>
      <c r="F837">
        <v>1010900</v>
      </c>
      <c r="G837">
        <v>5000</v>
      </c>
    </row>
    <row r="838" spans="1:7" x14ac:dyDescent="0.3">
      <c r="A838" s="80">
        <v>45661</v>
      </c>
      <c r="B838">
        <v>1010100</v>
      </c>
      <c r="C838">
        <v>29990</v>
      </c>
      <c r="E838" s="80">
        <v>45658</v>
      </c>
      <c r="F838">
        <v>1010900</v>
      </c>
      <c r="G838">
        <v>5000</v>
      </c>
    </row>
    <row r="839" spans="1:7" x14ac:dyDescent="0.3">
      <c r="A839" s="80">
        <v>45661</v>
      </c>
      <c r="B839">
        <v>1010100</v>
      </c>
      <c r="C839">
        <v>29990</v>
      </c>
      <c r="E839" s="80">
        <v>45658</v>
      </c>
      <c r="F839">
        <v>1010900</v>
      </c>
      <c r="G839">
        <v>2630</v>
      </c>
    </row>
    <row r="840" spans="1:7" x14ac:dyDescent="0.3">
      <c r="A840" s="80">
        <v>45661</v>
      </c>
      <c r="B840">
        <v>1010100</v>
      </c>
      <c r="C840">
        <v>29990</v>
      </c>
      <c r="E840" s="80">
        <v>45658</v>
      </c>
      <c r="F840">
        <v>1010900</v>
      </c>
      <c r="G840">
        <v>5000</v>
      </c>
    </row>
    <row r="841" spans="1:7" x14ac:dyDescent="0.3">
      <c r="A841" s="80">
        <v>45661</v>
      </c>
      <c r="B841">
        <v>1010100</v>
      </c>
      <c r="C841">
        <v>29990</v>
      </c>
      <c r="E841" s="80">
        <v>45658</v>
      </c>
      <c r="F841">
        <v>1010900</v>
      </c>
      <c r="G841">
        <v>5000</v>
      </c>
    </row>
    <row r="842" spans="1:7" x14ac:dyDescent="0.3">
      <c r="A842" s="80">
        <v>45661</v>
      </c>
      <c r="B842">
        <v>1010100</v>
      </c>
      <c r="C842">
        <v>29990</v>
      </c>
      <c r="E842" s="80">
        <v>45658</v>
      </c>
      <c r="F842">
        <v>1010900</v>
      </c>
      <c r="G842">
        <v>5000</v>
      </c>
    </row>
    <row r="843" spans="1:7" x14ac:dyDescent="0.3">
      <c r="A843" s="80">
        <v>45661</v>
      </c>
      <c r="B843">
        <v>1010100</v>
      </c>
      <c r="C843">
        <v>29990</v>
      </c>
      <c r="E843" s="80">
        <v>45658</v>
      </c>
      <c r="F843">
        <v>1010900</v>
      </c>
      <c r="G843">
        <v>5000</v>
      </c>
    </row>
    <row r="844" spans="1:7" x14ac:dyDescent="0.3">
      <c r="A844" s="80">
        <v>45661</v>
      </c>
      <c r="B844">
        <v>1010100</v>
      </c>
      <c r="C844">
        <v>29990</v>
      </c>
      <c r="E844" s="80">
        <v>45658</v>
      </c>
      <c r="F844">
        <v>1010900</v>
      </c>
      <c r="G844">
        <v>5000</v>
      </c>
    </row>
    <row r="845" spans="1:7" x14ac:dyDescent="0.3">
      <c r="A845" s="80">
        <v>45661</v>
      </c>
      <c r="B845">
        <v>1010100</v>
      </c>
      <c r="C845">
        <v>29990</v>
      </c>
      <c r="E845" s="80">
        <v>45752</v>
      </c>
      <c r="F845">
        <v>3010101</v>
      </c>
      <c r="G845">
        <v>41168</v>
      </c>
    </row>
    <row r="846" spans="1:7" x14ac:dyDescent="0.3">
      <c r="A846" s="80">
        <v>45661</v>
      </c>
      <c r="B846">
        <v>1010100</v>
      </c>
      <c r="C846">
        <v>9990</v>
      </c>
      <c r="E846" s="80">
        <v>45752</v>
      </c>
      <c r="F846">
        <v>3010101</v>
      </c>
      <c r="G846">
        <v>17052</v>
      </c>
    </row>
    <row r="847" spans="1:7" x14ac:dyDescent="0.3">
      <c r="A847" s="80">
        <v>45661</v>
      </c>
      <c r="B847">
        <v>1010100</v>
      </c>
      <c r="C847">
        <v>29990</v>
      </c>
      <c r="E847" s="80">
        <v>45752</v>
      </c>
      <c r="F847">
        <v>3010101</v>
      </c>
      <c r="G847">
        <v>22178</v>
      </c>
    </row>
    <row r="848" spans="1:7" x14ac:dyDescent="0.3">
      <c r="A848" s="80">
        <v>45661</v>
      </c>
      <c r="B848">
        <v>1010100</v>
      </c>
      <c r="C848">
        <v>29990</v>
      </c>
      <c r="E848" s="80">
        <v>45752</v>
      </c>
      <c r="F848">
        <v>3010101</v>
      </c>
      <c r="G848">
        <v>19405</v>
      </c>
    </row>
    <row r="849" spans="1:7" x14ac:dyDescent="0.3">
      <c r="A849" s="80">
        <v>45661</v>
      </c>
      <c r="B849">
        <v>1010100</v>
      </c>
      <c r="C849">
        <v>29990</v>
      </c>
      <c r="E849" s="80">
        <v>45752</v>
      </c>
      <c r="F849">
        <v>3010101</v>
      </c>
      <c r="G849">
        <v>41168</v>
      </c>
    </row>
    <row r="850" spans="1:7" x14ac:dyDescent="0.3">
      <c r="A850" s="80">
        <v>45661</v>
      </c>
      <c r="B850">
        <v>1010100</v>
      </c>
      <c r="C850">
        <v>29990</v>
      </c>
      <c r="E850" s="80">
        <v>45752</v>
      </c>
      <c r="F850">
        <v>3010101</v>
      </c>
      <c r="G850">
        <v>19405</v>
      </c>
    </row>
    <row r="851" spans="1:7" x14ac:dyDescent="0.3">
      <c r="A851" s="80">
        <v>45661</v>
      </c>
      <c r="B851">
        <v>1010100</v>
      </c>
      <c r="C851">
        <v>29990</v>
      </c>
      <c r="E851" s="80">
        <v>45751</v>
      </c>
      <c r="F851">
        <v>3010101</v>
      </c>
      <c r="G851">
        <v>6715</v>
      </c>
    </row>
    <row r="852" spans="1:7" x14ac:dyDescent="0.3">
      <c r="A852" s="80">
        <v>45661</v>
      </c>
      <c r="B852">
        <v>1010100</v>
      </c>
      <c r="C852">
        <v>29990</v>
      </c>
      <c r="E852" s="80">
        <v>45751</v>
      </c>
      <c r="F852">
        <v>3010101</v>
      </c>
      <c r="G852">
        <v>6715</v>
      </c>
    </row>
    <row r="853" spans="1:7" x14ac:dyDescent="0.3">
      <c r="A853" s="80">
        <v>45661</v>
      </c>
      <c r="B853">
        <v>1010100</v>
      </c>
      <c r="C853">
        <v>29990</v>
      </c>
      <c r="E853" s="80">
        <v>45751</v>
      </c>
      <c r="F853">
        <v>3010101</v>
      </c>
      <c r="G853">
        <v>19405</v>
      </c>
    </row>
    <row r="854" spans="1:7" x14ac:dyDescent="0.3">
      <c r="A854" s="80">
        <v>45661</v>
      </c>
      <c r="B854">
        <v>1010100</v>
      </c>
      <c r="C854">
        <v>29990</v>
      </c>
      <c r="E854" s="80">
        <v>45751</v>
      </c>
      <c r="F854">
        <v>3010101</v>
      </c>
      <c r="G854">
        <v>19405</v>
      </c>
    </row>
    <row r="855" spans="1:7" x14ac:dyDescent="0.3">
      <c r="A855" s="80">
        <v>45661</v>
      </c>
      <c r="B855">
        <v>1010100</v>
      </c>
      <c r="C855">
        <v>29990</v>
      </c>
      <c r="E855" s="80">
        <v>45751</v>
      </c>
      <c r="F855">
        <v>3010101</v>
      </c>
      <c r="G855">
        <v>19405</v>
      </c>
    </row>
    <row r="856" spans="1:7" x14ac:dyDescent="0.3">
      <c r="A856" s="80">
        <v>45660</v>
      </c>
      <c r="B856">
        <v>1010100</v>
      </c>
      <c r="C856">
        <v>29990</v>
      </c>
      <c r="E856" s="80">
        <v>45751</v>
      </c>
      <c r="F856">
        <v>3010101</v>
      </c>
      <c r="G856">
        <v>19405</v>
      </c>
    </row>
    <row r="857" spans="1:7" x14ac:dyDescent="0.3">
      <c r="A857" s="80">
        <v>45660</v>
      </c>
      <c r="B857">
        <v>1010100</v>
      </c>
      <c r="C857">
        <v>29990</v>
      </c>
      <c r="E857" s="80">
        <v>45751</v>
      </c>
      <c r="F857">
        <v>3010101</v>
      </c>
      <c r="G857">
        <v>19405</v>
      </c>
    </row>
    <row r="858" spans="1:7" x14ac:dyDescent="0.3">
      <c r="A858" s="80">
        <v>45660</v>
      </c>
      <c r="B858">
        <v>1010100</v>
      </c>
      <c r="C858">
        <v>29990</v>
      </c>
      <c r="E858" s="80">
        <v>45751</v>
      </c>
      <c r="F858">
        <v>3010101</v>
      </c>
      <c r="G858">
        <v>19405</v>
      </c>
    </row>
    <row r="859" spans="1:7" x14ac:dyDescent="0.3">
      <c r="A859" s="80">
        <v>45660</v>
      </c>
      <c r="B859">
        <v>1010100</v>
      </c>
      <c r="C859">
        <v>29990</v>
      </c>
      <c r="E859" s="80">
        <v>45751</v>
      </c>
      <c r="F859">
        <v>3010101</v>
      </c>
      <c r="G859">
        <v>19405</v>
      </c>
    </row>
    <row r="860" spans="1:7" x14ac:dyDescent="0.3">
      <c r="A860" s="80">
        <v>45660</v>
      </c>
      <c r="B860">
        <v>1010100</v>
      </c>
      <c r="C860">
        <v>29990</v>
      </c>
      <c r="E860" s="80">
        <v>45750</v>
      </c>
      <c r="F860">
        <v>3010101</v>
      </c>
      <c r="G860">
        <v>19405</v>
      </c>
    </row>
    <row r="861" spans="1:7" x14ac:dyDescent="0.3">
      <c r="A861" s="80">
        <v>45660</v>
      </c>
      <c r="B861">
        <v>1010100</v>
      </c>
      <c r="C861">
        <v>29990</v>
      </c>
      <c r="E861" s="80">
        <v>45750</v>
      </c>
      <c r="F861">
        <v>3010101</v>
      </c>
      <c r="G861">
        <v>41168</v>
      </c>
    </row>
    <row r="862" spans="1:7" x14ac:dyDescent="0.3">
      <c r="A862" s="80">
        <v>45660</v>
      </c>
      <c r="B862">
        <v>1010100</v>
      </c>
      <c r="C862">
        <v>29990</v>
      </c>
      <c r="E862" s="80">
        <v>45750</v>
      </c>
      <c r="F862">
        <v>3010101</v>
      </c>
      <c r="G862">
        <v>25201</v>
      </c>
    </row>
    <row r="863" spans="1:7" x14ac:dyDescent="0.3">
      <c r="A863" s="80">
        <v>45660</v>
      </c>
      <c r="B863">
        <v>1010100</v>
      </c>
      <c r="C863">
        <v>29990</v>
      </c>
      <c r="E863" s="80">
        <v>45750</v>
      </c>
      <c r="F863">
        <v>3010101</v>
      </c>
      <c r="G863">
        <v>25201</v>
      </c>
    </row>
    <row r="864" spans="1:7" x14ac:dyDescent="0.3">
      <c r="A864" s="80">
        <v>45660</v>
      </c>
      <c r="B864">
        <v>1010100</v>
      </c>
      <c r="C864">
        <v>29990</v>
      </c>
      <c r="E864" s="80">
        <v>45750</v>
      </c>
      <c r="F864">
        <v>3010101</v>
      </c>
      <c r="G864">
        <v>19405</v>
      </c>
    </row>
    <row r="865" spans="1:7" x14ac:dyDescent="0.3">
      <c r="A865" s="80">
        <v>45660</v>
      </c>
      <c r="B865">
        <v>1010100</v>
      </c>
      <c r="C865">
        <v>29990</v>
      </c>
      <c r="E865" s="80">
        <v>45750</v>
      </c>
      <c r="F865">
        <v>3010101</v>
      </c>
      <c r="G865">
        <v>19405</v>
      </c>
    </row>
    <row r="866" spans="1:7" x14ac:dyDescent="0.3">
      <c r="A866" s="80">
        <v>45660</v>
      </c>
      <c r="B866">
        <v>1010100</v>
      </c>
      <c r="C866">
        <v>29990</v>
      </c>
      <c r="E866" s="80">
        <v>45749</v>
      </c>
      <c r="F866">
        <v>3010101</v>
      </c>
      <c r="G866">
        <v>19405</v>
      </c>
    </row>
    <row r="867" spans="1:7" x14ac:dyDescent="0.3">
      <c r="A867" s="80">
        <v>45660</v>
      </c>
      <c r="B867">
        <v>1010100</v>
      </c>
      <c r="C867">
        <v>29990</v>
      </c>
      <c r="E867" s="80">
        <v>45749</v>
      </c>
      <c r="F867">
        <v>3010101</v>
      </c>
      <c r="G867">
        <v>19405</v>
      </c>
    </row>
    <row r="868" spans="1:7" x14ac:dyDescent="0.3">
      <c r="A868" s="80">
        <v>45660</v>
      </c>
      <c r="B868">
        <v>1010100</v>
      </c>
      <c r="C868">
        <v>29990</v>
      </c>
      <c r="E868" s="80">
        <v>45749</v>
      </c>
      <c r="F868">
        <v>3010101</v>
      </c>
      <c r="G868">
        <v>19405</v>
      </c>
    </row>
    <row r="869" spans="1:7" x14ac:dyDescent="0.3">
      <c r="A869" s="80">
        <v>45660</v>
      </c>
      <c r="B869">
        <v>1010100</v>
      </c>
      <c r="C869">
        <v>29990</v>
      </c>
      <c r="E869" s="80">
        <v>45749</v>
      </c>
      <c r="F869">
        <v>3010101</v>
      </c>
      <c r="G869">
        <v>19405</v>
      </c>
    </row>
    <row r="870" spans="1:7" x14ac:dyDescent="0.3">
      <c r="A870" s="80">
        <v>45660</v>
      </c>
      <c r="B870">
        <v>1010100</v>
      </c>
      <c r="C870">
        <v>29990</v>
      </c>
      <c r="E870" s="80">
        <v>45749</v>
      </c>
      <c r="F870">
        <v>3010101</v>
      </c>
      <c r="G870">
        <v>19405</v>
      </c>
    </row>
    <row r="871" spans="1:7" x14ac:dyDescent="0.3">
      <c r="A871" s="80">
        <v>45660</v>
      </c>
      <c r="B871">
        <v>1010100</v>
      </c>
      <c r="C871">
        <v>9990</v>
      </c>
      <c r="E871" s="80">
        <v>45749</v>
      </c>
      <c r="F871">
        <v>3010101</v>
      </c>
      <c r="G871">
        <v>19405</v>
      </c>
    </row>
    <row r="872" spans="1:7" x14ac:dyDescent="0.3">
      <c r="A872" s="80">
        <v>45660</v>
      </c>
      <c r="B872">
        <v>1010100</v>
      </c>
      <c r="C872">
        <v>29990</v>
      </c>
      <c r="E872" s="80">
        <v>45749</v>
      </c>
      <c r="F872">
        <v>3010101</v>
      </c>
      <c r="G872">
        <v>41168</v>
      </c>
    </row>
    <row r="873" spans="1:7" x14ac:dyDescent="0.3">
      <c r="A873" s="80">
        <v>45659</v>
      </c>
      <c r="B873">
        <v>1010100</v>
      </c>
      <c r="C873">
        <v>29990</v>
      </c>
      <c r="E873" s="80">
        <v>45748</v>
      </c>
      <c r="F873">
        <v>3010101</v>
      </c>
      <c r="G873">
        <v>21421</v>
      </c>
    </row>
    <row r="874" spans="1:7" x14ac:dyDescent="0.3">
      <c r="A874" s="80">
        <v>45659</v>
      </c>
      <c r="B874">
        <v>1010100</v>
      </c>
      <c r="C874">
        <v>29990</v>
      </c>
      <c r="E874" s="80">
        <v>45748</v>
      </c>
      <c r="F874">
        <v>3010101</v>
      </c>
      <c r="G874">
        <v>22178</v>
      </c>
    </row>
    <row r="875" spans="1:7" x14ac:dyDescent="0.3">
      <c r="A875" s="80">
        <v>45659</v>
      </c>
      <c r="B875">
        <v>1010100</v>
      </c>
      <c r="C875">
        <v>29990</v>
      </c>
      <c r="E875" s="80">
        <v>45748</v>
      </c>
      <c r="F875">
        <v>3010101</v>
      </c>
      <c r="G875">
        <v>17052</v>
      </c>
    </row>
    <row r="876" spans="1:7" x14ac:dyDescent="0.3">
      <c r="A876" s="80">
        <v>45659</v>
      </c>
      <c r="B876">
        <v>1010100</v>
      </c>
      <c r="C876">
        <v>29990</v>
      </c>
      <c r="E876" s="80">
        <v>45747</v>
      </c>
      <c r="F876">
        <v>3010101</v>
      </c>
      <c r="G876">
        <v>25201</v>
      </c>
    </row>
    <row r="877" spans="1:7" x14ac:dyDescent="0.3">
      <c r="A877" s="80">
        <v>45659</v>
      </c>
      <c r="B877">
        <v>1010100</v>
      </c>
      <c r="C877">
        <v>29990</v>
      </c>
      <c r="E877" s="80">
        <v>45747</v>
      </c>
      <c r="F877">
        <v>3010101</v>
      </c>
      <c r="G877">
        <v>19405</v>
      </c>
    </row>
    <row r="878" spans="1:7" x14ac:dyDescent="0.3">
      <c r="A878" s="80">
        <v>45659</v>
      </c>
      <c r="B878">
        <v>1010100</v>
      </c>
      <c r="C878">
        <v>29990</v>
      </c>
      <c r="E878" s="80">
        <v>45747</v>
      </c>
      <c r="F878">
        <v>3010101</v>
      </c>
      <c r="G878">
        <v>25201</v>
      </c>
    </row>
    <row r="879" spans="1:7" x14ac:dyDescent="0.3">
      <c r="A879" s="80">
        <v>45659</v>
      </c>
      <c r="B879">
        <v>1010100</v>
      </c>
      <c r="C879">
        <v>29990</v>
      </c>
      <c r="E879" s="80">
        <v>45747</v>
      </c>
      <c r="F879">
        <v>3010101</v>
      </c>
      <c r="G879">
        <v>25201</v>
      </c>
    </row>
    <row r="880" spans="1:7" x14ac:dyDescent="0.3">
      <c r="A880" s="80">
        <v>45659</v>
      </c>
      <c r="B880">
        <v>1010100</v>
      </c>
      <c r="C880">
        <v>29990</v>
      </c>
      <c r="E880" s="80">
        <v>45747</v>
      </c>
      <c r="F880">
        <v>3010101</v>
      </c>
      <c r="G880">
        <v>19405</v>
      </c>
    </row>
    <row r="881" spans="1:7" x14ac:dyDescent="0.3">
      <c r="A881" s="80">
        <v>45659</v>
      </c>
      <c r="B881">
        <v>1010100</v>
      </c>
      <c r="C881">
        <v>29990</v>
      </c>
      <c r="E881" s="80">
        <v>45747</v>
      </c>
      <c r="F881">
        <v>3010101</v>
      </c>
      <c r="G881">
        <v>25201</v>
      </c>
    </row>
    <row r="882" spans="1:7" x14ac:dyDescent="0.3">
      <c r="A882" s="80">
        <v>45659</v>
      </c>
      <c r="B882">
        <v>1010100</v>
      </c>
      <c r="C882">
        <v>59980</v>
      </c>
      <c r="E882" s="80">
        <v>45747</v>
      </c>
      <c r="F882">
        <v>3010101</v>
      </c>
      <c r="G882">
        <v>22178</v>
      </c>
    </row>
    <row r="883" spans="1:7" x14ac:dyDescent="0.3">
      <c r="A883" s="80">
        <v>45659</v>
      </c>
      <c r="B883">
        <v>1010100</v>
      </c>
      <c r="C883">
        <v>29990</v>
      </c>
      <c r="E883" s="80">
        <v>45747</v>
      </c>
      <c r="F883">
        <v>3010101</v>
      </c>
      <c r="G883">
        <v>22178</v>
      </c>
    </row>
    <row r="884" spans="1:7" x14ac:dyDescent="0.3">
      <c r="A884" s="80">
        <v>45659</v>
      </c>
      <c r="B884">
        <v>1010100</v>
      </c>
      <c r="C884">
        <v>29990</v>
      </c>
      <c r="E884" s="80">
        <v>45746</v>
      </c>
      <c r="F884">
        <v>3010101</v>
      </c>
      <c r="G884">
        <v>41168</v>
      </c>
    </row>
    <row r="885" spans="1:7" x14ac:dyDescent="0.3">
      <c r="A885" s="80">
        <v>45659</v>
      </c>
      <c r="B885">
        <v>1010100</v>
      </c>
      <c r="C885">
        <v>29990</v>
      </c>
      <c r="E885" s="80">
        <v>45746</v>
      </c>
      <c r="F885">
        <v>3010101</v>
      </c>
      <c r="G885">
        <v>22178</v>
      </c>
    </row>
    <row r="886" spans="1:7" x14ac:dyDescent="0.3">
      <c r="A886" s="80">
        <v>45659</v>
      </c>
      <c r="B886">
        <v>1010100</v>
      </c>
      <c r="C886">
        <v>29990</v>
      </c>
      <c r="E886" s="80">
        <v>45746</v>
      </c>
      <c r="F886">
        <v>3010101</v>
      </c>
      <c r="G886">
        <v>22178</v>
      </c>
    </row>
    <row r="887" spans="1:7" x14ac:dyDescent="0.3">
      <c r="A887" s="80">
        <v>45659</v>
      </c>
      <c r="B887">
        <v>1010100</v>
      </c>
      <c r="C887">
        <v>29990</v>
      </c>
      <c r="E887" s="80">
        <v>45746</v>
      </c>
      <c r="F887">
        <v>3010101</v>
      </c>
      <c r="G887">
        <v>22178</v>
      </c>
    </row>
    <row r="888" spans="1:7" x14ac:dyDescent="0.3">
      <c r="A888" s="80">
        <v>45659</v>
      </c>
      <c r="B888">
        <v>1010100</v>
      </c>
      <c r="C888">
        <v>29990</v>
      </c>
      <c r="E888" s="80">
        <v>45746</v>
      </c>
      <c r="F888">
        <v>3010101</v>
      </c>
      <c r="G888">
        <v>41168</v>
      </c>
    </row>
    <row r="889" spans="1:7" x14ac:dyDescent="0.3">
      <c r="A889" s="80">
        <v>45659</v>
      </c>
      <c r="B889">
        <v>1010100</v>
      </c>
      <c r="C889">
        <v>29990</v>
      </c>
      <c r="E889" s="80">
        <v>45745</v>
      </c>
      <c r="F889">
        <v>3010101</v>
      </c>
      <c r="G889">
        <v>25201</v>
      </c>
    </row>
    <row r="890" spans="1:7" x14ac:dyDescent="0.3">
      <c r="A890" s="80">
        <v>45659</v>
      </c>
      <c r="B890">
        <v>1010100</v>
      </c>
      <c r="C890">
        <v>29990</v>
      </c>
      <c r="E890" s="80">
        <v>45745</v>
      </c>
      <c r="F890">
        <v>3010101</v>
      </c>
      <c r="G890">
        <v>25201</v>
      </c>
    </row>
    <row r="891" spans="1:7" x14ac:dyDescent="0.3">
      <c r="A891" s="80">
        <v>45659</v>
      </c>
      <c r="B891">
        <v>1010100</v>
      </c>
      <c r="C891">
        <v>29990</v>
      </c>
      <c r="E891" s="80">
        <v>45744</v>
      </c>
      <c r="F891">
        <v>3010101</v>
      </c>
      <c r="G891">
        <v>25201</v>
      </c>
    </row>
    <row r="892" spans="1:7" x14ac:dyDescent="0.3">
      <c r="A892" s="80">
        <v>45659</v>
      </c>
      <c r="B892">
        <v>1010100</v>
      </c>
      <c r="C892">
        <v>29990</v>
      </c>
      <c r="E892" s="80">
        <v>45744</v>
      </c>
      <c r="F892">
        <v>3010101</v>
      </c>
      <c r="G892">
        <v>25201</v>
      </c>
    </row>
    <row r="893" spans="1:7" x14ac:dyDescent="0.3">
      <c r="A893" s="80">
        <v>45659</v>
      </c>
      <c r="B893">
        <v>1010100</v>
      </c>
      <c r="C893">
        <v>29990</v>
      </c>
      <c r="E893" s="80">
        <v>45744</v>
      </c>
      <c r="F893">
        <v>3010101</v>
      </c>
      <c r="G893">
        <v>25201</v>
      </c>
    </row>
    <row r="894" spans="1:7" x14ac:dyDescent="0.3">
      <c r="A894" s="80">
        <v>45659</v>
      </c>
      <c r="B894">
        <v>1010100</v>
      </c>
      <c r="C894">
        <v>29990</v>
      </c>
      <c r="E894" s="80">
        <v>45743</v>
      </c>
      <c r="F894">
        <v>3010101</v>
      </c>
      <c r="G894">
        <v>25201</v>
      </c>
    </row>
    <row r="895" spans="1:7" x14ac:dyDescent="0.3">
      <c r="A895" s="80">
        <v>45659</v>
      </c>
      <c r="B895">
        <v>1010100</v>
      </c>
      <c r="C895">
        <v>29990</v>
      </c>
      <c r="E895" s="80">
        <v>45743</v>
      </c>
      <c r="F895">
        <v>3010101</v>
      </c>
      <c r="G895">
        <v>25201</v>
      </c>
    </row>
    <row r="896" spans="1:7" x14ac:dyDescent="0.3">
      <c r="A896" s="80">
        <v>45658</v>
      </c>
      <c r="B896">
        <v>1010100</v>
      </c>
      <c r="C896">
        <v>29990</v>
      </c>
      <c r="E896" s="80">
        <v>45743</v>
      </c>
      <c r="F896">
        <v>3010101</v>
      </c>
      <c r="G896">
        <v>8394</v>
      </c>
    </row>
    <row r="897" spans="1:7" x14ac:dyDescent="0.3">
      <c r="A897" s="80">
        <v>45658</v>
      </c>
      <c r="B897">
        <v>1010100</v>
      </c>
      <c r="C897">
        <v>29990</v>
      </c>
      <c r="E897" s="80">
        <v>45743</v>
      </c>
      <c r="F897">
        <v>3010101</v>
      </c>
      <c r="G897">
        <v>21000</v>
      </c>
    </row>
    <row r="898" spans="1:7" x14ac:dyDescent="0.3">
      <c r="A898" s="80">
        <v>45658</v>
      </c>
      <c r="B898">
        <v>1010100</v>
      </c>
      <c r="C898">
        <v>29990</v>
      </c>
      <c r="E898" s="80">
        <v>45743</v>
      </c>
      <c r="F898">
        <v>3010101</v>
      </c>
      <c r="G898">
        <v>25201</v>
      </c>
    </row>
    <row r="899" spans="1:7" x14ac:dyDescent="0.3">
      <c r="A899" s="80">
        <v>45658</v>
      </c>
      <c r="B899">
        <v>1010100</v>
      </c>
      <c r="C899">
        <v>29990</v>
      </c>
      <c r="E899" s="80">
        <v>45743</v>
      </c>
      <c r="F899">
        <v>3010101</v>
      </c>
      <c r="G899">
        <v>25201</v>
      </c>
    </row>
    <row r="900" spans="1:7" x14ac:dyDescent="0.3">
      <c r="A900" s="80">
        <v>45658</v>
      </c>
      <c r="B900">
        <v>1010100</v>
      </c>
      <c r="C900">
        <v>29990</v>
      </c>
      <c r="E900" s="80">
        <v>45743</v>
      </c>
      <c r="F900">
        <v>3010101</v>
      </c>
      <c r="G900">
        <v>25201</v>
      </c>
    </row>
    <row r="901" spans="1:7" x14ac:dyDescent="0.3">
      <c r="A901" s="80">
        <v>45658</v>
      </c>
      <c r="B901">
        <v>1010100</v>
      </c>
      <c r="C901">
        <v>29990</v>
      </c>
      <c r="E901" s="80">
        <v>45740</v>
      </c>
      <c r="F901">
        <v>3010101</v>
      </c>
      <c r="G901">
        <v>50403</v>
      </c>
    </row>
    <row r="902" spans="1:7" x14ac:dyDescent="0.3">
      <c r="A902" s="80">
        <v>45658</v>
      </c>
      <c r="B902">
        <v>1010100</v>
      </c>
      <c r="C902">
        <v>29990</v>
      </c>
      <c r="E902" s="80">
        <v>45740</v>
      </c>
      <c r="F902">
        <v>3010101</v>
      </c>
      <c r="G902">
        <v>25201</v>
      </c>
    </row>
    <row r="903" spans="1:7" x14ac:dyDescent="0.3">
      <c r="A903" s="80">
        <v>45658</v>
      </c>
      <c r="B903">
        <v>1010100</v>
      </c>
      <c r="C903">
        <v>29990</v>
      </c>
      <c r="E903" s="80">
        <v>45739</v>
      </c>
      <c r="F903">
        <v>3010101</v>
      </c>
      <c r="G903">
        <v>25201</v>
      </c>
    </row>
    <row r="904" spans="1:7" x14ac:dyDescent="0.3">
      <c r="A904" s="80">
        <v>45658</v>
      </c>
      <c r="B904">
        <v>1010100</v>
      </c>
      <c r="C904">
        <v>29990</v>
      </c>
      <c r="E904" s="80">
        <v>45739</v>
      </c>
      <c r="F904">
        <v>3010101</v>
      </c>
      <c r="G904">
        <v>8394</v>
      </c>
    </row>
    <row r="905" spans="1:7" x14ac:dyDescent="0.3">
      <c r="A905" s="80">
        <v>45658</v>
      </c>
      <c r="B905">
        <v>1010100</v>
      </c>
      <c r="C905">
        <v>9990</v>
      </c>
      <c r="E905" s="80">
        <v>45739</v>
      </c>
      <c r="F905">
        <v>3010101</v>
      </c>
      <c r="G905">
        <v>25201</v>
      </c>
    </row>
    <row r="906" spans="1:7" x14ac:dyDescent="0.3">
      <c r="A906" s="80">
        <v>45658</v>
      </c>
      <c r="B906">
        <v>1010100</v>
      </c>
      <c r="C906">
        <v>29990</v>
      </c>
      <c r="E906" s="80">
        <v>45738</v>
      </c>
      <c r="F906">
        <v>3010101</v>
      </c>
      <c r="G906">
        <v>25201</v>
      </c>
    </row>
    <row r="907" spans="1:7" x14ac:dyDescent="0.3">
      <c r="A907" s="80">
        <v>45658</v>
      </c>
      <c r="B907">
        <v>1010100</v>
      </c>
      <c r="C907">
        <v>29990</v>
      </c>
      <c r="E907" s="80">
        <v>45738</v>
      </c>
      <c r="F907">
        <v>3010101</v>
      </c>
      <c r="G907">
        <v>25201</v>
      </c>
    </row>
    <row r="908" spans="1:7" x14ac:dyDescent="0.3">
      <c r="A908" s="80">
        <v>45658</v>
      </c>
      <c r="B908">
        <v>1010100</v>
      </c>
      <c r="C908">
        <v>26991</v>
      </c>
      <c r="E908" s="80">
        <v>45737</v>
      </c>
      <c r="F908">
        <v>3010101</v>
      </c>
      <c r="G908">
        <v>25201</v>
      </c>
    </row>
    <row r="909" spans="1:7" x14ac:dyDescent="0.3">
      <c r="A909" s="80">
        <v>45658</v>
      </c>
      <c r="B909">
        <v>1010100</v>
      </c>
      <c r="C909">
        <v>29990</v>
      </c>
      <c r="E909" s="80">
        <v>45737</v>
      </c>
      <c r="F909">
        <v>3010101</v>
      </c>
      <c r="G909">
        <v>41168</v>
      </c>
    </row>
    <row r="910" spans="1:7" x14ac:dyDescent="0.3">
      <c r="A910" s="80">
        <v>45658</v>
      </c>
      <c r="B910">
        <v>1010100</v>
      </c>
      <c r="C910">
        <v>26991</v>
      </c>
      <c r="E910" s="80">
        <v>45736</v>
      </c>
      <c r="F910">
        <v>3010101</v>
      </c>
      <c r="G910">
        <v>25201</v>
      </c>
    </row>
    <row r="911" spans="1:7" x14ac:dyDescent="0.3">
      <c r="A911" s="80">
        <v>45752</v>
      </c>
      <c r="B911">
        <v>1010100</v>
      </c>
      <c r="C911">
        <v>0</v>
      </c>
      <c r="E911" s="80">
        <v>45736</v>
      </c>
      <c r="F911">
        <v>3010101</v>
      </c>
      <c r="G911">
        <v>25201</v>
      </c>
    </row>
    <row r="912" spans="1:7" x14ac:dyDescent="0.3">
      <c r="A912" s="80">
        <v>45752</v>
      </c>
      <c r="B912">
        <v>1010100</v>
      </c>
      <c r="C912">
        <v>2790</v>
      </c>
      <c r="E912" s="80">
        <v>45736</v>
      </c>
      <c r="F912">
        <v>3010101</v>
      </c>
      <c r="G912">
        <v>25201</v>
      </c>
    </row>
    <row r="913" spans="1:7" x14ac:dyDescent="0.3">
      <c r="A913" s="80">
        <v>45752</v>
      </c>
      <c r="B913">
        <v>1010100</v>
      </c>
      <c r="C913">
        <v>1790</v>
      </c>
      <c r="E913" s="80">
        <v>45736</v>
      </c>
      <c r="F913">
        <v>3010101</v>
      </c>
      <c r="G913">
        <v>25201</v>
      </c>
    </row>
    <row r="914" spans="1:7" x14ac:dyDescent="0.3">
      <c r="A914" s="80">
        <v>45752</v>
      </c>
      <c r="B914">
        <v>1010100</v>
      </c>
      <c r="C914">
        <v>1790</v>
      </c>
      <c r="E914" s="80">
        <v>45736</v>
      </c>
      <c r="F914">
        <v>3010101</v>
      </c>
      <c r="G914">
        <v>25201</v>
      </c>
    </row>
    <row r="915" spans="1:7" x14ac:dyDescent="0.3">
      <c r="A915" s="80">
        <v>45752</v>
      </c>
      <c r="B915">
        <v>1010100</v>
      </c>
      <c r="C915">
        <v>0</v>
      </c>
      <c r="E915" s="80">
        <v>45735</v>
      </c>
      <c r="F915">
        <v>3010101</v>
      </c>
      <c r="G915">
        <v>25201</v>
      </c>
    </row>
    <row r="916" spans="1:7" x14ac:dyDescent="0.3">
      <c r="A916" s="80">
        <v>45752</v>
      </c>
      <c r="B916">
        <v>1010100</v>
      </c>
      <c r="C916">
        <v>1790</v>
      </c>
      <c r="E916" s="80">
        <v>45735</v>
      </c>
      <c r="F916">
        <v>3010101</v>
      </c>
      <c r="G916">
        <v>25201</v>
      </c>
    </row>
    <row r="917" spans="1:7" x14ac:dyDescent="0.3">
      <c r="A917" s="80">
        <v>45751</v>
      </c>
      <c r="B917">
        <v>1010100</v>
      </c>
      <c r="C917">
        <v>1790</v>
      </c>
      <c r="E917" s="80">
        <v>45735</v>
      </c>
      <c r="F917">
        <v>3010101</v>
      </c>
      <c r="G917">
        <v>25201</v>
      </c>
    </row>
    <row r="918" spans="1:7" x14ac:dyDescent="0.3">
      <c r="A918" s="80">
        <v>45751</v>
      </c>
      <c r="B918">
        <v>1010100</v>
      </c>
      <c r="C918">
        <v>1790</v>
      </c>
      <c r="E918" s="80">
        <v>45734</v>
      </c>
      <c r="F918">
        <v>3010101</v>
      </c>
      <c r="G918">
        <v>18268</v>
      </c>
    </row>
    <row r="919" spans="1:7" x14ac:dyDescent="0.3">
      <c r="A919" s="80">
        <v>45751</v>
      </c>
      <c r="B919">
        <v>1010100</v>
      </c>
      <c r="C919">
        <v>2490</v>
      </c>
      <c r="E919" s="80">
        <v>45734</v>
      </c>
      <c r="F919">
        <v>3010101</v>
      </c>
      <c r="G919">
        <v>22681</v>
      </c>
    </row>
    <row r="920" spans="1:7" x14ac:dyDescent="0.3">
      <c r="A920" s="80">
        <v>45751</v>
      </c>
      <c r="B920">
        <v>1010100</v>
      </c>
      <c r="C920">
        <v>2490</v>
      </c>
      <c r="E920" s="80">
        <v>45734</v>
      </c>
      <c r="F920">
        <v>3010101</v>
      </c>
      <c r="G920">
        <v>25201</v>
      </c>
    </row>
    <row r="921" spans="1:7" x14ac:dyDescent="0.3">
      <c r="A921" s="80">
        <v>45751</v>
      </c>
      <c r="B921">
        <v>1010100</v>
      </c>
      <c r="C921">
        <v>1790</v>
      </c>
      <c r="E921" s="80">
        <v>45734</v>
      </c>
      <c r="F921">
        <v>3010101</v>
      </c>
      <c r="G921">
        <v>25201</v>
      </c>
    </row>
    <row r="922" spans="1:7" x14ac:dyDescent="0.3">
      <c r="A922" s="80">
        <v>45751</v>
      </c>
      <c r="B922">
        <v>1010100</v>
      </c>
      <c r="C922">
        <v>1790</v>
      </c>
      <c r="E922" s="80">
        <v>45734</v>
      </c>
      <c r="F922">
        <v>3010101</v>
      </c>
      <c r="G922">
        <v>25201</v>
      </c>
    </row>
    <row r="923" spans="1:7" x14ac:dyDescent="0.3">
      <c r="A923" s="80">
        <v>45751</v>
      </c>
      <c r="B923">
        <v>1010100</v>
      </c>
      <c r="C923">
        <v>3390</v>
      </c>
      <c r="E923" s="80">
        <v>45733</v>
      </c>
      <c r="F923">
        <v>3010101</v>
      </c>
      <c r="G923">
        <v>25201</v>
      </c>
    </row>
    <row r="924" spans="1:7" x14ac:dyDescent="0.3">
      <c r="A924" s="80">
        <v>45751</v>
      </c>
      <c r="B924">
        <v>1010100</v>
      </c>
      <c r="C924">
        <v>3390</v>
      </c>
      <c r="E924" s="80">
        <v>45733</v>
      </c>
      <c r="F924">
        <v>3010101</v>
      </c>
      <c r="G924">
        <v>25201</v>
      </c>
    </row>
    <row r="925" spans="1:7" x14ac:dyDescent="0.3">
      <c r="A925" s="80">
        <v>45751</v>
      </c>
      <c r="B925">
        <v>1010100</v>
      </c>
      <c r="C925">
        <v>1790</v>
      </c>
      <c r="E925" s="80">
        <v>45733</v>
      </c>
      <c r="F925">
        <v>3010101</v>
      </c>
      <c r="G925">
        <v>25201</v>
      </c>
    </row>
    <row r="926" spans="1:7" x14ac:dyDescent="0.3">
      <c r="A926" s="80">
        <v>45750</v>
      </c>
      <c r="B926">
        <v>1010100</v>
      </c>
      <c r="C926">
        <v>1790</v>
      </c>
      <c r="E926" s="80">
        <v>45733</v>
      </c>
      <c r="F926">
        <v>3010101</v>
      </c>
      <c r="G926">
        <v>25201</v>
      </c>
    </row>
    <row r="927" spans="1:7" x14ac:dyDescent="0.3">
      <c r="A927" s="80">
        <v>45750</v>
      </c>
      <c r="B927">
        <v>1010100</v>
      </c>
      <c r="C927">
        <v>0</v>
      </c>
      <c r="E927" s="80">
        <v>45733</v>
      </c>
      <c r="F927">
        <v>3010101</v>
      </c>
      <c r="G927">
        <v>22681</v>
      </c>
    </row>
    <row r="928" spans="1:7" x14ac:dyDescent="0.3">
      <c r="A928" s="80">
        <v>45750</v>
      </c>
      <c r="B928">
        <v>1010100</v>
      </c>
      <c r="C928">
        <v>0</v>
      </c>
      <c r="E928" s="80">
        <v>45733</v>
      </c>
      <c r="F928">
        <v>3010101</v>
      </c>
      <c r="G928">
        <v>25201</v>
      </c>
    </row>
    <row r="929" spans="1:7" x14ac:dyDescent="0.3">
      <c r="A929" s="80">
        <v>45750</v>
      </c>
      <c r="B929">
        <v>1010100</v>
      </c>
      <c r="C929">
        <v>0</v>
      </c>
      <c r="E929" s="80">
        <v>45733</v>
      </c>
      <c r="F929">
        <v>3010101</v>
      </c>
      <c r="G929">
        <v>25201</v>
      </c>
    </row>
    <row r="930" spans="1:7" x14ac:dyDescent="0.3">
      <c r="A930" s="80">
        <v>45750</v>
      </c>
      <c r="B930">
        <v>1010100</v>
      </c>
      <c r="C930">
        <v>4490</v>
      </c>
      <c r="E930" s="80">
        <v>45733</v>
      </c>
      <c r="F930">
        <v>3010101</v>
      </c>
      <c r="G930">
        <v>25201</v>
      </c>
    </row>
    <row r="931" spans="1:7" x14ac:dyDescent="0.3">
      <c r="A931" s="80">
        <v>45750</v>
      </c>
      <c r="B931">
        <v>1010100</v>
      </c>
      <c r="C931">
        <v>1790</v>
      </c>
      <c r="E931" s="80">
        <v>45732</v>
      </c>
      <c r="F931">
        <v>3010101</v>
      </c>
      <c r="G931">
        <v>25201</v>
      </c>
    </row>
    <row r="932" spans="1:7" x14ac:dyDescent="0.3">
      <c r="A932" s="80">
        <v>45749</v>
      </c>
      <c r="B932">
        <v>1010100</v>
      </c>
      <c r="C932">
        <v>0</v>
      </c>
      <c r="E932" s="80">
        <v>45732</v>
      </c>
      <c r="F932">
        <v>3010101</v>
      </c>
      <c r="G932">
        <v>25201</v>
      </c>
    </row>
    <row r="933" spans="1:7" x14ac:dyDescent="0.3">
      <c r="A933" s="80">
        <v>45749</v>
      </c>
      <c r="B933">
        <v>1010100</v>
      </c>
      <c r="C933">
        <v>1790</v>
      </c>
      <c r="E933" s="80">
        <v>45731</v>
      </c>
      <c r="F933">
        <v>3010101</v>
      </c>
      <c r="G933">
        <v>22681</v>
      </c>
    </row>
    <row r="934" spans="1:7" x14ac:dyDescent="0.3">
      <c r="A934" s="80">
        <v>45749</v>
      </c>
      <c r="B934">
        <v>1010100</v>
      </c>
      <c r="C934">
        <v>1790</v>
      </c>
      <c r="E934" s="80">
        <v>45731</v>
      </c>
      <c r="F934">
        <v>3010101</v>
      </c>
      <c r="G934">
        <v>7555</v>
      </c>
    </row>
    <row r="935" spans="1:7" x14ac:dyDescent="0.3">
      <c r="A935" s="80">
        <v>45749</v>
      </c>
      <c r="B935">
        <v>1010100</v>
      </c>
      <c r="C935">
        <v>5990</v>
      </c>
      <c r="E935" s="80">
        <v>45731</v>
      </c>
      <c r="F935">
        <v>3010101</v>
      </c>
      <c r="G935">
        <v>25201</v>
      </c>
    </row>
    <row r="936" spans="1:7" x14ac:dyDescent="0.3">
      <c r="A936" s="80">
        <v>45749</v>
      </c>
      <c r="B936">
        <v>1010100</v>
      </c>
      <c r="C936">
        <v>1790</v>
      </c>
      <c r="E936" s="80">
        <v>45730</v>
      </c>
      <c r="F936">
        <v>3010101</v>
      </c>
      <c r="G936">
        <v>25201</v>
      </c>
    </row>
    <row r="937" spans="1:7" x14ac:dyDescent="0.3">
      <c r="A937" s="80">
        <v>45749</v>
      </c>
      <c r="B937">
        <v>1010100</v>
      </c>
      <c r="C937">
        <v>1790</v>
      </c>
      <c r="E937" s="80">
        <v>45730</v>
      </c>
      <c r="F937">
        <v>3010101</v>
      </c>
      <c r="G937">
        <v>22681</v>
      </c>
    </row>
    <row r="938" spans="1:7" x14ac:dyDescent="0.3">
      <c r="A938" s="80">
        <v>45749</v>
      </c>
      <c r="B938">
        <v>1010100</v>
      </c>
      <c r="C938">
        <v>0</v>
      </c>
      <c r="E938" s="80">
        <v>45730</v>
      </c>
      <c r="F938">
        <v>3010101</v>
      </c>
      <c r="G938">
        <v>25201</v>
      </c>
    </row>
    <row r="939" spans="1:7" x14ac:dyDescent="0.3">
      <c r="A939" s="80">
        <v>45748</v>
      </c>
      <c r="B939">
        <v>1010100</v>
      </c>
      <c r="C939">
        <v>0</v>
      </c>
      <c r="E939" s="80">
        <v>45729</v>
      </c>
      <c r="F939">
        <v>3010101</v>
      </c>
      <c r="G939">
        <v>25201</v>
      </c>
    </row>
    <row r="940" spans="1:7" x14ac:dyDescent="0.3">
      <c r="A940" s="80">
        <v>45748</v>
      </c>
      <c r="B940">
        <v>1010100</v>
      </c>
      <c r="C940">
        <v>0</v>
      </c>
      <c r="E940" s="80">
        <v>45728</v>
      </c>
      <c r="F940">
        <v>3010101</v>
      </c>
      <c r="G940">
        <v>25201</v>
      </c>
    </row>
    <row r="941" spans="1:7" x14ac:dyDescent="0.3">
      <c r="A941" s="80">
        <v>45748</v>
      </c>
      <c r="B941">
        <v>1010100</v>
      </c>
      <c r="C941">
        <v>0</v>
      </c>
      <c r="E941" s="80">
        <v>45728</v>
      </c>
      <c r="F941">
        <v>3010101</v>
      </c>
      <c r="G941">
        <v>25201</v>
      </c>
    </row>
    <row r="942" spans="1:7" x14ac:dyDescent="0.3">
      <c r="A942" s="80">
        <v>45747</v>
      </c>
      <c r="B942">
        <v>1010100</v>
      </c>
      <c r="C942">
        <v>0</v>
      </c>
      <c r="E942" s="80">
        <v>45727</v>
      </c>
      <c r="F942">
        <v>3010101</v>
      </c>
      <c r="G942">
        <v>22681</v>
      </c>
    </row>
    <row r="943" spans="1:7" x14ac:dyDescent="0.3">
      <c r="A943" s="80">
        <v>45747</v>
      </c>
      <c r="B943">
        <v>1010100</v>
      </c>
      <c r="C943">
        <v>1790</v>
      </c>
      <c r="E943" s="80">
        <v>45727</v>
      </c>
      <c r="F943">
        <v>3010101</v>
      </c>
      <c r="G943">
        <v>22681</v>
      </c>
    </row>
    <row r="944" spans="1:7" x14ac:dyDescent="0.3">
      <c r="A944" s="80">
        <v>45747</v>
      </c>
      <c r="B944">
        <v>1010100</v>
      </c>
      <c r="C944">
        <v>0</v>
      </c>
      <c r="E944" s="80">
        <v>45727</v>
      </c>
      <c r="F944">
        <v>3010101</v>
      </c>
      <c r="G944">
        <v>36537</v>
      </c>
    </row>
    <row r="945" spans="1:7" x14ac:dyDescent="0.3">
      <c r="A945" s="80">
        <v>45747</v>
      </c>
      <c r="B945">
        <v>1010100</v>
      </c>
      <c r="C945">
        <v>0</v>
      </c>
      <c r="E945" s="80">
        <v>45727</v>
      </c>
      <c r="F945">
        <v>3010101</v>
      </c>
      <c r="G945">
        <v>22681</v>
      </c>
    </row>
    <row r="946" spans="1:7" x14ac:dyDescent="0.3">
      <c r="A946" s="80">
        <v>45747</v>
      </c>
      <c r="B946">
        <v>1010100</v>
      </c>
      <c r="C946">
        <v>1790</v>
      </c>
      <c r="E946" s="80">
        <v>45727</v>
      </c>
      <c r="F946">
        <v>3010101</v>
      </c>
      <c r="G946">
        <v>50403</v>
      </c>
    </row>
    <row r="947" spans="1:7" x14ac:dyDescent="0.3">
      <c r="A947" s="80">
        <v>45747</v>
      </c>
      <c r="B947">
        <v>1010100</v>
      </c>
      <c r="C947">
        <v>0</v>
      </c>
      <c r="E947" s="80">
        <v>45726</v>
      </c>
      <c r="F947">
        <v>3010101</v>
      </c>
      <c r="G947">
        <v>18268</v>
      </c>
    </row>
    <row r="948" spans="1:7" x14ac:dyDescent="0.3">
      <c r="A948" s="80">
        <v>45747</v>
      </c>
      <c r="B948">
        <v>1010100</v>
      </c>
      <c r="C948">
        <v>1790</v>
      </c>
      <c r="E948" s="80">
        <v>45726</v>
      </c>
      <c r="F948">
        <v>3010101</v>
      </c>
      <c r="G948">
        <v>25201</v>
      </c>
    </row>
    <row r="949" spans="1:7" x14ac:dyDescent="0.3">
      <c r="A949" s="80">
        <v>45747</v>
      </c>
      <c r="B949">
        <v>1010100</v>
      </c>
      <c r="C949">
        <v>1790</v>
      </c>
      <c r="E949" s="80">
        <v>45726</v>
      </c>
      <c r="F949">
        <v>3010101</v>
      </c>
      <c r="G949">
        <v>25201</v>
      </c>
    </row>
    <row r="950" spans="1:7" x14ac:dyDescent="0.3">
      <c r="A950" s="80">
        <v>45746</v>
      </c>
      <c r="B950">
        <v>1010100</v>
      </c>
      <c r="C950">
        <v>0</v>
      </c>
      <c r="E950" s="80">
        <v>45726</v>
      </c>
      <c r="F950">
        <v>3010101</v>
      </c>
      <c r="G950">
        <v>25201</v>
      </c>
    </row>
    <row r="951" spans="1:7" x14ac:dyDescent="0.3">
      <c r="A951" s="80">
        <v>45746</v>
      </c>
      <c r="B951">
        <v>1010100</v>
      </c>
      <c r="C951">
        <v>1790</v>
      </c>
      <c r="E951" s="80">
        <v>45726</v>
      </c>
      <c r="F951">
        <v>3010101</v>
      </c>
      <c r="G951">
        <v>25201</v>
      </c>
    </row>
    <row r="952" spans="1:7" x14ac:dyDescent="0.3">
      <c r="A952" s="80">
        <v>45746</v>
      </c>
      <c r="B952">
        <v>1010100</v>
      </c>
      <c r="C952">
        <v>2790</v>
      </c>
      <c r="E952" s="80">
        <v>45725</v>
      </c>
      <c r="F952">
        <v>3010101</v>
      </c>
      <c r="G952">
        <v>25201</v>
      </c>
    </row>
    <row r="953" spans="1:7" x14ac:dyDescent="0.3">
      <c r="A953" s="80">
        <v>45746</v>
      </c>
      <c r="B953">
        <v>1010100</v>
      </c>
      <c r="C953">
        <v>1790</v>
      </c>
      <c r="E953" s="80">
        <v>45725</v>
      </c>
      <c r="F953">
        <v>3010101</v>
      </c>
      <c r="G953">
        <v>25201</v>
      </c>
    </row>
    <row r="954" spans="1:7" x14ac:dyDescent="0.3">
      <c r="A954" s="80">
        <v>45746</v>
      </c>
      <c r="B954">
        <v>1010100</v>
      </c>
      <c r="C954">
        <v>0</v>
      </c>
      <c r="E954" s="80">
        <v>45725</v>
      </c>
      <c r="F954">
        <v>3010101</v>
      </c>
      <c r="G954">
        <v>25201</v>
      </c>
    </row>
    <row r="955" spans="1:7" x14ac:dyDescent="0.3">
      <c r="A955" s="80">
        <v>45745</v>
      </c>
      <c r="B955">
        <v>1010100</v>
      </c>
      <c r="C955">
        <v>0</v>
      </c>
      <c r="E955" s="80">
        <v>45725</v>
      </c>
      <c r="F955">
        <v>3010101</v>
      </c>
      <c r="G955">
        <v>8394</v>
      </c>
    </row>
    <row r="956" spans="1:7" x14ac:dyDescent="0.3">
      <c r="A956" s="80">
        <v>45745</v>
      </c>
      <c r="B956">
        <v>1010100</v>
      </c>
      <c r="C956">
        <v>0</v>
      </c>
      <c r="E956" s="80">
        <v>45725</v>
      </c>
      <c r="F956">
        <v>3010101</v>
      </c>
      <c r="G956">
        <v>25201</v>
      </c>
    </row>
    <row r="957" spans="1:7" x14ac:dyDescent="0.3">
      <c r="A957" s="80">
        <v>45744</v>
      </c>
      <c r="B957">
        <v>1010100</v>
      </c>
      <c r="C957">
        <v>0</v>
      </c>
      <c r="E957" s="80">
        <v>45725</v>
      </c>
      <c r="F957">
        <v>3010101</v>
      </c>
      <c r="G957">
        <v>25201</v>
      </c>
    </row>
    <row r="958" spans="1:7" x14ac:dyDescent="0.3">
      <c r="A958" s="80">
        <v>45744</v>
      </c>
      <c r="B958">
        <v>1010100</v>
      </c>
      <c r="C958">
        <v>0</v>
      </c>
      <c r="E958" s="80">
        <v>45725</v>
      </c>
      <c r="F958">
        <v>3010101</v>
      </c>
      <c r="G958">
        <v>25201</v>
      </c>
    </row>
    <row r="959" spans="1:7" x14ac:dyDescent="0.3">
      <c r="A959" s="80">
        <v>45744</v>
      </c>
      <c r="B959">
        <v>1010100</v>
      </c>
      <c r="C959">
        <v>0</v>
      </c>
      <c r="E959" s="80">
        <v>45725</v>
      </c>
      <c r="F959">
        <v>3010101</v>
      </c>
      <c r="G959">
        <v>25201</v>
      </c>
    </row>
    <row r="960" spans="1:7" x14ac:dyDescent="0.3">
      <c r="A960" s="80">
        <v>45743</v>
      </c>
      <c r="B960">
        <v>1010100</v>
      </c>
      <c r="C960">
        <v>0</v>
      </c>
      <c r="E960" s="80">
        <v>45725</v>
      </c>
      <c r="F960">
        <v>3010101</v>
      </c>
      <c r="G960">
        <v>25201</v>
      </c>
    </row>
    <row r="961" spans="1:7" x14ac:dyDescent="0.3">
      <c r="A961" s="80">
        <v>45743</v>
      </c>
      <c r="B961">
        <v>1010100</v>
      </c>
      <c r="C961">
        <v>0</v>
      </c>
      <c r="E961" s="80">
        <v>45725</v>
      </c>
      <c r="F961">
        <v>3010101</v>
      </c>
      <c r="G961">
        <v>25201</v>
      </c>
    </row>
    <row r="962" spans="1:7" x14ac:dyDescent="0.3">
      <c r="A962" s="80">
        <v>45743</v>
      </c>
      <c r="B962">
        <v>1010100</v>
      </c>
      <c r="C962">
        <v>0</v>
      </c>
      <c r="E962" s="80">
        <v>45724</v>
      </c>
      <c r="F962">
        <v>3010101</v>
      </c>
      <c r="G962">
        <v>25201</v>
      </c>
    </row>
    <row r="963" spans="1:7" x14ac:dyDescent="0.3">
      <c r="A963" s="80">
        <v>45743</v>
      </c>
      <c r="B963">
        <v>1010100</v>
      </c>
      <c r="C963">
        <v>0</v>
      </c>
      <c r="E963" s="80">
        <v>45724</v>
      </c>
      <c r="F963">
        <v>3010101</v>
      </c>
      <c r="G963">
        <v>25201</v>
      </c>
    </row>
    <row r="964" spans="1:7" x14ac:dyDescent="0.3">
      <c r="A964" s="80">
        <v>45743</v>
      </c>
      <c r="B964">
        <v>1010100</v>
      </c>
      <c r="C964">
        <v>0</v>
      </c>
      <c r="E964" s="80">
        <v>45723</v>
      </c>
      <c r="F964">
        <v>3010101</v>
      </c>
      <c r="G964">
        <v>25201</v>
      </c>
    </row>
    <row r="965" spans="1:7" x14ac:dyDescent="0.3">
      <c r="A965" s="80">
        <v>45743</v>
      </c>
      <c r="B965">
        <v>1010100</v>
      </c>
      <c r="C965">
        <v>0</v>
      </c>
      <c r="E965" s="80">
        <v>45723</v>
      </c>
      <c r="F965">
        <v>3010101</v>
      </c>
      <c r="G965">
        <v>22681</v>
      </c>
    </row>
    <row r="966" spans="1:7" x14ac:dyDescent="0.3">
      <c r="A966" s="80">
        <v>45743</v>
      </c>
      <c r="B966">
        <v>1010100</v>
      </c>
      <c r="C966">
        <v>0</v>
      </c>
      <c r="E966" s="80">
        <v>45723</v>
      </c>
      <c r="F966">
        <v>3010101</v>
      </c>
      <c r="G966">
        <v>25201</v>
      </c>
    </row>
    <row r="967" spans="1:7" x14ac:dyDescent="0.3">
      <c r="A967" s="80">
        <v>45740</v>
      </c>
      <c r="B967">
        <v>1010100</v>
      </c>
      <c r="C967">
        <v>0</v>
      </c>
      <c r="E967" s="80">
        <v>45723</v>
      </c>
      <c r="F967">
        <v>3010101</v>
      </c>
      <c r="G967">
        <v>25201</v>
      </c>
    </row>
    <row r="968" spans="1:7" x14ac:dyDescent="0.3">
      <c r="A968" s="80">
        <v>45740</v>
      </c>
      <c r="B968">
        <v>1010100</v>
      </c>
      <c r="C968">
        <v>0</v>
      </c>
      <c r="E968" s="80">
        <v>45722</v>
      </c>
      <c r="F968">
        <v>3010101</v>
      </c>
      <c r="G968">
        <v>25201</v>
      </c>
    </row>
    <row r="969" spans="1:7" x14ac:dyDescent="0.3">
      <c r="A969" s="80">
        <v>45739</v>
      </c>
      <c r="B969">
        <v>1010100</v>
      </c>
      <c r="C969">
        <v>0</v>
      </c>
      <c r="E969" s="80">
        <v>45722</v>
      </c>
      <c r="F969">
        <v>3010101</v>
      </c>
      <c r="G969">
        <v>25201</v>
      </c>
    </row>
    <row r="970" spans="1:7" x14ac:dyDescent="0.3">
      <c r="A970" s="80">
        <v>45739</v>
      </c>
      <c r="B970">
        <v>1010100</v>
      </c>
      <c r="C970">
        <v>0</v>
      </c>
      <c r="E970" s="80">
        <v>45722</v>
      </c>
      <c r="F970">
        <v>3010101</v>
      </c>
      <c r="G970">
        <v>25201</v>
      </c>
    </row>
    <row r="971" spans="1:7" x14ac:dyDescent="0.3">
      <c r="A971" s="80">
        <v>45739</v>
      </c>
      <c r="B971">
        <v>1010100</v>
      </c>
      <c r="C971">
        <v>0</v>
      </c>
      <c r="E971" s="80">
        <v>45722</v>
      </c>
      <c r="F971">
        <v>3010101</v>
      </c>
      <c r="G971">
        <v>25201</v>
      </c>
    </row>
    <row r="972" spans="1:7" x14ac:dyDescent="0.3">
      <c r="A972" s="80">
        <v>45738</v>
      </c>
      <c r="B972">
        <v>1010100</v>
      </c>
      <c r="C972">
        <v>0</v>
      </c>
      <c r="E972" s="80">
        <v>45721</v>
      </c>
      <c r="F972">
        <v>3010101</v>
      </c>
      <c r="G972">
        <v>25201</v>
      </c>
    </row>
    <row r="973" spans="1:7" x14ac:dyDescent="0.3">
      <c r="A973" s="80">
        <v>45738</v>
      </c>
      <c r="B973">
        <v>1010100</v>
      </c>
      <c r="C973">
        <v>3590</v>
      </c>
      <c r="E973" s="80">
        <v>45721</v>
      </c>
      <c r="F973">
        <v>3010101</v>
      </c>
      <c r="G973">
        <v>25201</v>
      </c>
    </row>
    <row r="974" spans="1:7" x14ac:dyDescent="0.3">
      <c r="A974" s="80">
        <v>45737</v>
      </c>
      <c r="B974">
        <v>1010100</v>
      </c>
      <c r="C974">
        <v>0</v>
      </c>
      <c r="E974" s="80">
        <v>45721</v>
      </c>
      <c r="F974">
        <v>3010101</v>
      </c>
      <c r="G974">
        <v>25201</v>
      </c>
    </row>
    <row r="975" spans="1:7" x14ac:dyDescent="0.3">
      <c r="A975" s="80">
        <v>45737</v>
      </c>
      <c r="B975">
        <v>1010100</v>
      </c>
      <c r="C975">
        <v>0</v>
      </c>
      <c r="E975" s="80">
        <v>45720</v>
      </c>
      <c r="F975">
        <v>3010101</v>
      </c>
      <c r="G975">
        <v>25201</v>
      </c>
    </row>
    <row r="976" spans="1:7" x14ac:dyDescent="0.3">
      <c r="A976" s="80">
        <v>45736</v>
      </c>
      <c r="B976">
        <v>1010100</v>
      </c>
      <c r="C976">
        <v>1990</v>
      </c>
      <c r="E976" s="80">
        <v>45720</v>
      </c>
      <c r="F976">
        <v>3010101</v>
      </c>
      <c r="G976">
        <v>25201</v>
      </c>
    </row>
    <row r="977" spans="1:7" x14ac:dyDescent="0.3">
      <c r="A977" s="80">
        <v>45736</v>
      </c>
      <c r="B977">
        <v>1010100</v>
      </c>
      <c r="C977">
        <v>2190</v>
      </c>
      <c r="E977" s="80">
        <v>45720</v>
      </c>
      <c r="F977">
        <v>3010101</v>
      </c>
      <c r="G977">
        <v>18268</v>
      </c>
    </row>
    <row r="978" spans="1:7" x14ac:dyDescent="0.3">
      <c r="A978" s="80">
        <v>45736</v>
      </c>
      <c r="B978">
        <v>1010100</v>
      </c>
      <c r="C978">
        <v>0</v>
      </c>
      <c r="E978" s="80">
        <v>45720</v>
      </c>
      <c r="F978">
        <v>3010101</v>
      </c>
      <c r="G978">
        <v>25201</v>
      </c>
    </row>
    <row r="979" spans="1:7" x14ac:dyDescent="0.3">
      <c r="A979" s="80">
        <v>45736</v>
      </c>
      <c r="B979">
        <v>1010100</v>
      </c>
      <c r="C979">
        <v>0</v>
      </c>
      <c r="E979" s="80">
        <v>45719</v>
      </c>
      <c r="F979">
        <v>3010101</v>
      </c>
      <c r="G979">
        <v>25201</v>
      </c>
    </row>
    <row r="980" spans="1:7" x14ac:dyDescent="0.3">
      <c r="A980" s="80">
        <v>45736</v>
      </c>
      <c r="B980">
        <v>1010100</v>
      </c>
      <c r="C980">
        <v>0</v>
      </c>
      <c r="E980" s="80">
        <v>45719</v>
      </c>
      <c r="F980">
        <v>3010101</v>
      </c>
      <c r="G980">
        <v>50403</v>
      </c>
    </row>
    <row r="981" spans="1:7" x14ac:dyDescent="0.3">
      <c r="A981" s="80">
        <v>45735</v>
      </c>
      <c r="B981">
        <v>1010100</v>
      </c>
      <c r="C981">
        <v>0</v>
      </c>
      <c r="E981" s="80">
        <v>45719</v>
      </c>
      <c r="F981">
        <v>3010101</v>
      </c>
      <c r="G981">
        <v>25201</v>
      </c>
    </row>
    <row r="982" spans="1:7" x14ac:dyDescent="0.3">
      <c r="A982" s="80">
        <v>45735</v>
      </c>
      <c r="B982">
        <v>1010100</v>
      </c>
      <c r="C982">
        <v>0</v>
      </c>
      <c r="E982" s="80">
        <v>45719</v>
      </c>
      <c r="F982">
        <v>3010101</v>
      </c>
      <c r="G982">
        <v>25201</v>
      </c>
    </row>
    <row r="983" spans="1:7" x14ac:dyDescent="0.3">
      <c r="A983" s="80">
        <v>45735</v>
      </c>
      <c r="B983">
        <v>1010100</v>
      </c>
      <c r="C983">
        <v>0</v>
      </c>
      <c r="E983" s="80">
        <v>45718</v>
      </c>
      <c r="F983">
        <v>3010101</v>
      </c>
      <c r="G983">
        <v>25201</v>
      </c>
    </row>
    <row r="984" spans="1:7" x14ac:dyDescent="0.3">
      <c r="A984" s="80">
        <v>45734</v>
      </c>
      <c r="B984">
        <v>1010100</v>
      </c>
      <c r="C984">
        <v>2490</v>
      </c>
      <c r="E984" s="80">
        <v>45718</v>
      </c>
      <c r="F984">
        <v>3010101</v>
      </c>
      <c r="G984">
        <v>25201</v>
      </c>
    </row>
    <row r="985" spans="1:7" x14ac:dyDescent="0.3">
      <c r="A985" s="80">
        <v>45734</v>
      </c>
      <c r="B985">
        <v>1010100</v>
      </c>
      <c r="C985">
        <v>1990</v>
      </c>
      <c r="E985" s="80">
        <v>45718</v>
      </c>
      <c r="F985">
        <v>3010101</v>
      </c>
      <c r="G985">
        <v>25201</v>
      </c>
    </row>
    <row r="986" spans="1:7" x14ac:dyDescent="0.3">
      <c r="A986" s="80">
        <v>45734</v>
      </c>
      <c r="B986">
        <v>1010100</v>
      </c>
      <c r="C986">
        <v>0</v>
      </c>
      <c r="E986" s="80">
        <v>45718</v>
      </c>
      <c r="F986">
        <v>3010101</v>
      </c>
      <c r="G986">
        <v>18268</v>
      </c>
    </row>
    <row r="987" spans="1:7" x14ac:dyDescent="0.3">
      <c r="A987" s="80">
        <v>45734</v>
      </c>
      <c r="B987">
        <v>1010100</v>
      </c>
      <c r="C987">
        <v>0</v>
      </c>
      <c r="E987" s="80">
        <v>45718</v>
      </c>
      <c r="F987">
        <v>3010101</v>
      </c>
      <c r="G987">
        <v>25201</v>
      </c>
    </row>
    <row r="988" spans="1:7" x14ac:dyDescent="0.3">
      <c r="A988" s="80">
        <v>45734</v>
      </c>
      <c r="B988">
        <v>1010100</v>
      </c>
      <c r="C988">
        <v>0</v>
      </c>
      <c r="E988" s="80">
        <v>45718</v>
      </c>
      <c r="F988">
        <v>3010101</v>
      </c>
      <c r="G988">
        <v>25201</v>
      </c>
    </row>
    <row r="989" spans="1:7" x14ac:dyDescent="0.3">
      <c r="A989" s="80">
        <v>45733</v>
      </c>
      <c r="B989">
        <v>1010100</v>
      </c>
      <c r="C989">
        <v>0</v>
      </c>
      <c r="E989" s="80">
        <v>45718</v>
      </c>
      <c r="F989">
        <v>3010101</v>
      </c>
      <c r="G989">
        <v>18268</v>
      </c>
    </row>
    <row r="990" spans="1:7" x14ac:dyDescent="0.3">
      <c r="A990" s="80">
        <v>45733</v>
      </c>
      <c r="B990">
        <v>1010100</v>
      </c>
      <c r="C990">
        <v>3590</v>
      </c>
      <c r="E990" s="80">
        <v>45718</v>
      </c>
      <c r="F990">
        <v>3010101</v>
      </c>
      <c r="G990">
        <v>25201</v>
      </c>
    </row>
    <row r="991" spans="1:7" x14ac:dyDescent="0.3">
      <c r="A991" s="80">
        <v>45733</v>
      </c>
      <c r="B991">
        <v>1010100</v>
      </c>
      <c r="C991">
        <v>2490</v>
      </c>
      <c r="E991" s="80">
        <v>45718</v>
      </c>
      <c r="F991">
        <v>3010101</v>
      </c>
      <c r="G991">
        <v>7555</v>
      </c>
    </row>
    <row r="992" spans="1:7" x14ac:dyDescent="0.3">
      <c r="A992" s="80">
        <v>45733</v>
      </c>
      <c r="B992">
        <v>1010100</v>
      </c>
      <c r="C992">
        <v>2490</v>
      </c>
      <c r="E992" s="80">
        <v>45718</v>
      </c>
      <c r="F992">
        <v>3010101</v>
      </c>
      <c r="G992">
        <v>22681</v>
      </c>
    </row>
    <row r="993" spans="1:7" x14ac:dyDescent="0.3">
      <c r="A993" s="80">
        <v>45733</v>
      </c>
      <c r="B993">
        <v>1010100</v>
      </c>
      <c r="C993">
        <v>1990</v>
      </c>
      <c r="E993" s="80">
        <v>45717</v>
      </c>
      <c r="F993">
        <v>3010101</v>
      </c>
      <c r="G993">
        <v>25201</v>
      </c>
    </row>
    <row r="994" spans="1:7" x14ac:dyDescent="0.3">
      <c r="A994" s="80">
        <v>45733</v>
      </c>
      <c r="B994">
        <v>1010100</v>
      </c>
      <c r="C994">
        <v>0</v>
      </c>
      <c r="E994" s="80">
        <v>45717</v>
      </c>
      <c r="F994">
        <v>3010101</v>
      </c>
      <c r="G994">
        <v>25201</v>
      </c>
    </row>
    <row r="995" spans="1:7" x14ac:dyDescent="0.3">
      <c r="A995" s="80">
        <v>45733</v>
      </c>
      <c r="B995">
        <v>1010100</v>
      </c>
      <c r="C995">
        <v>0</v>
      </c>
      <c r="E995" s="80">
        <v>45717</v>
      </c>
      <c r="F995">
        <v>3010101</v>
      </c>
      <c r="G995">
        <v>25201</v>
      </c>
    </row>
    <row r="996" spans="1:7" x14ac:dyDescent="0.3">
      <c r="A996" s="80">
        <v>45733</v>
      </c>
      <c r="B996">
        <v>1010100</v>
      </c>
      <c r="C996">
        <v>0</v>
      </c>
      <c r="E996" s="80">
        <v>45717</v>
      </c>
      <c r="F996">
        <v>3010101</v>
      </c>
      <c r="G996">
        <v>25201</v>
      </c>
    </row>
    <row r="997" spans="1:7" x14ac:dyDescent="0.3">
      <c r="A997" s="80">
        <v>45732</v>
      </c>
      <c r="B997">
        <v>1010100</v>
      </c>
      <c r="C997">
        <v>1990</v>
      </c>
      <c r="E997" s="80">
        <v>45717</v>
      </c>
      <c r="F997">
        <v>3010101</v>
      </c>
      <c r="G997">
        <v>25201</v>
      </c>
    </row>
    <row r="998" spans="1:7" x14ac:dyDescent="0.3">
      <c r="A998" s="80">
        <v>45732</v>
      </c>
      <c r="B998">
        <v>1010100</v>
      </c>
      <c r="C998">
        <v>1990</v>
      </c>
      <c r="E998" s="80">
        <v>45717</v>
      </c>
      <c r="F998">
        <v>3010101</v>
      </c>
      <c r="G998">
        <v>25201</v>
      </c>
    </row>
    <row r="999" spans="1:7" x14ac:dyDescent="0.3">
      <c r="A999" s="80">
        <v>45731</v>
      </c>
      <c r="B999">
        <v>1010100</v>
      </c>
      <c r="C999">
        <v>0</v>
      </c>
      <c r="E999" s="80">
        <v>45717</v>
      </c>
      <c r="F999">
        <v>3010101</v>
      </c>
      <c r="G999">
        <v>25201</v>
      </c>
    </row>
    <row r="1000" spans="1:7" x14ac:dyDescent="0.3">
      <c r="A1000" s="80">
        <v>45731</v>
      </c>
      <c r="B1000">
        <v>1010100</v>
      </c>
      <c r="C1000">
        <v>0</v>
      </c>
      <c r="E1000" s="80">
        <v>45717</v>
      </c>
      <c r="F1000">
        <v>3010101</v>
      </c>
      <c r="G1000">
        <v>25201</v>
      </c>
    </row>
    <row r="1001" spans="1:7" x14ac:dyDescent="0.3">
      <c r="A1001" s="80">
        <v>45731</v>
      </c>
      <c r="B1001">
        <v>1010100</v>
      </c>
      <c r="C1001">
        <v>0</v>
      </c>
      <c r="E1001" s="80">
        <v>45716</v>
      </c>
      <c r="F1001">
        <v>3010101</v>
      </c>
      <c r="G1001">
        <v>25201</v>
      </c>
    </row>
    <row r="1002" spans="1:7" x14ac:dyDescent="0.3">
      <c r="A1002" s="80">
        <v>45730</v>
      </c>
      <c r="B1002">
        <v>1010100</v>
      </c>
      <c r="C1002">
        <v>0</v>
      </c>
      <c r="E1002" s="80">
        <v>45716</v>
      </c>
      <c r="F1002">
        <v>3010101</v>
      </c>
      <c r="G1002">
        <v>25201</v>
      </c>
    </row>
    <row r="1003" spans="1:7" x14ac:dyDescent="0.3">
      <c r="A1003" s="80">
        <v>45730</v>
      </c>
      <c r="B1003">
        <v>1010100</v>
      </c>
      <c r="C1003">
        <v>0</v>
      </c>
      <c r="E1003" s="80">
        <v>45716</v>
      </c>
      <c r="F1003">
        <v>3010101</v>
      </c>
      <c r="G1003">
        <v>18268</v>
      </c>
    </row>
    <row r="1004" spans="1:7" x14ac:dyDescent="0.3">
      <c r="A1004" s="80">
        <v>45730</v>
      </c>
      <c r="B1004">
        <v>1010100</v>
      </c>
      <c r="C1004">
        <v>0</v>
      </c>
      <c r="E1004" s="80">
        <v>45716</v>
      </c>
      <c r="F1004">
        <v>3010101</v>
      </c>
      <c r="G1004">
        <v>25201</v>
      </c>
    </row>
    <row r="1005" spans="1:7" x14ac:dyDescent="0.3">
      <c r="A1005" s="80">
        <v>45729</v>
      </c>
      <c r="B1005">
        <v>1010100</v>
      </c>
      <c r="C1005">
        <v>2190</v>
      </c>
      <c r="E1005" s="80">
        <v>45716</v>
      </c>
      <c r="F1005">
        <v>3010101</v>
      </c>
      <c r="G1005">
        <v>25201</v>
      </c>
    </row>
    <row r="1006" spans="1:7" x14ac:dyDescent="0.3">
      <c r="A1006" s="80">
        <v>45728</v>
      </c>
      <c r="B1006">
        <v>1010100</v>
      </c>
      <c r="C1006">
        <v>1990</v>
      </c>
      <c r="E1006" s="80">
        <v>45716</v>
      </c>
      <c r="F1006">
        <v>3010101</v>
      </c>
      <c r="G1006">
        <v>8394</v>
      </c>
    </row>
    <row r="1007" spans="1:7" x14ac:dyDescent="0.3">
      <c r="A1007" s="80">
        <v>45728</v>
      </c>
      <c r="B1007">
        <v>1010100</v>
      </c>
      <c r="C1007">
        <v>1990</v>
      </c>
      <c r="E1007" s="80">
        <v>45716</v>
      </c>
      <c r="F1007">
        <v>3010101</v>
      </c>
      <c r="G1007">
        <v>25201</v>
      </c>
    </row>
    <row r="1008" spans="1:7" x14ac:dyDescent="0.3">
      <c r="A1008" s="80">
        <v>45727</v>
      </c>
      <c r="B1008">
        <v>1010100</v>
      </c>
      <c r="C1008">
        <v>2790</v>
      </c>
      <c r="E1008" s="80">
        <v>45716</v>
      </c>
      <c r="F1008">
        <v>3010101</v>
      </c>
      <c r="G1008">
        <v>25201</v>
      </c>
    </row>
    <row r="1009" spans="1:7" x14ac:dyDescent="0.3">
      <c r="A1009" s="80">
        <v>45727</v>
      </c>
      <c r="B1009">
        <v>1010100</v>
      </c>
      <c r="C1009">
        <v>1990</v>
      </c>
      <c r="E1009" s="80">
        <v>45715</v>
      </c>
      <c r="F1009">
        <v>3010101</v>
      </c>
      <c r="G1009">
        <v>18268</v>
      </c>
    </row>
    <row r="1010" spans="1:7" x14ac:dyDescent="0.3">
      <c r="A1010" s="80">
        <v>45727</v>
      </c>
      <c r="B1010">
        <v>1010100</v>
      </c>
      <c r="C1010">
        <v>4567</v>
      </c>
      <c r="E1010" s="80">
        <v>45715</v>
      </c>
      <c r="F1010">
        <v>3010101</v>
      </c>
      <c r="G1010">
        <v>25201</v>
      </c>
    </row>
    <row r="1011" spans="1:7" x14ac:dyDescent="0.3">
      <c r="A1011" s="80">
        <v>45727</v>
      </c>
      <c r="B1011">
        <v>1010100</v>
      </c>
      <c r="C1011">
        <v>1990</v>
      </c>
      <c r="E1011" s="80">
        <v>45715</v>
      </c>
      <c r="F1011">
        <v>3010101</v>
      </c>
      <c r="G1011">
        <v>25201</v>
      </c>
    </row>
    <row r="1012" spans="1:7" x14ac:dyDescent="0.3">
      <c r="A1012" s="80">
        <v>45727</v>
      </c>
      <c r="B1012">
        <v>1010100</v>
      </c>
      <c r="C1012">
        <v>0</v>
      </c>
      <c r="E1012" s="80">
        <v>45715</v>
      </c>
      <c r="F1012">
        <v>3010101</v>
      </c>
      <c r="G1012">
        <v>25201</v>
      </c>
    </row>
    <row r="1013" spans="1:7" x14ac:dyDescent="0.3">
      <c r="A1013" s="80">
        <v>45726</v>
      </c>
      <c r="B1013">
        <v>1010100</v>
      </c>
      <c r="C1013">
        <v>1990</v>
      </c>
      <c r="E1013" s="80">
        <v>45714</v>
      </c>
      <c r="F1013">
        <v>3010101</v>
      </c>
      <c r="G1013">
        <v>25201</v>
      </c>
    </row>
    <row r="1014" spans="1:7" x14ac:dyDescent="0.3">
      <c r="A1014" s="80">
        <v>45726</v>
      </c>
      <c r="B1014">
        <v>1010100</v>
      </c>
      <c r="C1014">
        <v>0</v>
      </c>
      <c r="E1014" s="80">
        <v>45714</v>
      </c>
      <c r="F1014">
        <v>3010101</v>
      </c>
      <c r="G1014">
        <v>8394</v>
      </c>
    </row>
    <row r="1015" spans="1:7" x14ac:dyDescent="0.3">
      <c r="A1015" s="80">
        <v>45726</v>
      </c>
      <c r="B1015">
        <v>1010100</v>
      </c>
      <c r="C1015">
        <v>1990</v>
      </c>
      <c r="E1015" s="80">
        <v>45714</v>
      </c>
      <c r="F1015">
        <v>3010101</v>
      </c>
      <c r="G1015">
        <v>25201</v>
      </c>
    </row>
    <row r="1016" spans="1:7" x14ac:dyDescent="0.3">
      <c r="A1016" s="80">
        <v>45726</v>
      </c>
      <c r="B1016">
        <v>1010100</v>
      </c>
      <c r="C1016">
        <v>2390</v>
      </c>
      <c r="E1016" s="80">
        <v>45714</v>
      </c>
      <c r="F1016">
        <v>3010101</v>
      </c>
      <c r="G1016">
        <v>25201</v>
      </c>
    </row>
    <row r="1017" spans="1:7" x14ac:dyDescent="0.3">
      <c r="A1017" s="80">
        <v>45726</v>
      </c>
      <c r="B1017">
        <v>1010100</v>
      </c>
      <c r="C1017">
        <v>0</v>
      </c>
      <c r="E1017" s="80">
        <v>45713</v>
      </c>
      <c r="F1017">
        <v>3010101</v>
      </c>
      <c r="G1017">
        <v>25201</v>
      </c>
    </row>
    <row r="1018" spans="1:7" x14ac:dyDescent="0.3">
      <c r="A1018" s="80">
        <v>45725</v>
      </c>
      <c r="B1018">
        <v>1010100</v>
      </c>
      <c r="C1018">
        <v>0</v>
      </c>
      <c r="E1018" s="80">
        <v>45713</v>
      </c>
      <c r="F1018">
        <v>3010101</v>
      </c>
      <c r="G1018">
        <v>25201</v>
      </c>
    </row>
    <row r="1019" spans="1:7" x14ac:dyDescent="0.3">
      <c r="A1019" s="80">
        <v>45725</v>
      </c>
      <c r="B1019">
        <v>1010100</v>
      </c>
      <c r="C1019">
        <v>0</v>
      </c>
      <c r="E1019" s="80">
        <v>45713</v>
      </c>
      <c r="F1019">
        <v>3010101</v>
      </c>
      <c r="G1019">
        <v>25201</v>
      </c>
    </row>
    <row r="1020" spans="1:7" x14ac:dyDescent="0.3">
      <c r="A1020" s="80">
        <v>45725</v>
      </c>
      <c r="B1020">
        <v>1010100</v>
      </c>
      <c r="C1020">
        <v>0</v>
      </c>
      <c r="E1020" s="80">
        <v>45713</v>
      </c>
      <c r="F1020">
        <v>3010101</v>
      </c>
      <c r="G1020">
        <v>25201</v>
      </c>
    </row>
    <row r="1021" spans="1:7" x14ac:dyDescent="0.3">
      <c r="A1021" s="80">
        <v>45725</v>
      </c>
      <c r="B1021">
        <v>1010100</v>
      </c>
      <c r="C1021">
        <v>0</v>
      </c>
      <c r="E1021" s="80">
        <v>45712</v>
      </c>
      <c r="F1021">
        <v>3010101</v>
      </c>
      <c r="G1021">
        <v>25201</v>
      </c>
    </row>
    <row r="1022" spans="1:7" x14ac:dyDescent="0.3">
      <c r="A1022" s="80">
        <v>45725</v>
      </c>
      <c r="B1022">
        <v>1010100</v>
      </c>
      <c r="C1022">
        <v>0</v>
      </c>
      <c r="E1022" s="80">
        <v>45712</v>
      </c>
      <c r="F1022">
        <v>3010101</v>
      </c>
      <c r="G1022">
        <v>25201</v>
      </c>
    </row>
    <row r="1023" spans="1:7" x14ac:dyDescent="0.3">
      <c r="A1023" s="80">
        <v>45725</v>
      </c>
      <c r="B1023">
        <v>1010100</v>
      </c>
      <c r="C1023">
        <v>0</v>
      </c>
      <c r="E1023" s="80">
        <v>45712</v>
      </c>
      <c r="F1023">
        <v>3010101</v>
      </c>
      <c r="G1023">
        <v>22681</v>
      </c>
    </row>
    <row r="1024" spans="1:7" x14ac:dyDescent="0.3">
      <c r="A1024" s="80">
        <v>45725</v>
      </c>
      <c r="B1024">
        <v>1010100</v>
      </c>
      <c r="C1024">
        <v>0</v>
      </c>
      <c r="E1024" s="80">
        <v>45712</v>
      </c>
      <c r="F1024">
        <v>3010101</v>
      </c>
      <c r="G1024">
        <v>18478</v>
      </c>
    </row>
    <row r="1025" spans="1:7" x14ac:dyDescent="0.3">
      <c r="A1025" s="80">
        <v>45725</v>
      </c>
      <c r="B1025">
        <v>1010100</v>
      </c>
      <c r="C1025">
        <v>0</v>
      </c>
      <c r="E1025" s="80">
        <v>45712</v>
      </c>
      <c r="F1025">
        <v>3010101</v>
      </c>
      <c r="G1025">
        <v>25201</v>
      </c>
    </row>
    <row r="1026" spans="1:7" x14ac:dyDescent="0.3">
      <c r="A1026" s="80">
        <v>45725</v>
      </c>
      <c r="B1026">
        <v>1010100</v>
      </c>
      <c r="C1026">
        <v>1990</v>
      </c>
      <c r="E1026" s="80">
        <v>45711</v>
      </c>
      <c r="F1026">
        <v>3010101</v>
      </c>
      <c r="G1026">
        <v>25201</v>
      </c>
    </row>
    <row r="1027" spans="1:7" x14ac:dyDescent="0.3">
      <c r="A1027" s="80">
        <v>45725</v>
      </c>
      <c r="B1027">
        <v>1010100</v>
      </c>
      <c r="C1027">
        <v>0</v>
      </c>
      <c r="E1027" s="80">
        <v>45711</v>
      </c>
      <c r="F1027">
        <v>3010101</v>
      </c>
      <c r="G1027">
        <v>25201</v>
      </c>
    </row>
    <row r="1028" spans="1:7" x14ac:dyDescent="0.3">
      <c r="A1028" s="80">
        <v>45724</v>
      </c>
      <c r="B1028">
        <v>1010100</v>
      </c>
      <c r="C1028">
        <v>0</v>
      </c>
      <c r="E1028" s="80">
        <v>45710</v>
      </c>
      <c r="F1028">
        <v>3010101</v>
      </c>
      <c r="G1028">
        <v>25201</v>
      </c>
    </row>
    <row r="1029" spans="1:7" x14ac:dyDescent="0.3">
      <c r="A1029" s="80">
        <v>45724</v>
      </c>
      <c r="B1029">
        <v>1010100</v>
      </c>
      <c r="C1029">
        <v>4490</v>
      </c>
      <c r="E1029" s="80">
        <v>45710</v>
      </c>
      <c r="F1029">
        <v>3010101</v>
      </c>
      <c r="G1029">
        <v>25201</v>
      </c>
    </row>
    <row r="1030" spans="1:7" x14ac:dyDescent="0.3">
      <c r="A1030" s="80">
        <v>45723</v>
      </c>
      <c r="B1030">
        <v>1010100</v>
      </c>
      <c r="C1030">
        <v>0</v>
      </c>
      <c r="E1030" s="80">
        <v>45710</v>
      </c>
      <c r="F1030">
        <v>3010101</v>
      </c>
      <c r="G1030">
        <v>25201</v>
      </c>
    </row>
    <row r="1031" spans="1:7" x14ac:dyDescent="0.3">
      <c r="A1031" s="80">
        <v>45723</v>
      </c>
      <c r="B1031">
        <v>1010100</v>
      </c>
      <c r="C1031">
        <v>3990</v>
      </c>
      <c r="E1031" s="80">
        <v>45710</v>
      </c>
      <c r="F1031">
        <v>3010101</v>
      </c>
      <c r="G1031">
        <v>25201</v>
      </c>
    </row>
    <row r="1032" spans="1:7" x14ac:dyDescent="0.3">
      <c r="A1032" s="80">
        <v>45723</v>
      </c>
      <c r="B1032">
        <v>1010100</v>
      </c>
      <c r="C1032">
        <v>0</v>
      </c>
      <c r="E1032" s="80">
        <v>45710</v>
      </c>
      <c r="F1032">
        <v>3010101</v>
      </c>
      <c r="G1032">
        <v>25201</v>
      </c>
    </row>
    <row r="1033" spans="1:7" x14ac:dyDescent="0.3">
      <c r="A1033" s="80">
        <v>45723</v>
      </c>
      <c r="B1033">
        <v>1010100</v>
      </c>
      <c r="C1033">
        <v>0</v>
      </c>
      <c r="E1033" s="80">
        <v>45710</v>
      </c>
      <c r="F1033">
        <v>3010101</v>
      </c>
      <c r="G1033">
        <v>25201</v>
      </c>
    </row>
    <row r="1034" spans="1:7" x14ac:dyDescent="0.3">
      <c r="A1034" s="80">
        <v>45722</v>
      </c>
      <c r="B1034">
        <v>1010100</v>
      </c>
      <c r="C1034">
        <v>6190</v>
      </c>
      <c r="E1034" s="80">
        <v>45710</v>
      </c>
      <c r="F1034">
        <v>3010101</v>
      </c>
      <c r="G1034">
        <v>25201</v>
      </c>
    </row>
    <row r="1035" spans="1:7" x14ac:dyDescent="0.3">
      <c r="A1035" s="80">
        <v>45722</v>
      </c>
      <c r="B1035">
        <v>1010100</v>
      </c>
      <c r="C1035">
        <v>0</v>
      </c>
      <c r="E1035" s="80">
        <v>45710</v>
      </c>
      <c r="F1035">
        <v>3010101</v>
      </c>
      <c r="G1035">
        <v>25201</v>
      </c>
    </row>
    <row r="1036" spans="1:7" x14ac:dyDescent="0.3">
      <c r="A1036" s="80">
        <v>45722</v>
      </c>
      <c r="B1036">
        <v>1010100</v>
      </c>
      <c r="C1036">
        <v>0</v>
      </c>
      <c r="E1036" s="80">
        <v>45710</v>
      </c>
      <c r="F1036">
        <v>3010101</v>
      </c>
      <c r="G1036">
        <v>22681</v>
      </c>
    </row>
    <row r="1037" spans="1:7" x14ac:dyDescent="0.3">
      <c r="A1037" s="80">
        <v>45722</v>
      </c>
      <c r="B1037">
        <v>1010100</v>
      </c>
      <c r="C1037">
        <v>0</v>
      </c>
      <c r="E1037" s="80">
        <v>45710</v>
      </c>
      <c r="F1037">
        <v>3010101</v>
      </c>
      <c r="G1037">
        <v>25201</v>
      </c>
    </row>
    <row r="1038" spans="1:7" x14ac:dyDescent="0.3">
      <c r="A1038" s="80">
        <v>45721</v>
      </c>
      <c r="B1038">
        <v>1010100</v>
      </c>
      <c r="C1038">
        <v>6890</v>
      </c>
      <c r="E1038" s="80">
        <v>45709</v>
      </c>
      <c r="F1038">
        <v>3010101</v>
      </c>
      <c r="G1038">
        <v>25201</v>
      </c>
    </row>
    <row r="1039" spans="1:7" x14ac:dyDescent="0.3">
      <c r="A1039" s="80">
        <v>45721</v>
      </c>
      <c r="B1039">
        <v>1010100</v>
      </c>
      <c r="C1039">
        <v>1990</v>
      </c>
      <c r="E1039" s="80">
        <v>45709</v>
      </c>
      <c r="F1039">
        <v>3010101</v>
      </c>
      <c r="G1039">
        <v>25201</v>
      </c>
    </row>
    <row r="1040" spans="1:7" x14ac:dyDescent="0.3">
      <c r="A1040" s="80">
        <v>45721</v>
      </c>
      <c r="B1040">
        <v>1010100</v>
      </c>
      <c r="C1040">
        <v>1990</v>
      </c>
      <c r="E1040" s="80">
        <v>45709</v>
      </c>
      <c r="F1040">
        <v>3010101</v>
      </c>
      <c r="G1040">
        <v>8394</v>
      </c>
    </row>
    <row r="1041" spans="1:7" x14ac:dyDescent="0.3">
      <c r="A1041" s="80">
        <v>45720</v>
      </c>
      <c r="B1041">
        <v>1010100</v>
      </c>
      <c r="C1041">
        <v>1990</v>
      </c>
      <c r="E1041" s="80">
        <v>45709</v>
      </c>
      <c r="F1041">
        <v>3010101</v>
      </c>
      <c r="G1041">
        <v>25201</v>
      </c>
    </row>
    <row r="1042" spans="1:7" x14ac:dyDescent="0.3">
      <c r="A1042" s="80">
        <v>45720</v>
      </c>
      <c r="B1042">
        <v>1010100</v>
      </c>
      <c r="C1042">
        <v>1990</v>
      </c>
      <c r="E1042" s="80">
        <v>45709</v>
      </c>
      <c r="F1042">
        <v>3010101</v>
      </c>
      <c r="G1042">
        <v>25201</v>
      </c>
    </row>
    <row r="1043" spans="1:7" x14ac:dyDescent="0.3">
      <c r="A1043" s="80">
        <v>45720</v>
      </c>
      <c r="B1043">
        <v>1010100</v>
      </c>
      <c r="C1043">
        <v>1990</v>
      </c>
      <c r="E1043" s="80">
        <v>45709</v>
      </c>
      <c r="F1043">
        <v>3010101</v>
      </c>
      <c r="G1043">
        <v>25201</v>
      </c>
    </row>
    <row r="1044" spans="1:7" x14ac:dyDescent="0.3">
      <c r="A1044" s="80">
        <v>45720</v>
      </c>
      <c r="B1044">
        <v>1010100</v>
      </c>
      <c r="C1044">
        <v>2740</v>
      </c>
      <c r="E1044" s="80">
        <v>45709</v>
      </c>
      <c r="F1044">
        <v>3010101</v>
      </c>
      <c r="G1044">
        <v>25201</v>
      </c>
    </row>
    <row r="1045" spans="1:7" x14ac:dyDescent="0.3">
      <c r="A1045" s="80">
        <v>45719</v>
      </c>
      <c r="B1045">
        <v>1010100</v>
      </c>
      <c r="C1045">
        <v>2740</v>
      </c>
      <c r="E1045" s="80">
        <v>45709</v>
      </c>
      <c r="F1045">
        <v>3010101</v>
      </c>
      <c r="G1045">
        <v>25201</v>
      </c>
    </row>
    <row r="1046" spans="1:7" x14ac:dyDescent="0.3">
      <c r="A1046" s="80">
        <v>45719</v>
      </c>
      <c r="B1046">
        <v>1010100</v>
      </c>
      <c r="C1046">
        <v>0</v>
      </c>
      <c r="E1046" s="80">
        <v>45709</v>
      </c>
      <c r="F1046">
        <v>3010101</v>
      </c>
      <c r="G1046">
        <v>25201</v>
      </c>
    </row>
    <row r="1047" spans="1:7" x14ac:dyDescent="0.3">
      <c r="A1047" s="80">
        <v>45719</v>
      </c>
      <c r="B1047">
        <v>1010100</v>
      </c>
      <c r="C1047">
        <v>4740</v>
      </c>
      <c r="E1047" s="80">
        <v>45709</v>
      </c>
      <c r="F1047">
        <v>3010101</v>
      </c>
      <c r="G1047">
        <v>25201</v>
      </c>
    </row>
    <row r="1048" spans="1:7" x14ac:dyDescent="0.3">
      <c r="A1048" s="80">
        <v>45719</v>
      </c>
      <c r="B1048">
        <v>1010100</v>
      </c>
      <c r="C1048">
        <v>3990</v>
      </c>
      <c r="E1048" s="80">
        <v>45709</v>
      </c>
      <c r="F1048">
        <v>3010101</v>
      </c>
      <c r="G1048">
        <v>25201</v>
      </c>
    </row>
    <row r="1049" spans="1:7" x14ac:dyDescent="0.3">
      <c r="A1049" s="80">
        <v>45718</v>
      </c>
      <c r="B1049">
        <v>1010100</v>
      </c>
      <c r="C1049">
        <v>4340</v>
      </c>
      <c r="E1049" s="80">
        <v>45709</v>
      </c>
      <c r="F1049">
        <v>3010101</v>
      </c>
      <c r="G1049">
        <v>25201</v>
      </c>
    </row>
    <row r="1050" spans="1:7" x14ac:dyDescent="0.3">
      <c r="A1050" s="80">
        <v>45718</v>
      </c>
      <c r="B1050">
        <v>1010100</v>
      </c>
      <c r="C1050">
        <v>2740</v>
      </c>
      <c r="E1050" s="80">
        <v>45708</v>
      </c>
      <c r="F1050">
        <v>3010101</v>
      </c>
      <c r="G1050">
        <v>25201</v>
      </c>
    </row>
    <row r="1051" spans="1:7" x14ac:dyDescent="0.3">
      <c r="A1051" s="80">
        <v>45718</v>
      </c>
      <c r="B1051">
        <v>1010100</v>
      </c>
      <c r="C1051">
        <v>2740</v>
      </c>
      <c r="E1051" s="80">
        <v>45708</v>
      </c>
      <c r="F1051">
        <v>3010101</v>
      </c>
      <c r="G1051">
        <v>25201</v>
      </c>
    </row>
    <row r="1052" spans="1:7" x14ac:dyDescent="0.3">
      <c r="A1052" s="80">
        <v>45718</v>
      </c>
      <c r="B1052">
        <v>1010100</v>
      </c>
      <c r="C1052">
        <v>2740</v>
      </c>
      <c r="E1052" s="80">
        <v>45708</v>
      </c>
      <c r="F1052">
        <v>3010101</v>
      </c>
      <c r="G1052">
        <v>25201</v>
      </c>
    </row>
    <row r="1053" spans="1:7" x14ac:dyDescent="0.3">
      <c r="A1053" s="80">
        <v>45718</v>
      </c>
      <c r="B1053">
        <v>1010100</v>
      </c>
      <c r="C1053">
        <v>0</v>
      </c>
      <c r="E1053" s="80">
        <v>45708</v>
      </c>
      <c r="F1053">
        <v>3010101</v>
      </c>
      <c r="G1053">
        <v>18478</v>
      </c>
    </row>
    <row r="1054" spans="1:7" x14ac:dyDescent="0.3">
      <c r="A1054" s="80">
        <v>45718</v>
      </c>
      <c r="B1054">
        <v>1010100</v>
      </c>
      <c r="C1054">
        <v>0</v>
      </c>
      <c r="E1054" s="80">
        <v>45708</v>
      </c>
      <c r="F1054">
        <v>3010101</v>
      </c>
      <c r="G1054">
        <v>25201</v>
      </c>
    </row>
    <row r="1055" spans="1:7" x14ac:dyDescent="0.3">
      <c r="A1055" s="80">
        <v>45718</v>
      </c>
      <c r="B1055">
        <v>1010100</v>
      </c>
      <c r="C1055">
        <v>2740</v>
      </c>
      <c r="E1055" s="80">
        <v>45708</v>
      </c>
      <c r="F1055">
        <v>3010101</v>
      </c>
      <c r="G1055">
        <v>21000</v>
      </c>
    </row>
    <row r="1056" spans="1:7" x14ac:dyDescent="0.3">
      <c r="A1056" s="80">
        <v>45718</v>
      </c>
      <c r="B1056">
        <v>1010100</v>
      </c>
      <c r="C1056">
        <v>2740</v>
      </c>
      <c r="E1056" s="80">
        <v>45708</v>
      </c>
      <c r="F1056">
        <v>3010101</v>
      </c>
      <c r="G1056">
        <v>25201</v>
      </c>
    </row>
    <row r="1057" spans="1:7" x14ac:dyDescent="0.3">
      <c r="A1057" s="80">
        <v>45718</v>
      </c>
      <c r="B1057">
        <v>1010100</v>
      </c>
      <c r="C1057">
        <v>0</v>
      </c>
      <c r="E1057" s="80">
        <v>45707</v>
      </c>
      <c r="F1057">
        <v>3010101</v>
      </c>
      <c r="G1057">
        <v>18478</v>
      </c>
    </row>
    <row r="1058" spans="1:7" x14ac:dyDescent="0.3">
      <c r="A1058" s="80">
        <v>45718</v>
      </c>
      <c r="B1058">
        <v>1010100</v>
      </c>
      <c r="C1058">
        <v>0</v>
      </c>
      <c r="E1058" s="80">
        <v>45705</v>
      </c>
      <c r="F1058">
        <v>3010101</v>
      </c>
      <c r="G1058">
        <v>18478</v>
      </c>
    </row>
    <row r="1059" spans="1:7" x14ac:dyDescent="0.3">
      <c r="A1059" s="80">
        <v>45717</v>
      </c>
      <c r="B1059">
        <v>1010100</v>
      </c>
      <c r="C1059">
        <v>0</v>
      </c>
      <c r="E1059" s="80">
        <v>45705</v>
      </c>
      <c r="F1059">
        <v>3010101</v>
      </c>
      <c r="G1059">
        <v>25201</v>
      </c>
    </row>
    <row r="1060" spans="1:7" x14ac:dyDescent="0.3">
      <c r="A1060" s="80">
        <v>45717</v>
      </c>
      <c r="B1060">
        <v>1010100</v>
      </c>
      <c r="C1060">
        <v>5490</v>
      </c>
      <c r="E1060" s="80">
        <v>45705</v>
      </c>
      <c r="F1060">
        <v>3010101</v>
      </c>
      <c r="G1060">
        <v>18478</v>
      </c>
    </row>
    <row r="1061" spans="1:7" x14ac:dyDescent="0.3">
      <c r="A1061" s="80">
        <v>45717</v>
      </c>
      <c r="B1061">
        <v>1010100</v>
      </c>
      <c r="C1061">
        <v>0</v>
      </c>
      <c r="E1061" s="80">
        <v>45704</v>
      </c>
      <c r="F1061">
        <v>3010101</v>
      </c>
      <c r="G1061">
        <v>18478</v>
      </c>
    </row>
    <row r="1062" spans="1:7" x14ac:dyDescent="0.3">
      <c r="A1062" s="80">
        <v>45717</v>
      </c>
      <c r="B1062">
        <v>1010100</v>
      </c>
      <c r="C1062">
        <v>2740</v>
      </c>
      <c r="E1062" s="80">
        <v>45704</v>
      </c>
      <c r="F1062">
        <v>3010101</v>
      </c>
      <c r="G1062">
        <v>21000</v>
      </c>
    </row>
    <row r="1063" spans="1:7" x14ac:dyDescent="0.3">
      <c r="A1063" s="80">
        <v>45717</v>
      </c>
      <c r="B1063">
        <v>1010100</v>
      </c>
      <c r="C1063">
        <v>0</v>
      </c>
      <c r="E1063" s="80">
        <v>45704</v>
      </c>
      <c r="F1063">
        <v>3010101</v>
      </c>
      <c r="G1063">
        <v>25201</v>
      </c>
    </row>
    <row r="1064" spans="1:7" x14ac:dyDescent="0.3">
      <c r="A1064" s="80">
        <v>45717</v>
      </c>
      <c r="B1064">
        <v>1010100</v>
      </c>
      <c r="C1064">
        <v>0</v>
      </c>
      <c r="E1064" s="80">
        <v>45703</v>
      </c>
      <c r="F1064">
        <v>3010101</v>
      </c>
      <c r="G1064">
        <v>18478</v>
      </c>
    </row>
    <row r="1065" spans="1:7" x14ac:dyDescent="0.3">
      <c r="A1065" s="80">
        <v>45717</v>
      </c>
      <c r="B1065">
        <v>1010100</v>
      </c>
      <c r="C1065">
        <v>0</v>
      </c>
      <c r="E1065" s="80">
        <v>45703</v>
      </c>
      <c r="F1065">
        <v>3010101</v>
      </c>
      <c r="G1065">
        <v>25201</v>
      </c>
    </row>
    <row r="1066" spans="1:7" x14ac:dyDescent="0.3">
      <c r="A1066" s="80">
        <v>45717</v>
      </c>
      <c r="B1066">
        <v>1010100</v>
      </c>
      <c r="C1066">
        <v>2740</v>
      </c>
      <c r="E1066" s="80">
        <v>45703</v>
      </c>
      <c r="F1066">
        <v>3010101</v>
      </c>
      <c r="G1066">
        <v>25201</v>
      </c>
    </row>
    <row r="1067" spans="1:7" x14ac:dyDescent="0.3">
      <c r="A1067" s="80">
        <v>45716</v>
      </c>
      <c r="B1067">
        <v>1010100</v>
      </c>
      <c r="C1067">
        <v>4490</v>
      </c>
      <c r="E1067" s="80">
        <v>45703</v>
      </c>
      <c r="F1067">
        <v>3010101</v>
      </c>
      <c r="G1067">
        <v>25201</v>
      </c>
    </row>
    <row r="1068" spans="1:7" x14ac:dyDescent="0.3">
      <c r="A1068" s="80">
        <v>45716</v>
      </c>
      <c r="B1068">
        <v>1010100</v>
      </c>
      <c r="C1068">
        <v>2740</v>
      </c>
      <c r="E1068" s="80">
        <v>45702</v>
      </c>
      <c r="F1068">
        <v>3010101</v>
      </c>
      <c r="G1068">
        <v>25201</v>
      </c>
    </row>
    <row r="1069" spans="1:7" x14ac:dyDescent="0.3">
      <c r="A1069" s="80">
        <v>45716</v>
      </c>
      <c r="B1069">
        <v>1010100</v>
      </c>
      <c r="C1069">
        <v>2740</v>
      </c>
      <c r="E1069" s="80">
        <v>45702</v>
      </c>
      <c r="F1069">
        <v>3010101</v>
      </c>
      <c r="G1069">
        <v>21000</v>
      </c>
    </row>
    <row r="1070" spans="1:7" x14ac:dyDescent="0.3">
      <c r="A1070" s="80">
        <v>45716</v>
      </c>
      <c r="B1070">
        <v>1010100</v>
      </c>
      <c r="C1070">
        <v>2740</v>
      </c>
      <c r="E1070" s="80">
        <v>45701</v>
      </c>
      <c r="F1070">
        <v>3010101</v>
      </c>
      <c r="G1070">
        <v>18268</v>
      </c>
    </row>
    <row r="1071" spans="1:7" x14ac:dyDescent="0.3">
      <c r="A1071" s="80">
        <v>45716</v>
      </c>
      <c r="B1071">
        <v>1010100</v>
      </c>
      <c r="C1071">
        <v>1990</v>
      </c>
      <c r="E1071" s="80">
        <v>45701</v>
      </c>
      <c r="F1071">
        <v>3010101</v>
      </c>
      <c r="G1071">
        <v>18268</v>
      </c>
    </row>
    <row r="1072" spans="1:7" x14ac:dyDescent="0.3">
      <c r="A1072" s="80">
        <v>45716</v>
      </c>
      <c r="B1072">
        <v>1010100</v>
      </c>
      <c r="C1072">
        <v>0</v>
      </c>
      <c r="E1072" s="80">
        <v>45701</v>
      </c>
      <c r="F1072">
        <v>3010101</v>
      </c>
      <c r="G1072">
        <v>18268</v>
      </c>
    </row>
    <row r="1073" spans="1:7" x14ac:dyDescent="0.3">
      <c r="A1073" s="80">
        <v>45716</v>
      </c>
      <c r="B1073">
        <v>1010100</v>
      </c>
      <c r="C1073">
        <v>0</v>
      </c>
      <c r="E1073" s="80">
        <v>45699</v>
      </c>
      <c r="F1073">
        <v>3010101</v>
      </c>
      <c r="G1073">
        <v>25201</v>
      </c>
    </row>
    <row r="1074" spans="1:7" x14ac:dyDescent="0.3">
      <c r="A1074" s="80">
        <v>45716</v>
      </c>
      <c r="B1074">
        <v>1010100</v>
      </c>
      <c r="C1074">
        <v>0</v>
      </c>
      <c r="E1074" s="80">
        <v>45699</v>
      </c>
      <c r="F1074">
        <v>3010101</v>
      </c>
      <c r="G1074">
        <v>18268</v>
      </c>
    </row>
    <row r="1075" spans="1:7" x14ac:dyDescent="0.3">
      <c r="A1075" s="80">
        <v>45715</v>
      </c>
      <c r="B1075">
        <v>1010100</v>
      </c>
      <c r="C1075">
        <v>1990</v>
      </c>
      <c r="E1075" s="80">
        <v>45699</v>
      </c>
      <c r="F1075">
        <v>3010101</v>
      </c>
      <c r="G1075">
        <v>18268</v>
      </c>
    </row>
    <row r="1076" spans="1:7" x14ac:dyDescent="0.3">
      <c r="A1076" s="80">
        <v>45715</v>
      </c>
      <c r="B1076">
        <v>1010100</v>
      </c>
      <c r="C1076">
        <v>4521</v>
      </c>
      <c r="E1076" s="80">
        <v>45699</v>
      </c>
      <c r="F1076">
        <v>3010101</v>
      </c>
      <c r="G1076">
        <v>8394</v>
      </c>
    </row>
    <row r="1077" spans="1:7" x14ac:dyDescent="0.3">
      <c r="A1077" s="80">
        <v>45715</v>
      </c>
      <c r="B1077">
        <v>1010100</v>
      </c>
      <c r="C1077">
        <v>1990</v>
      </c>
      <c r="E1077" s="80">
        <v>45698</v>
      </c>
      <c r="F1077">
        <v>3010101</v>
      </c>
      <c r="G1077">
        <v>18268</v>
      </c>
    </row>
    <row r="1078" spans="1:7" x14ac:dyDescent="0.3">
      <c r="A1078" s="80">
        <v>45715</v>
      </c>
      <c r="B1078">
        <v>1010100</v>
      </c>
      <c r="C1078">
        <v>0</v>
      </c>
      <c r="E1078" s="80">
        <v>45698</v>
      </c>
      <c r="F1078">
        <v>3010101</v>
      </c>
      <c r="G1078">
        <v>15957</v>
      </c>
    </row>
    <row r="1079" spans="1:7" x14ac:dyDescent="0.3">
      <c r="A1079" s="80">
        <v>45714</v>
      </c>
      <c r="B1079">
        <v>1010100</v>
      </c>
      <c r="C1079">
        <v>1990</v>
      </c>
      <c r="E1079" s="80">
        <v>45698</v>
      </c>
      <c r="F1079">
        <v>3010101</v>
      </c>
      <c r="G1079">
        <v>18268</v>
      </c>
    </row>
    <row r="1080" spans="1:7" x14ac:dyDescent="0.3">
      <c r="A1080" s="80">
        <v>45714</v>
      </c>
      <c r="B1080">
        <v>1010100</v>
      </c>
      <c r="C1080">
        <v>0</v>
      </c>
      <c r="E1080" s="80">
        <v>45698</v>
      </c>
      <c r="F1080">
        <v>3010101</v>
      </c>
      <c r="G1080">
        <v>18268</v>
      </c>
    </row>
    <row r="1081" spans="1:7" x14ac:dyDescent="0.3">
      <c r="A1081" s="80">
        <v>45714</v>
      </c>
      <c r="B1081">
        <v>1010100</v>
      </c>
      <c r="C1081">
        <v>1990</v>
      </c>
      <c r="E1081" s="80">
        <v>45698</v>
      </c>
      <c r="F1081">
        <v>3010101</v>
      </c>
      <c r="G1081">
        <v>18268</v>
      </c>
    </row>
    <row r="1082" spans="1:7" x14ac:dyDescent="0.3">
      <c r="A1082" s="80">
        <v>45714</v>
      </c>
      <c r="B1082">
        <v>1010100</v>
      </c>
      <c r="C1082">
        <v>1990</v>
      </c>
      <c r="E1082" s="80">
        <v>45698</v>
      </c>
      <c r="F1082">
        <v>3010101</v>
      </c>
      <c r="G1082">
        <v>15957</v>
      </c>
    </row>
    <row r="1083" spans="1:7" x14ac:dyDescent="0.3">
      <c r="A1083" s="80">
        <v>45713</v>
      </c>
      <c r="B1083">
        <v>1010100</v>
      </c>
      <c r="C1083">
        <v>1990</v>
      </c>
      <c r="E1083" s="80">
        <v>45697</v>
      </c>
      <c r="F1083">
        <v>3010101</v>
      </c>
      <c r="G1083">
        <v>18268</v>
      </c>
    </row>
    <row r="1084" spans="1:7" x14ac:dyDescent="0.3">
      <c r="A1084" s="80">
        <v>45713</v>
      </c>
      <c r="B1084">
        <v>1010100</v>
      </c>
      <c r="C1084">
        <v>1990</v>
      </c>
      <c r="E1084" s="80">
        <v>45697</v>
      </c>
      <c r="F1084">
        <v>3010101</v>
      </c>
      <c r="G1084">
        <v>25201</v>
      </c>
    </row>
    <row r="1085" spans="1:7" x14ac:dyDescent="0.3">
      <c r="A1085" s="80">
        <v>45713</v>
      </c>
      <c r="B1085">
        <v>1010100</v>
      </c>
      <c r="C1085">
        <v>4390</v>
      </c>
      <c r="E1085" s="80">
        <v>45696</v>
      </c>
      <c r="F1085">
        <v>3010101</v>
      </c>
      <c r="G1085">
        <v>15957</v>
      </c>
    </row>
    <row r="1086" spans="1:7" x14ac:dyDescent="0.3">
      <c r="A1086" s="80">
        <v>45713</v>
      </c>
      <c r="B1086">
        <v>1010100</v>
      </c>
      <c r="C1086">
        <v>1990</v>
      </c>
      <c r="E1086" s="80">
        <v>45696</v>
      </c>
      <c r="F1086">
        <v>3010101</v>
      </c>
      <c r="G1086">
        <v>25201</v>
      </c>
    </row>
    <row r="1087" spans="1:7" x14ac:dyDescent="0.3">
      <c r="A1087" s="80">
        <v>45712</v>
      </c>
      <c r="B1087">
        <v>1010100</v>
      </c>
      <c r="C1087">
        <v>3790</v>
      </c>
      <c r="E1087" s="80">
        <v>45696</v>
      </c>
      <c r="F1087">
        <v>3010101</v>
      </c>
      <c r="G1087">
        <v>25201</v>
      </c>
    </row>
    <row r="1088" spans="1:7" x14ac:dyDescent="0.3">
      <c r="A1088" s="80">
        <v>45712</v>
      </c>
      <c r="B1088">
        <v>1010100</v>
      </c>
      <c r="C1088">
        <v>4290</v>
      </c>
      <c r="E1088" s="80">
        <v>45696</v>
      </c>
      <c r="F1088">
        <v>3010101</v>
      </c>
      <c r="G1088">
        <v>18268</v>
      </c>
    </row>
    <row r="1089" spans="1:7" x14ac:dyDescent="0.3">
      <c r="A1089" s="80">
        <v>45712</v>
      </c>
      <c r="B1089">
        <v>1010100</v>
      </c>
      <c r="C1089">
        <v>1990</v>
      </c>
      <c r="E1089" s="80">
        <v>45696</v>
      </c>
      <c r="F1089">
        <v>3010101</v>
      </c>
      <c r="G1089">
        <v>25201</v>
      </c>
    </row>
    <row r="1090" spans="1:7" x14ac:dyDescent="0.3">
      <c r="A1090" s="80">
        <v>45712</v>
      </c>
      <c r="B1090">
        <v>1010100</v>
      </c>
      <c r="C1090">
        <v>3490</v>
      </c>
      <c r="E1090" s="80">
        <v>45695</v>
      </c>
      <c r="F1090">
        <v>3010101</v>
      </c>
      <c r="G1090">
        <v>25201</v>
      </c>
    </row>
    <row r="1091" spans="1:7" x14ac:dyDescent="0.3">
      <c r="A1091" s="80">
        <v>45712</v>
      </c>
      <c r="B1091">
        <v>1010100</v>
      </c>
      <c r="C1091">
        <v>4790</v>
      </c>
      <c r="E1091" s="80">
        <v>45695</v>
      </c>
      <c r="F1091">
        <v>3010101</v>
      </c>
      <c r="G1091">
        <v>25201</v>
      </c>
    </row>
    <row r="1092" spans="1:7" x14ac:dyDescent="0.3">
      <c r="A1092" s="80">
        <v>45711</v>
      </c>
      <c r="B1092">
        <v>1010100</v>
      </c>
      <c r="C1092">
        <v>1990</v>
      </c>
      <c r="E1092" s="80">
        <v>45695</v>
      </c>
      <c r="F1092">
        <v>3010101</v>
      </c>
      <c r="G1092">
        <v>25201</v>
      </c>
    </row>
    <row r="1093" spans="1:7" x14ac:dyDescent="0.3">
      <c r="A1093" s="80">
        <v>45711</v>
      </c>
      <c r="B1093">
        <v>1010100</v>
      </c>
      <c r="C1093">
        <v>4390</v>
      </c>
      <c r="E1093" s="80">
        <v>45695</v>
      </c>
      <c r="F1093">
        <v>3010101</v>
      </c>
      <c r="G1093">
        <v>25201</v>
      </c>
    </row>
    <row r="1094" spans="1:7" x14ac:dyDescent="0.3">
      <c r="A1094" s="80">
        <v>45710</v>
      </c>
      <c r="B1094">
        <v>1010100</v>
      </c>
      <c r="C1094">
        <v>6190</v>
      </c>
      <c r="E1094" s="80">
        <v>45695</v>
      </c>
      <c r="F1094">
        <v>3010101</v>
      </c>
      <c r="G1094">
        <v>25201</v>
      </c>
    </row>
    <row r="1095" spans="1:7" x14ac:dyDescent="0.3">
      <c r="A1095" s="80">
        <v>45710</v>
      </c>
      <c r="B1095">
        <v>1010100</v>
      </c>
      <c r="C1095">
        <v>1990</v>
      </c>
      <c r="E1095" s="80">
        <v>45695</v>
      </c>
      <c r="F1095">
        <v>3010101</v>
      </c>
      <c r="G1095">
        <v>25201</v>
      </c>
    </row>
    <row r="1096" spans="1:7" x14ac:dyDescent="0.3">
      <c r="A1096" s="80">
        <v>45710</v>
      </c>
      <c r="B1096">
        <v>1010100</v>
      </c>
      <c r="C1096">
        <v>1990</v>
      </c>
      <c r="E1096" s="80">
        <v>45694</v>
      </c>
      <c r="F1096">
        <v>3010101</v>
      </c>
      <c r="G1096">
        <v>25201</v>
      </c>
    </row>
    <row r="1097" spans="1:7" x14ac:dyDescent="0.3">
      <c r="A1097" s="80">
        <v>45710</v>
      </c>
      <c r="B1097">
        <v>1010100</v>
      </c>
      <c r="C1097">
        <v>4790</v>
      </c>
      <c r="E1097" s="80">
        <v>45694</v>
      </c>
      <c r="F1097">
        <v>3010101</v>
      </c>
      <c r="G1097">
        <v>25201</v>
      </c>
    </row>
    <row r="1098" spans="1:7" x14ac:dyDescent="0.3">
      <c r="A1098" s="80">
        <v>45710</v>
      </c>
      <c r="B1098">
        <v>1010100</v>
      </c>
      <c r="C1098">
        <v>3990</v>
      </c>
      <c r="E1098" s="80">
        <v>45694</v>
      </c>
      <c r="F1098">
        <v>3010101</v>
      </c>
      <c r="G1098">
        <v>25201</v>
      </c>
    </row>
    <row r="1099" spans="1:7" x14ac:dyDescent="0.3">
      <c r="A1099" s="80">
        <v>45710</v>
      </c>
      <c r="B1099">
        <v>1010100</v>
      </c>
      <c r="C1099">
        <v>4390</v>
      </c>
      <c r="E1099" s="80">
        <v>45694</v>
      </c>
      <c r="F1099">
        <v>3010101</v>
      </c>
      <c r="G1099">
        <v>18268</v>
      </c>
    </row>
    <row r="1100" spans="1:7" x14ac:dyDescent="0.3">
      <c r="A1100" s="80">
        <v>45710</v>
      </c>
      <c r="B1100">
        <v>1010100</v>
      </c>
      <c r="C1100">
        <v>4890</v>
      </c>
      <c r="E1100" s="80">
        <v>45694</v>
      </c>
      <c r="F1100">
        <v>3010101</v>
      </c>
      <c r="G1100">
        <v>25201</v>
      </c>
    </row>
    <row r="1101" spans="1:7" x14ac:dyDescent="0.3">
      <c r="A1101" s="80">
        <v>45710</v>
      </c>
      <c r="B1101">
        <v>1010100</v>
      </c>
      <c r="C1101">
        <v>0</v>
      </c>
      <c r="E1101" s="80">
        <v>45694</v>
      </c>
      <c r="F1101">
        <v>3010101</v>
      </c>
      <c r="G1101">
        <v>8394</v>
      </c>
    </row>
    <row r="1102" spans="1:7" x14ac:dyDescent="0.3">
      <c r="A1102" s="80">
        <v>45710</v>
      </c>
      <c r="B1102">
        <v>1010100</v>
      </c>
      <c r="C1102">
        <v>1990</v>
      </c>
      <c r="E1102" s="80">
        <v>45694</v>
      </c>
      <c r="F1102">
        <v>3010101</v>
      </c>
      <c r="G1102">
        <v>25201</v>
      </c>
    </row>
    <row r="1103" spans="1:7" x14ac:dyDescent="0.3">
      <c r="A1103" s="80">
        <v>45710</v>
      </c>
      <c r="B1103">
        <v>1010100</v>
      </c>
      <c r="C1103">
        <v>1990</v>
      </c>
      <c r="E1103" s="80">
        <v>45694</v>
      </c>
      <c r="F1103">
        <v>3010101</v>
      </c>
      <c r="G1103">
        <v>36537</v>
      </c>
    </row>
    <row r="1104" spans="1:7" x14ac:dyDescent="0.3">
      <c r="A1104" s="80">
        <v>45709</v>
      </c>
      <c r="B1104">
        <v>1010100</v>
      </c>
      <c r="C1104">
        <v>3890</v>
      </c>
      <c r="E1104" s="80">
        <v>45694</v>
      </c>
      <c r="F1104">
        <v>3010101</v>
      </c>
      <c r="G1104">
        <v>25201</v>
      </c>
    </row>
    <row r="1105" spans="1:7" x14ac:dyDescent="0.3">
      <c r="A1105" s="80">
        <v>45709</v>
      </c>
      <c r="B1105">
        <v>1010100</v>
      </c>
      <c r="C1105">
        <v>0</v>
      </c>
      <c r="E1105" s="80">
        <v>45694</v>
      </c>
      <c r="F1105">
        <v>3010101</v>
      </c>
      <c r="G1105">
        <v>25201</v>
      </c>
    </row>
    <row r="1106" spans="1:7" x14ac:dyDescent="0.3">
      <c r="A1106" s="80">
        <v>45709</v>
      </c>
      <c r="B1106">
        <v>1010100</v>
      </c>
      <c r="C1106">
        <v>0</v>
      </c>
      <c r="E1106" s="80">
        <v>45694</v>
      </c>
      <c r="F1106">
        <v>3010101</v>
      </c>
      <c r="G1106">
        <v>25201</v>
      </c>
    </row>
    <row r="1107" spans="1:7" x14ac:dyDescent="0.3">
      <c r="A1107" s="80">
        <v>45709</v>
      </c>
      <c r="B1107">
        <v>1010100</v>
      </c>
      <c r="C1107">
        <v>1990</v>
      </c>
      <c r="E1107" s="80">
        <v>45693</v>
      </c>
      <c r="F1107">
        <v>3010101</v>
      </c>
      <c r="G1107">
        <v>25201</v>
      </c>
    </row>
    <row r="1108" spans="1:7" x14ac:dyDescent="0.3">
      <c r="A1108" s="80">
        <v>45709</v>
      </c>
      <c r="B1108">
        <v>1010100</v>
      </c>
      <c r="C1108">
        <v>1990</v>
      </c>
      <c r="E1108" s="80">
        <v>45693</v>
      </c>
      <c r="F1108">
        <v>3010101</v>
      </c>
      <c r="G1108">
        <v>25201</v>
      </c>
    </row>
    <row r="1109" spans="1:7" x14ac:dyDescent="0.3">
      <c r="A1109" s="80">
        <v>45709</v>
      </c>
      <c r="B1109">
        <v>1010100</v>
      </c>
      <c r="C1109">
        <v>1990</v>
      </c>
      <c r="E1109" s="80">
        <v>45693</v>
      </c>
      <c r="F1109">
        <v>3010101</v>
      </c>
      <c r="G1109">
        <v>25201</v>
      </c>
    </row>
    <row r="1110" spans="1:7" x14ac:dyDescent="0.3">
      <c r="A1110" s="80">
        <v>45709</v>
      </c>
      <c r="B1110">
        <v>1010100</v>
      </c>
      <c r="C1110">
        <v>5990</v>
      </c>
      <c r="E1110" s="80">
        <v>45693</v>
      </c>
      <c r="F1110">
        <v>3010101</v>
      </c>
      <c r="G1110">
        <v>18268</v>
      </c>
    </row>
    <row r="1111" spans="1:7" x14ac:dyDescent="0.3">
      <c r="A1111" s="80">
        <v>45709</v>
      </c>
      <c r="B1111">
        <v>1010100</v>
      </c>
      <c r="C1111">
        <v>0</v>
      </c>
      <c r="E1111" s="80">
        <v>45693</v>
      </c>
      <c r="F1111">
        <v>3010101</v>
      </c>
      <c r="G1111">
        <v>18268</v>
      </c>
    </row>
    <row r="1112" spans="1:7" x14ac:dyDescent="0.3">
      <c r="A1112" s="80">
        <v>45709</v>
      </c>
      <c r="B1112">
        <v>1010100</v>
      </c>
      <c r="C1112">
        <v>0</v>
      </c>
      <c r="E1112" s="80">
        <v>45693</v>
      </c>
      <c r="F1112">
        <v>3010101</v>
      </c>
      <c r="G1112">
        <v>18268</v>
      </c>
    </row>
    <row r="1113" spans="1:7" x14ac:dyDescent="0.3">
      <c r="A1113" s="80">
        <v>45709</v>
      </c>
      <c r="B1113">
        <v>1010100</v>
      </c>
      <c r="C1113">
        <v>1990</v>
      </c>
      <c r="E1113" s="80">
        <v>45693</v>
      </c>
      <c r="F1113">
        <v>3010101</v>
      </c>
      <c r="G1113">
        <v>25201</v>
      </c>
    </row>
    <row r="1114" spans="1:7" x14ac:dyDescent="0.3">
      <c r="A1114" s="80">
        <v>45709</v>
      </c>
      <c r="B1114">
        <v>1010100</v>
      </c>
      <c r="C1114">
        <v>3990</v>
      </c>
      <c r="E1114" s="80">
        <v>45693</v>
      </c>
      <c r="F1114">
        <v>3010101</v>
      </c>
      <c r="G1114">
        <v>25201</v>
      </c>
    </row>
    <row r="1115" spans="1:7" x14ac:dyDescent="0.3">
      <c r="A1115" s="80">
        <v>45709</v>
      </c>
      <c r="B1115">
        <v>1010100</v>
      </c>
      <c r="C1115">
        <v>1990</v>
      </c>
      <c r="E1115" s="80">
        <v>45693</v>
      </c>
      <c r="F1115">
        <v>3010101</v>
      </c>
      <c r="G1115">
        <v>25201</v>
      </c>
    </row>
    <row r="1116" spans="1:7" x14ac:dyDescent="0.3">
      <c r="A1116" s="80">
        <v>45708</v>
      </c>
      <c r="B1116">
        <v>1010100</v>
      </c>
      <c r="C1116">
        <v>3990</v>
      </c>
      <c r="E1116" s="80">
        <v>45693</v>
      </c>
      <c r="F1116">
        <v>3010101</v>
      </c>
      <c r="G1116">
        <v>25201</v>
      </c>
    </row>
    <row r="1117" spans="1:7" x14ac:dyDescent="0.3">
      <c r="A1117" s="80">
        <v>45708</v>
      </c>
      <c r="B1117">
        <v>1010100</v>
      </c>
      <c r="C1117">
        <v>1990</v>
      </c>
      <c r="E1117" s="80">
        <v>45693</v>
      </c>
      <c r="F1117">
        <v>3010101</v>
      </c>
      <c r="G1117">
        <v>18268</v>
      </c>
    </row>
    <row r="1118" spans="1:7" x14ac:dyDescent="0.3">
      <c r="A1118" s="80">
        <v>45708</v>
      </c>
      <c r="B1118">
        <v>1010100</v>
      </c>
      <c r="C1118">
        <v>4890</v>
      </c>
      <c r="E1118" s="80">
        <v>45692</v>
      </c>
      <c r="F1118">
        <v>3010101</v>
      </c>
      <c r="G1118">
        <v>18268</v>
      </c>
    </row>
    <row r="1119" spans="1:7" x14ac:dyDescent="0.3">
      <c r="A1119" s="80">
        <v>45708</v>
      </c>
      <c r="B1119">
        <v>1010100</v>
      </c>
      <c r="C1119">
        <v>1990</v>
      </c>
      <c r="E1119" s="80">
        <v>45692</v>
      </c>
      <c r="F1119">
        <v>3010101</v>
      </c>
      <c r="G1119">
        <v>18268</v>
      </c>
    </row>
    <row r="1120" spans="1:7" x14ac:dyDescent="0.3">
      <c r="A1120" s="80">
        <v>45708</v>
      </c>
      <c r="B1120">
        <v>1010100</v>
      </c>
      <c r="C1120">
        <v>1990</v>
      </c>
      <c r="E1120" s="80">
        <v>45692</v>
      </c>
      <c r="F1120">
        <v>3010101</v>
      </c>
      <c r="G1120">
        <v>18268</v>
      </c>
    </row>
    <row r="1121" spans="1:7" x14ac:dyDescent="0.3">
      <c r="A1121" s="80">
        <v>45708</v>
      </c>
      <c r="B1121">
        <v>1010100</v>
      </c>
      <c r="C1121">
        <v>0</v>
      </c>
      <c r="E1121" s="80">
        <v>45692</v>
      </c>
      <c r="F1121">
        <v>3010101</v>
      </c>
      <c r="G1121">
        <v>25201</v>
      </c>
    </row>
    <row r="1122" spans="1:7" x14ac:dyDescent="0.3">
      <c r="A1122" s="80">
        <v>45708</v>
      </c>
      <c r="B1122">
        <v>1010100</v>
      </c>
      <c r="C1122">
        <v>0</v>
      </c>
      <c r="E1122" s="80">
        <v>45692</v>
      </c>
      <c r="F1122">
        <v>3010101</v>
      </c>
      <c r="G1122">
        <v>22681</v>
      </c>
    </row>
    <row r="1123" spans="1:7" x14ac:dyDescent="0.3">
      <c r="A1123" s="80">
        <v>45707</v>
      </c>
      <c r="B1123">
        <v>1010100</v>
      </c>
      <c r="C1123">
        <v>1990</v>
      </c>
      <c r="E1123" s="80">
        <v>45692</v>
      </c>
      <c r="F1123">
        <v>3010101</v>
      </c>
      <c r="G1123">
        <v>25201</v>
      </c>
    </row>
    <row r="1124" spans="1:7" x14ac:dyDescent="0.3">
      <c r="A1124" s="80">
        <v>45705</v>
      </c>
      <c r="B1124">
        <v>1010100</v>
      </c>
      <c r="C1124">
        <v>0</v>
      </c>
      <c r="E1124" s="80">
        <v>45692</v>
      </c>
      <c r="F1124">
        <v>3010101</v>
      </c>
      <c r="G1124">
        <v>25201</v>
      </c>
    </row>
    <row r="1125" spans="1:7" x14ac:dyDescent="0.3">
      <c r="A1125" s="80">
        <v>45705</v>
      </c>
      <c r="B1125">
        <v>1010100</v>
      </c>
      <c r="C1125">
        <v>4290</v>
      </c>
      <c r="E1125" s="80">
        <v>45692</v>
      </c>
      <c r="F1125">
        <v>3010101</v>
      </c>
      <c r="G1125">
        <v>25201</v>
      </c>
    </row>
    <row r="1126" spans="1:7" x14ac:dyDescent="0.3">
      <c r="A1126" s="80">
        <v>45705</v>
      </c>
      <c r="B1126">
        <v>1010100</v>
      </c>
      <c r="C1126">
        <v>0</v>
      </c>
      <c r="E1126" s="80">
        <v>45691</v>
      </c>
      <c r="F1126">
        <v>3010101</v>
      </c>
      <c r="G1126">
        <v>18268</v>
      </c>
    </row>
    <row r="1127" spans="1:7" x14ac:dyDescent="0.3">
      <c r="A1127" s="80">
        <v>45704</v>
      </c>
      <c r="B1127">
        <v>1010100</v>
      </c>
      <c r="C1127">
        <v>3990</v>
      </c>
      <c r="E1127" s="80">
        <v>45691</v>
      </c>
      <c r="F1127">
        <v>3010101</v>
      </c>
      <c r="G1127">
        <v>25201</v>
      </c>
    </row>
    <row r="1128" spans="1:7" x14ac:dyDescent="0.3">
      <c r="A1128" s="80">
        <v>45704</v>
      </c>
      <c r="B1128">
        <v>1010100</v>
      </c>
      <c r="C1128">
        <v>0</v>
      </c>
      <c r="E1128" s="80">
        <v>45691</v>
      </c>
      <c r="F1128">
        <v>3010101</v>
      </c>
      <c r="G1128">
        <v>18268</v>
      </c>
    </row>
    <row r="1129" spans="1:7" x14ac:dyDescent="0.3">
      <c r="A1129" s="80">
        <v>45704</v>
      </c>
      <c r="B1129">
        <v>1010100</v>
      </c>
      <c r="C1129">
        <v>3690</v>
      </c>
      <c r="E1129" s="80">
        <v>45691</v>
      </c>
      <c r="F1129">
        <v>3010101</v>
      </c>
      <c r="G1129">
        <v>25201</v>
      </c>
    </row>
    <row r="1130" spans="1:7" x14ac:dyDescent="0.3">
      <c r="A1130" s="80">
        <v>45703</v>
      </c>
      <c r="B1130">
        <v>1010100</v>
      </c>
      <c r="C1130">
        <v>1990</v>
      </c>
      <c r="E1130" s="80">
        <v>45691</v>
      </c>
      <c r="F1130">
        <v>3010101</v>
      </c>
      <c r="G1130">
        <v>18268</v>
      </c>
    </row>
    <row r="1131" spans="1:7" x14ac:dyDescent="0.3">
      <c r="A1131" s="80">
        <v>45703</v>
      </c>
      <c r="B1131">
        <v>1010100</v>
      </c>
      <c r="C1131">
        <v>3990</v>
      </c>
      <c r="E1131" s="80">
        <v>45691</v>
      </c>
      <c r="F1131">
        <v>3010101</v>
      </c>
      <c r="G1131">
        <v>25201</v>
      </c>
    </row>
    <row r="1132" spans="1:7" x14ac:dyDescent="0.3">
      <c r="A1132" s="80">
        <v>45703</v>
      </c>
      <c r="B1132">
        <v>1010100</v>
      </c>
      <c r="C1132">
        <v>1990</v>
      </c>
      <c r="E1132" s="80">
        <v>45690</v>
      </c>
      <c r="F1132">
        <v>3010101</v>
      </c>
      <c r="G1132">
        <v>25201</v>
      </c>
    </row>
    <row r="1133" spans="1:7" x14ac:dyDescent="0.3">
      <c r="A1133" s="80">
        <v>45703</v>
      </c>
      <c r="B1133">
        <v>1010100</v>
      </c>
      <c r="C1133">
        <v>1990</v>
      </c>
      <c r="E1133" s="80">
        <v>45690</v>
      </c>
      <c r="F1133">
        <v>3010101</v>
      </c>
      <c r="G1133">
        <v>27722</v>
      </c>
    </row>
    <row r="1134" spans="1:7" x14ac:dyDescent="0.3">
      <c r="A1134" s="80">
        <v>45702</v>
      </c>
      <c r="B1134">
        <v>1010100</v>
      </c>
      <c r="C1134">
        <v>0</v>
      </c>
      <c r="E1134" s="80">
        <v>45690</v>
      </c>
      <c r="F1134">
        <v>3010101</v>
      </c>
      <c r="G1134">
        <v>18268</v>
      </c>
    </row>
    <row r="1135" spans="1:7" x14ac:dyDescent="0.3">
      <c r="A1135" s="80">
        <v>45702</v>
      </c>
      <c r="B1135">
        <v>1010100</v>
      </c>
      <c r="C1135">
        <v>0</v>
      </c>
      <c r="E1135" s="80">
        <v>45690</v>
      </c>
      <c r="F1135">
        <v>3010101</v>
      </c>
      <c r="G1135">
        <v>25201</v>
      </c>
    </row>
    <row r="1136" spans="1:7" x14ac:dyDescent="0.3">
      <c r="A1136" s="80">
        <v>45701</v>
      </c>
      <c r="B1136">
        <v>1010100</v>
      </c>
      <c r="C1136">
        <v>4390</v>
      </c>
      <c r="E1136" s="80">
        <v>45690</v>
      </c>
      <c r="F1136">
        <v>3010101</v>
      </c>
      <c r="G1136">
        <v>25201</v>
      </c>
    </row>
    <row r="1137" spans="1:7" x14ac:dyDescent="0.3">
      <c r="A1137" s="80">
        <v>45701</v>
      </c>
      <c r="B1137">
        <v>1010100</v>
      </c>
      <c r="C1137">
        <v>4290</v>
      </c>
      <c r="E1137" s="80">
        <v>45690</v>
      </c>
      <c r="F1137">
        <v>3010101</v>
      </c>
      <c r="G1137">
        <v>25201</v>
      </c>
    </row>
    <row r="1138" spans="1:7" x14ac:dyDescent="0.3">
      <c r="A1138" s="80">
        <v>45701</v>
      </c>
      <c r="B1138">
        <v>1010100</v>
      </c>
      <c r="C1138">
        <v>1990</v>
      </c>
      <c r="E1138" s="80">
        <v>45690</v>
      </c>
      <c r="F1138">
        <v>3010101</v>
      </c>
      <c r="G1138">
        <v>25201</v>
      </c>
    </row>
    <row r="1139" spans="1:7" x14ac:dyDescent="0.3">
      <c r="A1139" s="80">
        <v>45699</v>
      </c>
      <c r="B1139">
        <v>1010100</v>
      </c>
      <c r="C1139">
        <v>0</v>
      </c>
      <c r="E1139" s="80">
        <v>45690</v>
      </c>
      <c r="F1139">
        <v>3010101</v>
      </c>
      <c r="G1139">
        <v>25201</v>
      </c>
    </row>
    <row r="1140" spans="1:7" x14ac:dyDescent="0.3">
      <c r="A1140" s="80">
        <v>45699</v>
      </c>
      <c r="B1140">
        <v>1010100</v>
      </c>
      <c r="C1140">
        <v>3490</v>
      </c>
      <c r="E1140" s="80">
        <v>45690</v>
      </c>
      <c r="F1140">
        <v>3010101</v>
      </c>
      <c r="G1140">
        <v>25201</v>
      </c>
    </row>
    <row r="1141" spans="1:7" x14ac:dyDescent="0.3">
      <c r="A1141" s="80">
        <v>45699</v>
      </c>
      <c r="B1141">
        <v>1010100</v>
      </c>
      <c r="C1141">
        <v>0</v>
      </c>
      <c r="E1141" s="80">
        <v>45690</v>
      </c>
      <c r="F1141">
        <v>3010101</v>
      </c>
      <c r="G1141">
        <v>27722</v>
      </c>
    </row>
    <row r="1142" spans="1:7" x14ac:dyDescent="0.3">
      <c r="A1142" s="80">
        <v>45699</v>
      </c>
      <c r="B1142">
        <v>1010100</v>
      </c>
      <c r="C1142">
        <v>4490</v>
      </c>
      <c r="E1142" s="80">
        <v>45690</v>
      </c>
      <c r="F1142">
        <v>3010101</v>
      </c>
      <c r="G1142">
        <v>25201</v>
      </c>
    </row>
    <row r="1143" spans="1:7" x14ac:dyDescent="0.3">
      <c r="A1143" s="80">
        <v>45698</v>
      </c>
      <c r="B1143">
        <v>1010100</v>
      </c>
      <c r="C1143">
        <v>0</v>
      </c>
      <c r="E1143" s="80">
        <v>45690</v>
      </c>
      <c r="F1143">
        <v>3010101</v>
      </c>
      <c r="G1143">
        <v>25201</v>
      </c>
    </row>
    <row r="1144" spans="1:7" x14ac:dyDescent="0.3">
      <c r="A1144" s="80">
        <v>45698</v>
      </c>
      <c r="B1144">
        <v>1010100</v>
      </c>
      <c r="C1144">
        <v>1990</v>
      </c>
      <c r="E1144" s="80">
        <v>45690</v>
      </c>
      <c r="F1144">
        <v>3010101</v>
      </c>
      <c r="G1144">
        <v>25201</v>
      </c>
    </row>
    <row r="1145" spans="1:7" x14ac:dyDescent="0.3">
      <c r="A1145" s="80">
        <v>45698</v>
      </c>
      <c r="B1145">
        <v>1010100</v>
      </c>
      <c r="C1145">
        <v>1990</v>
      </c>
      <c r="E1145" s="80">
        <v>45690</v>
      </c>
      <c r="F1145">
        <v>3010101</v>
      </c>
      <c r="G1145">
        <v>25201</v>
      </c>
    </row>
    <row r="1146" spans="1:7" x14ac:dyDescent="0.3">
      <c r="A1146" s="80">
        <v>45698</v>
      </c>
      <c r="B1146">
        <v>1010100</v>
      </c>
      <c r="C1146">
        <v>4690</v>
      </c>
      <c r="E1146" s="80">
        <v>45690</v>
      </c>
      <c r="F1146">
        <v>3010101</v>
      </c>
      <c r="G1146">
        <v>25201</v>
      </c>
    </row>
    <row r="1147" spans="1:7" x14ac:dyDescent="0.3">
      <c r="A1147" s="80">
        <v>45698</v>
      </c>
      <c r="B1147">
        <v>1010100</v>
      </c>
      <c r="C1147">
        <v>0</v>
      </c>
      <c r="E1147" s="80">
        <v>45690</v>
      </c>
      <c r="F1147">
        <v>3010101</v>
      </c>
      <c r="G1147">
        <v>18268</v>
      </c>
    </row>
    <row r="1148" spans="1:7" x14ac:dyDescent="0.3">
      <c r="A1148" s="80">
        <v>45698</v>
      </c>
      <c r="B1148">
        <v>1010100</v>
      </c>
      <c r="C1148">
        <v>0</v>
      </c>
      <c r="E1148" s="80">
        <v>45690</v>
      </c>
      <c r="F1148">
        <v>3010101</v>
      </c>
      <c r="G1148">
        <v>25201</v>
      </c>
    </row>
    <row r="1149" spans="1:7" x14ac:dyDescent="0.3">
      <c r="A1149" s="80">
        <v>45697</v>
      </c>
      <c r="B1149">
        <v>1010100</v>
      </c>
      <c r="C1149">
        <v>0</v>
      </c>
      <c r="E1149" s="80">
        <v>45690</v>
      </c>
      <c r="F1149">
        <v>3010101</v>
      </c>
      <c r="G1149">
        <v>8394</v>
      </c>
    </row>
    <row r="1150" spans="1:7" x14ac:dyDescent="0.3">
      <c r="A1150" s="80">
        <v>45697</v>
      </c>
      <c r="B1150">
        <v>1010100</v>
      </c>
      <c r="C1150">
        <v>0</v>
      </c>
      <c r="E1150" s="80">
        <v>45690</v>
      </c>
      <c r="F1150">
        <v>3010101</v>
      </c>
      <c r="G1150">
        <v>50403</v>
      </c>
    </row>
    <row r="1151" spans="1:7" x14ac:dyDescent="0.3">
      <c r="A1151" s="80">
        <v>45696</v>
      </c>
      <c r="B1151">
        <v>1010100</v>
      </c>
      <c r="C1151">
        <v>0</v>
      </c>
      <c r="E1151" s="80">
        <v>45690</v>
      </c>
      <c r="F1151">
        <v>3010101</v>
      </c>
      <c r="G1151">
        <v>25201</v>
      </c>
    </row>
    <row r="1152" spans="1:7" x14ac:dyDescent="0.3">
      <c r="A1152" s="80">
        <v>45696</v>
      </c>
      <c r="B1152">
        <v>1010100</v>
      </c>
      <c r="C1152">
        <v>0</v>
      </c>
      <c r="E1152" s="80">
        <v>45690</v>
      </c>
      <c r="F1152">
        <v>3010101</v>
      </c>
      <c r="G1152">
        <v>25201</v>
      </c>
    </row>
    <row r="1153" spans="1:7" x14ac:dyDescent="0.3">
      <c r="A1153" s="80">
        <v>45696</v>
      </c>
      <c r="B1153">
        <v>1010100</v>
      </c>
      <c r="C1153">
        <v>3990</v>
      </c>
      <c r="E1153" s="80">
        <v>45690</v>
      </c>
      <c r="F1153">
        <v>3010101</v>
      </c>
      <c r="G1153">
        <v>27722</v>
      </c>
    </row>
    <row r="1154" spans="1:7" x14ac:dyDescent="0.3">
      <c r="A1154" s="80">
        <v>45696</v>
      </c>
      <c r="B1154">
        <v>1010100</v>
      </c>
      <c r="C1154">
        <v>1990</v>
      </c>
      <c r="E1154" s="80">
        <v>45689</v>
      </c>
      <c r="F1154">
        <v>3010101</v>
      </c>
      <c r="G1154">
        <v>27722</v>
      </c>
    </row>
    <row r="1155" spans="1:7" x14ac:dyDescent="0.3">
      <c r="A1155" s="80">
        <v>45696</v>
      </c>
      <c r="B1155">
        <v>1010100</v>
      </c>
      <c r="C1155">
        <v>4890</v>
      </c>
      <c r="E1155" s="80">
        <v>45689</v>
      </c>
      <c r="F1155">
        <v>3010101</v>
      </c>
      <c r="G1155">
        <v>25201</v>
      </c>
    </row>
    <row r="1156" spans="1:7" x14ac:dyDescent="0.3">
      <c r="A1156" s="80">
        <v>45695</v>
      </c>
      <c r="B1156">
        <v>1010100</v>
      </c>
      <c r="C1156">
        <v>5990</v>
      </c>
      <c r="E1156" s="80">
        <v>45689</v>
      </c>
      <c r="F1156">
        <v>3010101</v>
      </c>
      <c r="G1156">
        <v>27722</v>
      </c>
    </row>
    <row r="1157" spans="1:7" x14ac:dyDescent="0.3">
      <c r="A1157" s="80">
        <v>45695</v>
      </c>
      <c r="B1157">
        <v>1010100</v>
      </c>
      <c r="C1157">
        <v>1990</v>
      </c>
      <c r="E1157" s="80">
        <v>45689</v>
      </c>
      <c r="F1157">
        <v>3010101</v>
      </c>
      <c r="G1157">
        <v>18268</v>
      </c>
    </row>
    <row r="1158" spans="1:7" x14ac:dyDescent="0.3">
      <c r="A1158" s="80">
        <v>45695</v>
      </c>
      <c r="B1158">
        <v>1010100</v>
      </c>
      <c r="C1158">
        <v>0</v>
      </c>
      <c r="E1158" s="80">
        <v>45689</v>
      </c>
      <c r="F1158">
        <v>3010101</v>
      </c>
      <c r="G1158">
        <v>25201</v>
      </c>
    </row>
    <row r="1159" spans="1:7" x14ac:dyDescent="0.3">
      <c r="A1159" s="80">
        <v>45695</v>
      </c>
      <c r="B1159">
        <v>1010100</v>
      </c>
      <c r="C1159">
        <v>3590</v>
      </c>
      <c r="E1159" s="80">
        <v>45689</v>
      </c>
      <c r="F1159">
        <v>3010101</v>
      </c>
      <c r="G1159">
        <v>25201</v>
      </c>
    </row>
    <row r="1160" spans="1:7" x14ac:dyDescent="0.3">
      <c r="A1160" s="80">
        <v>45695</v>
      </c>
      <c r="B1160">
        <v>1010100</v>
      </c>
      <c r="C1160">
        <v>1990</v>
      </c>
      <c r="E1160" s="80">
        <v>45688</v>
      </c>
      <c r="F1160">
        <v>3010101</v>
      </c>
      <c r="G1160">
        <v>50403</v>
      </c>
    </row>
    <row r="1161" spans="1:7" x14ac:dyDescent="0.3">
      <c r="A1161" s="80">
        <v>45695</v>
      </c>
      <c r="B1161">
        <v>1010100</v>
      </c>
      <c r="C1161">
        <v>0</v>
      </c>
      <c r="E1161" s="80">
        <v>45688</v>
      </c>
      <c r="F1161">
        <v>3010101</v>
      </c>
      <c r="G1161">
        <v>25201</v>
      </c>
    </row>
    <row r="1162" spans="1:7" x14ac:dyDescent="0.3">
      <c r="A1162" s="80">
        <v>45694</v>
      </c>
      <c r="B1162">
        <v>1010100</v>
      </c>
      <c r="C1162">
        <v>3690</v>
      </c>
      <c r="E1162" s="80">
        <v>45688</v>
      </c>
      <c r="F1162">
        <v>3010101</v>
      </c>
      <c r="G1162">
        <v>25201</v>
      </c>
    </row>
    <row r="1163" spans="1:7" x14ac:dyDescent="0.3">
      <c r="A1163" s="80">
        <v>45694</v>
      </c>
      <c r="B1163">
        <v>1010100</v>
      </c>
      <c r="C1163">
        <v>4290</v>
      </c>
      <c r="E1163" s="80">
        <v>45688</v>
      </c>
      <c r="F1163">
        <v>3010101</v>
      </c>
      <c r="G1163">
        <v>18268</v>
      </c>
    </row>
    <row r="1164" spans="1:7" x14ac:dyDescent="0.3">
      <c r="A1164" s="80">
        <v>45694</v>
      </c>
      <c r="B1164">
        <v>1010100</v>
      </c>
      <c r="C1164">
        <v>1990</v>
      </c>
      <c r="E1164" s="80">
        <v>45688</v>
      </c>
      <c r="F1164">
        <v>3010101</v>
      </c>
      <c r="G1164">
        <v>25201</v>
      </c>
    </row>
    <row r="1165" spans="1:7" x14ac:dyDescent="0.3">
      <c r="A1165" s="80">
        <v>45694</v>
      </c>
      <c r="B1165">
        <v>1010100</v>
      </c>
      <c r="C1165">
        <v>1990</v>
      </c>
      <c r="E1165" s="80">
        <v>45688</v>
      </c>
      <c r="F1165">
        <v>3010101</v>
      </c>
      <c r="G1165">
        <v>25201</v>
      </c>
    </row>
    <row r="1166" spans="1:7" x14ac:dyDescent="0.3">
      <c r="A1166" s="80">
        <v>45694</v>
      </c>
      <c r="B1166">
        <v>1010100</v>
      </c>
      <c r="C1166">
        <v>1990</v>
      </c>
      <c r="E1166" s="80">
        <v>45687</v>
      </c>
      <c r="F1166">
        <v>3010101</v>
      </c>
      <c r="G1166">
        <v>25201</v>
      </c>
    </row>
    <row r="1167" spans="1:7" x14ac:dyDescent="0.3">
      <c r="A1167" s="80">
        <v>45694</v>
      </c>
      <c r="B1167">
        <v>1010100</v>
      </c>
      <c r="C1167">
        <v>0</v>
      </c>
      <c r="E1167" s="80">
        <v>45687</v>
      </c>
      <c r="F1167">
        <v>3010101</v>
      </c>
      <c r="G1167">
        <v>18268</v>
      </c>
    </row>
    <row r="1168" spans="1:7" x14ac:dyDescent="0.3">
      <c r="A1168" s="80">
        <v>45694</v>
      </c>
      <c r="B1168">
        <v>1010100</v>
      </c>
      <c r="C1168">
        <v>4290</v>
      </c>
      <c r="E1168" s="80">
        <v>45687</v>
      </c>
      <c r="F1168">
        <v>3010101</v>
      </c>
      <c r="G1168">
        <v>25201</v>
      </c>
    </row>
    <row r="1169" spans="1:7" x14ac:dyDescent="0.3">
      <c r="A1169" s="80">
        <v>45694</v>
      </c>
      <c r="B1169">
        <v>1010100</v>
      </c>
      <c r="C1169">
        <v>0</v>
      </c>
      <c r="E1169" s="80">
        <v>45687</v>
      </c>
      <c r="F1169">
        <v>3010101</v>
      </c>
      <c r="G1169">
        <v>25201</v>
      </c>
    </row>
    <row r="1170" spans="1:7" x14ac:dyDescent="0.3">
      <c r="A1170" s="80">
        <v>45694</v>
      </c>
      <c r="B1170">
        <v>1010100</v>
      </c>
      <c r="C1170">
        <v>0</v>
      </c>
      <c r="E1170" s="80">
        <v>45687</v>
      </c>
      <c r="F1170">
        <v>3010101</v>
      </c>
      <c r="G1170">
        <v>18268</v>
      </c>
    </row>
    <row r="1171" spans="1:7" x14ac:dyDescent="0.3">
      <c r="A1171" s="80">
        <v>45694</v>
      </c>
      <c r="B1171">
        <v>1010100</v>
      </c>
      <c r="C1171">
        <v>0</v>
      </c>
      <c r="E1171" s="80">
        <v>45687</v>
      </c>
      <c r="F1171">
        <v>3010101</v>
      </c>
      <c r="G1171">
        <v>18268</v>
      </c>
    </row>
    <row r="1172" spans="1:7" x14ac:dyDescent="0.3">
      <c r="A1172" s="80">
        <v>45694</v>
      </c>
      <c r="B1172">
        <v>1010100</v>
      </c>
      <c r="C1172">
        <v>1990</v>
      </c>
      <c r="E1172" s="80">
        <v>45687</v>
      </c>
      <c r="F1172">
        <v>3010101</v>
      </c>
      <c r="G1172">
        <v>27722</v>
      </c>
    </row>
    <row r="1173" spans="1:7" x14ac:dyDescent="0.3">
      <c r="A1173" s="80">
        <v>45693</v>
      </c>
      <c r="B1173">
        <v>1010100</v>
      </c>
      <c r="C1173">
        <v>3990</v>
      </c>
      <c r="E1173" s="80">
        <v>45687</v>
      </c>
      <c r="F1173">
        <v>3010101</v>
      </c>
      <c r="G1173">
        <v>18268</v>
      </c>
    </row>
    <row r="1174" spans="1:7" x14ac:dyDescent="0.3">
      <c r="A1174" s="80">
        <v>45693</v>
      </c>
      <c r="B1174">
        <v>1010100</v>
      </c>
      <c r="C1174">
        <v>3690</v>
      </c>
      <c r="E1174" s="80">
        <v>45687</v>
      </c>
      <c r="F1174">
        <v>3010101</v>
      </c>
      <c r="G1174">
        <v>25201</v>
      </c>
    </row>
    <row r="1175" spans="1:7" x14ac:dyDescent="0.3">
      <c r="A1175" s="80">
        <v>45693</v>
      </c>
      <c r="B1175">
        <v>1010100</v>
      </c>
      <c r="C1175">
        <v>6490</v>
      </c>
      <c r="E1175" s="80">
        <v>45687</v>
      </c>
      <c r="F1175">
        <v>3010101</v>
      </c>
      <c r="G1175">
        <v>25201</v>
      </c>
    </row>
    <row r="1176" spans="1:7" x14ac:dyDescent="0.3">
      <c r="A1176" s="80">
        <v>45693</v>
      </c>
      <c r="B1176">
        <v>1010100</v>
      </c>
      <c r="C1176">
        <v>0</v>
      </c>
      <c r="E1176" s="80">
        <v>45687</v>
      </c>
      <c r="F1176">
        <v>3010101</v>
      </c>
      <c r="G1176">
        <v>18268</v>
      </c>
    </row>
    <row r="1177" spans="1:7" x14ac:dyDescent="0.3">
      <c r="A1177" s="80">
        <v>45693</v>
      </c>
      <c r="B1177">
        <v>1010100</v>
      </c>
      <c r="C1177">
        <v>3690</v>
      </c>
      <c r="E1177" s="80">
        <v>45687</v>
      </c>
      <c r="F1177">
        <v>3010101</v>
      </c>
      <c r="G1177">
        <v>18268</v>
      </c>
    </row>
    <row r="1178" spans="1:7" x14ac:dyDescent="0.3">
      <c r="A1178" s="80">
        <v>45693</v>
      </c>
      <c r="B1178">
        <v>1010100</v>
      </c>
      <c r="C1178">
        <v>0</v>
      </c>
      <c r="E1178" s="80">
        <v>45687</v>
      </c>
      <c r="F1178">
        <v>3010101</v>
      </c>
      <c r="G1178">
        <v>25201</v>
      </c>
    </row>
    <row r="1179" spans="1:7" x14ac:dyDescent="0.3">
      <c r="A1179" s="80">
        <v>45693</v>
      </c>
      <c r="B1179">
        <v>1010100</v>
      </c>
      <c r="C1179">
        <v>4790</v>
      </c>
      <c r="E1179" s="80">
        <v>45687</v>
      </c>
      <c r="F1179">
        <v>3010101</v>
      </c>
      <c r="G1179">
        <v>25201</v>
      </c>
    </row>
    <row r="1180" spans="1:7" x14ac:dyDescent="0.3">
      <c r="A1180" s="80">
        <v>45693</v>
      </c>
      <c r="B1180">
        <v>1010100</v>
      </c>
      <c r="C1180">
        <v>4290</v>
      </c>
      <c r="E1180" s="80">
        <v>45687</v>
      </c>
      <c r="F1180">
        <v>3010101</v>
      </c>
      <c r="G1180">
        <v>27722</v>
      </c>
    </row>
    <row r="1181" spans="1:7" x14ac:dyDescent="0.3">
      <c r="A1181" s="80">
        <v>45693</v>
      </c>
      <c r="B1181">
        <v>1010100</v>
      </c>
      <c r="C1181">
        <v>1990</v>
      </c>
      <c r="E1181" s="80">
        <v>45687</v>
      </c>
      <c r="F1181">
        <v>3010101</v>
      </c>
      <c r="G1181">
        <v>25201</v>
      </c>
    </row>
    <row r="1182" spans="1:7" x14ac:dyDescent="0.3">
      <c r="A1182" s="80">
        <v>45693</v>
      </c>
      <c r="B1182">
        <v>1010100</v>
      </c>
      <c r="C1182">
        <v>4290</v>
      </c>
      <c r="E1182" s="80">
        <v>45687</v>
      </c>
      <c r="F1182">
        <v>3010101</v>
      </c>
      <c r="G1182">
        <v>25201</v>
      </c>
    </row>
    <row r="1183" spans="1:7" x14ac:dyDescent="0.3">
      <c r="A1183" s="80">
        <v>45693</v>
      </c>
      <c r="B1183">
        <v>1010100</v>
      </c>
      <c r="C1183">
        <v>0</v>
      </c>
      <c r="E1183" s="80">
        <v>45686</v>
      </c>
      <c r="F1183">
        <v>3010101</v>
      </c>
      <c r="G1183">
        <v>45363</v>
      </c>
    </row>
    <row r="1184" spans="1:7" x14ac:dyDescent="0.3">
      <c r="A1184" s="80">
        <v>45692</v>
      </c>
      <c r="B1184">
        <v>1010100</v>
      </c>
      <c r="C1184">
        <v>1990</v>
      </c>
      <c r="E1184" s="80">
        <v>45686</v>
      </c>
      <c r="F1184">
        <v>3010101</v>
      </c>
      <c r="G1184">
        <v>25201</v>
      </c>
    </row>
    <row r="1185" spans="1:7" x14ac:dyDescent="0.3">
      <c r="A1185" s="80">
        <v>45692</v>
      </c>
      <c r="B1185">
        <v>1010100</v>
      </c>
      <c r="C1185">
        <v>0</v>
      </c>
      <c r="E1185" s="80">
        <v>45686</v>
      </c>
      <c r="F1185">
        <v>3010101</v>
      </c>
      <c r="G1185">
        <v>25201</v>
      </c>
    </row>
    <row r="1186" spans="1:7" x14ac:dyDescent="0.3">
      <c r="A1186" s="80">
        <v>45692</v>
      </c>
      <c r="B1186">
        <v>1010100</v>
      </c>
      <c r="C1186">
        <v>1990</v>
      </c>
      <c r="E1186" s="80">
        <v>45686</v>
      </c>
      <c r="F1186">
        <v>3010101</v>
      </c>
      <c r="G1186">
        <v>22681</v>
      </c>
    </row>
    <row r="1187" spans="1:7" x14ac:dyDescent="0.3">
      <c r="A1187" s="80">
        <v>45692</v>
      </c>
      <c r="B1187">
        <v>1010100</v>
      </c>
      <c r="C1187">
        <v>10090</v>
      </c>
      <c r="E1187" s="80">
        <v>45686</v>
      </c>
      <c r="F1187">
        <v>3010101</v>
      </c>
      <c r="G1187">
        <v>25201</v>
      </c>
    </row>
    <row r="1188" spans="1:7" x14ac:dyDescent="0.3">
      <c r="A1188" s="80">
        <v>45692</v>
      </c>
      <c r="B1188">
        <v>1010100</v>
      </c>
      <c r="C1188">
        <v>1990</v>
      </c>
      <c r="E1188" s="80">
        <v>45686</v>
      </c>
      <c r="F1188">
        <v>3010101</v>
      </c>
      <c r="G1188">
        <v>25201</v>
      </c>
    </row>
    <row r="1189" spans="1:7" x14ac:dyDescent="0.3">
      <c r="A1189" s="80">
        <v>45692</v>
      </c>
      <c r="B1189">
        <v>1010100</v>
      </c>
      <c r="C1189">
        <v>1990</v>
      </c>
      <c r="E1189" s="80">
        <v>45686</v>
      </c>
      <c r="F1189">
        <v>3010101</v>
      </c>
      <c r="G1189">
        <v>25201</v>
      </c>
    </row>
    <row r="1190" spans="1:7" x14ac:dyDescent="0.3">
      <c r="A1190" s="80">
        <v>45692</v>
      </c>
      <c r="B1190">
        <v>1010100</v>
      </c>
      <c r="C1190">
        <v>3590</v>
      </c>
      <c r="E1190" s="80">
        <v>45686</v>
      </c>
      <c r="F1190">
        <v>3010101</v>
      </c>
      <c r="G1190">
        <v>25201</v>
      </c>
    </row>
    <row r="1191" spans="1:7" x14ac:dyDescent="0.3">
      <c r="A1191" s="80">
        <v>45692</v>
      </c>
      <c r="B1191">
        <v>1010100</v>
      </c>
      <c r="C1191">
        <v>4290</v>
      </c>
      <c r="E1191" s="80">
        <v>45686</v>
      </c>
      <c r="F1191">
        <v>3010101</v>
      </c>
      <c r="G1191">
        <v>25201</v>
      </c>
    </row>
    <row r="1192" spans="1:7" x14ac:dyDescent="0.3">
      <c r="A1192" s="80">
        <v>45691</v>
      </c>
      <c r="B1192">
        <v>1010100</v>
      </c>
      <c r="C1192">
        <v>3590</v>
      </c>
      <c r="E1192" s="80">
        <v>45686</v>
      </c>
      <c r="F1192">
        <v>3010101</v>
      </c>
      <c r="G1192">
        <v>25201</v>
      </c>
    </row>
    <row r="1193" spans="1:7" x14ac:dyDescent="0.3">
      <c r="A1193" s="80">
        <v>45691</v>
      </c>
      <c r="B1193">
        <v>1010100</v>
      </c>
      <c r="C1193">
        <v>1990</v>
      </c>
      <c r="E1193" s="80">
        <v>45686</v>
      </c>
      <c r="F1193">
        <v>3010101</v>
      </c>
      <c r="G1193">
        <v>25201</v>
      </c>
    </row>
    <row r="1194" spans="1:7" x14ac:dyDescent="0.3">
      <c r="A1194" s="80">
        <v>45691</v>
      </c>
      <c r="B1194">
        <v>1010100</v>
      </c>
      <c r="C1194">
        <v>0</v>
      </c>
      <c r="E1194" s="80">
        <v>45686</v>
      </c>
      <c r="F1194">
        <v>3010101</v>
      </c>
      <c r="G1194">
        <v>22681</v>
      </c>
    </row>
    <row r="1195" spans="1:7" x14ac:dyDescent="0.3">
      <c r="A1195" s="80">
        <v>45691</v>
      </c>
      <c r="B1195">
        <v>1010100</v>
      </c>
      <c r="C1195">
        <v>0</v>
      </c>
      <c r="E1195" s="80">
        <v>45685</v>
      </c>
      <c r="F1195">
        <v>3010101</v>
      </c>
      <c r="G1195">
        <v>27722</v>
      </c>
    </row>
    <row r="1196" spans="1:7" x14ac:dyDescent="0.3">
      <c r="A1196" s="80">
        <v>45691</v>
      </c>
      <c r="B1196">
        <v>1010100</v>
      </c>
      <c r="C1196">
        <v>1990</v>
      </c>
      <c r="E1196" s="80">
        <v>45685</v>
      </c>
      <c r="F1196">
        <v>3010101</v>
      </c>
      <c r="G1196">
        <v>25201</v>
      </c>
    </row>
    <row r="1197" spans="1:7" x14ac:dyDescent="0.3">
      <c r="A1197" s="80">
        <v>45691</v>
      </c>
      <c r="B1197">
        <v>1010100</v>
      </c>
      <c r="C1197">
        <v>4290</v>
      </c>
      <c r="E1197" s="80">
        <v>45685</v>
      </c>
      <c r="F1197">
        <v>3010101</v>
      </c>
      <c r="G1197">
        <v>25201</v>
      </c>
    </row>
    <row r="1198" spans="1:7" x14ac:dyDescent="0.3">
      <c r="A1198" s="80">
        <v>45690</v>
      </c>
      <c r="B1198">
        <v>1010100</v>
      </c>
      <c r="C1198">
        <v>4690</v>
      </c>
      <c r="E1198" s="80">
        <v>45685</v>
      </c>
      <c r="F1198">
        <v>3010101</v>
      </c>
      <c r="G1198">
        <v>25201</v>
      </c>
    </row>
    <row r="1199" spans="1:7" x14ac:dyDescent="0.3">
      <c r="A1199" s="80">
        <v>45690</v>
      </c>
      <c r="B1199">
        <v>1010100</v>
      </c>
      <c r="C1199">
        <v>0</v>
      </c>
      <c r="E1199" s="80">
        <v>45685</v>
      </c>
      <c r="F1199">
        <v>3010101</v>
      </c>
      <c r="G1199">
        <v>25201</v>
      </c>
    </row>
    <row r="1200" spans="1:7" x14ac:dyDescent="0.3">
      <c r="A1200" s="80">
        <v>45690</v>
      </c>
      <c r="B1200">
        <v>1010100</v>
      </c>
      <c r="C1200">
        <v>1990</v>
      </c>
      <c r="E1200" s="80">
        <v>45685</v>
      </c>
      <c r="F1200">
        <v>3010101</v>
      </c>
      <c r="G1200">
        <v>25201</v>
      </c>
    </row>
    <row r="1201" spans="1:7" x14ac:dyDescent="0.3">
      <c r="A1201" s="80">
        <v>45690</v>
      </c>
      <c r="B1201">
        <v>1010100</v>
      </c>
      <c r="C1201">
        <v>4490</v>
      </c>
      <c r="E1201" s="80">
        <v>45685</v>
      </c>
      <c r="F1201">
        <v>3010101</v>
      </c>
      <c r="G1201">
        <v>25201</v>
      </c>
    </row>
    <row r="1202" spans="1:7" x14ac:dyDescent="0.3">
      <c r="A1202" s="80">
        <v>45690</v>
      </c>
      <c r="B1202">
        <v>1010100</v>
      </c>
      <c r="C1202">
        <v>3990</v>
      </c>
      <c r="E1202" s="80">
        <v>45685</v>
      </c>
      <c r="F1202">
        <v>3010101</v>
      </c>
      <c r="G1202">
        <v>25201</v>
      </c>
    </row>
    <row r="1203" spans="1:7" x14ac:dyDescent="0.3">
      <c r="A1203" s="80">
        <v>45690</v>
      </c>
      <c r="B1203">
        <v>1010100</v>
      </c>
      <c r="C1203">
        <v>1990</v>
      </c>
      <c r="E1203" s="80">
        <v>45684</v>
      </c>
      <c r="F1203">
        <v>3010101</v>
      </c>
      <c r="G1203">
        <v>25201</v>
      </c>
    </row>
    <row r="1204" spans="1:7" x14ac:dyDescent="0.3">
      <c r="A1204" s="80">
        <v>45690</v>
      </c>
      <c r="B1204">
        <v>1010100</v>
      </c>
      <c r="C1204">
        <v>3590</v>
      </c>
      <c r="E1204" s="80">
        <v>45684</v>
      </c>
      <c r="F1204">
        <v>3010101</v>
      </c>
      <c r="G1204">
        <v>25201</v>
      </c>
    </row>
    <row r="1205" spans="1:7" x14ac:dyDescent="0.3">
      <c r="A1205" s="80">
        <v>45690</v>
      </c>
      <c r="B1205">
        <v>1010100</v>
      </c>
      <c r="C1205">
        <v>1990</v>
      </c>
      <c r="E1205" s="80">
        <v>45684</v>
      </c>
      <c r="F1205">
        <v>3010101</v>
      </c>
      <c r="G1205">
        <v>27722</v>
      </c>
    </row>
    <row r="1206" spans="1:7" x14ac:dyDescent="0.3">
      <c r="A1206" s="80">
        <v>45690</v>
      </c>
      <c r="B1206">
        <v>1010100</v>
      </c>
      <c r="C1206">
        <v>1990</v>
      </c>
      <c r="E1206" s="80">
        <v>45684</v>
      </c>
      <c r="F1206">
        <v>3010101</v>
      </c>
      <c r="G1206">
        <v>25201</v>
      </c>
    </row>
    <row r="1207" spans="1:7" x14ac:dyDescent="0.3">
      <c r="A1207" s="80">
        <v>45690</v>
      </c>
      <c r="B1207">
        <v>1010100</v>
      </c>
      <c r="C1207">
        <v>0</v>
      </c>
      <c r="E1207" s="80">
        <v>45684</v>
      </c>
      <c r="F1207">
        <v>3010101</v>
      </c>
      <c r="G1207">
        <v>25201</v>
      </c>
    </row>
    <row r="1208" spans="1:7" x14ac:dyDescent="0.3">
      <c r="A1208" s="80">
        <v>45690</v>
      </c>
      <c r="B1208">
        <v>1010100</v>
      </c>
      <c r="C1208">
        <v>1990</v>
      </c>
      <c r="E1208" s="80">
        <v>45684</v>
      </c>
      <c r="F1208">
        <v>3010101</v>
      </c>
      <c r="G1208">
        <v>25201</v>
      </c>
    </row>
    <row r="1209" spans="1:7" x14ac:dyDescent="0.3">
      <c r="A1209" s="80">
        <v>45690</v>
      </c>
      <c r="B1209">
        <v>1010100</v>
      </c>
      <c r="C1209">
        <v>3790</v>
      </c>
      <c r="E1209" s="80">
        <v>45684</v>
      </c>
      <c r="F1209">
        <v>3010101</v>
      </c>
      <c r="G1209">
        <v>50403</v>
      </c>
    </row>
    <row r="1210" spans="1:7" x14ac:dyDescent="0.3">
      <c r="A1210" s="80">
        <v>45690</v>
      </c>
      <c r="B1210">
        <v>1010100</v>
      </c>
      <c r="C1210">
        <v>4290</v>
      </c>
      <c r="E1210" s="80">
        <v>45684</v>
      </c>
      <c r="F1210">
        <v>3010101</v>
      </c>
      <c r="G1210">
        <v>25201</v>
      </c>
    </row>
    <row r="1211" spans="1:7" x14ac:dyDescent="0.3">
      <c r="A1211" s="80">
        <v>45690</v>
      </c>
      <c r="B1211">
        <v>1010100</v>
      </c>
      <c r="C1211">
        <v>1990</v>
      </c>
      <c r="E1211" s="80">
        <v>45683</v>
      </c>
      <c r="F1211">
        <v>3010101</v>
      </c>
      <c r="G1211">
        <v>25201</v>
      </c>
    </row>
    <row r="1212" spans="1:7" x14ac:dyDescent="0.3">
      <c r="A1212" s="80">
        <v>45690</v>
      </c>
      <c r="B1212">
        <v>1010100</v>
      </c>
      <c r="C1212">
        <v>5490</v>
      </c>
      <c r="E1212" s="80">
        <v>45683</v>
      </c>
      <c r="F1212">
        <v>3010101</v>
      </c>
      <c r="G1212">
        <v>25201</v>
      </c>
    </row>
    <row r="1213" spans="1:7" x14ac:dyDescent="0.3">
      <c r="A1213" s="80">
        <v>45690</v>
      </c>
      <c r="B1213">
        <v>1010100</v>
      </c>
      <c r="C1213">
        <v>0</v>
      </c>
      <c r="E1213" s="80">
        <v>45683</v>
      </c>
      <c r="F1213">
        <v>3010101</v>
      </c>
      <c r="G1213">
        <v>25201</v>
      </c>
    </row>
    <row r="1214" spans="1:7" x14ac:dyDescent="0.3">
      <c r="A1214" s="80">
        <v>45690</v>
      </c>
      <c r="B1214">
        <v>1010100</v>
      </c>
      <c r="C1214">
        <v>0</v>
      </c>
      <c r="E1214" s="80">
        <v>45683</v>
      </c>
      <c r="F1214">
        <v>3010101</v>
      </c>
      <c r="G1214">
        <v>27722</v>
      </c>
    </row>
    <row r="1215" spans="1:7" x14ac:dyDescent="0.3">
      <c r="A1215" s="80">
        <v>45690</v>
      </c>
      <c r="B1215">
        <v>1010100</v>
      </c>
      <c r="C1215">
        <v>0</v>
      </c>
      <c r="E1215" s="80">
        <v>45683</v>
      </c>
      <c r="F1215">
        <v>3010101</v>
      </c>
      <c r="G1215">
        <v>25201</v>
      </c>
    </row>
    <row r="1216" spans="1:7" x14ac:dyDescent="0.3">
      <c r="A1216" s="80">
        <v>45690</v>
      </c>
      <c r="B1216">
        <v>1010100</v>
      </c>
      <c r="C1216">
        <v>0</v>
      </c>
      <c r="E1216" s="80">
        <v>45683</v>
      </c>
      <c r="F1216">
        <v>3010101</v>
      </c>
      <c r="G1216">
        <v>25201</v>
      </c>
    </row>
    <row r="1217" spans="1:7" x14ac:dyDescent="0.3">
      <c r="A1217" s="80">
        <v>45690</v>
      </c>
      <c r="B1217">
        <v>1010100</v>
      </c>
      <c r="C1217">
        <v>0</v>
      </c>
      <c r="E1217" s="80">
        <v>45683</v>
      </c>
      <c r="F1217">
        <v>3010101</v>
      </c>
      <c r="G1217">
        <v>25201</v>
      </c>
    </row>
    <row r="1218" spans="1:7" x14ac:dyDescent="0.3">
      <c r="A1218" s="80">
        <v>45690</v>
      </c>
      <c r="B1218">
        <v>1010100</v>
      </c>
      <c r="C1218">
        <v>0</v>
      </c>
      <c r="E1218" s="80">
        <v>45683</v>
      </c>
      <c r="F1218">
        <v>3010101</v>
      </c>
      <c r="G1218">
        <v>25201</v>
      </c>
    </row>
    <row r="1219" spans="1:7" x14ac:dyDescent="0.3">
      <c r="A1219" s="80">
        <v>45690</v>
      </c>
      <c r="B1219">
        <v>1010100</v>
      </c>
      <c r="C1219">
        <v>0</v>
      </c>
      <c r="E1219" s="80">
        <v>45682</v>
      </c>
      <c r="F1219">
        <v>3010101</v>
      </c>
      <c r="G1219">
        <v>25201</v>
      </c>
    </row>
    <row r="1220" spans="1:7" x14ac:dyDescent="0.3">
      <c r="A1220" s="80">
        <v>45689</v>
      </c>
      <c r="B1220">
        <v>1010100</v>
      </c>
      <c r="C1220">
        <v>0</v>
      </c>
      <c r="E1220" s="80">
        <v>45682</v>
      </c>
      <c r="F1220">
        <v>3010101</v>
      </c>
      <c r="G1220">
        <v>25201</v>
      </c>
    </row>
    <row r="1221" spans="1:7" x14ac:dyDescent="0.3">
      <c r="A1221" s="80">
        <v>45689</v>
      </c>
      <c r="B1221">
        <v>1010100</v>
      </c>
      <c r="C1221">
        <v>3990</v>
      </c>
      <c r="E1221" s="80">
        <v>45682</v>
      </c>
      <c r="F1221">
        <v>3010101</v>
      </c>
      <c r="G1221">
        <v>27722</v>
      </c>
    </row>
    <row r="1222" spans="1:7" x14ac:dyDescent="0.3">
      <c r="A1222" s="80">
        <v>45689</v>
      </c>
      <c r="B1222">
        <v>1010100</v>
      </c>
      <c r="C1222">
        <v>0</v>
      </c>
      <c r="E1222" s="80">
        <v>45682</v>
      </c>
      <c r="F1222">
        <v>3010101</v>
      </c>
      <c r="G1222">
        <v>25201</v>
      </c>
    </row>
    <row r="1223" spans="1:7" x14ac:dyDescent="0.3">
      <c r="A1223" s="80">
        <v>45689</v>
      </c>
      <c r="B1223">
        <v>1010100</v>
      </c>
      <c r="C1223">
        <v>1990</v>
      </c>
      <c r="E1223" s="80">
        <v>45682</v>
      </c>
      <c r="F1223">
        <v>3010101</v>
      </c>
      <c r="G1223">
        <v>25201</v>
      </c>
    </row>
    <row r="1224" spans="1:7" x14ac:dyDescent="0.3">
      <c r="A1224" s="80">
        <v>45689</v>
      </c>
      <c r="B1224">
        <v>1010100</v>
      </c>
      <c r="C1224">
        <v>1990</v>
      </c>
      <c r="E1224" s="80">
        <v>45682</v>
      </c>
      <c r="F1224">
        <v>3010101</v>
      </c>
      <c r="G1224">
        <v>27722</v>
      </c>
    </row>
    <row r="1225" spans="1:7" x14ac:dyDescent="0.3">
      <c r="A1225" s="80">
        <v>45689</v>
      </c>
      <c r="B1225">
        <v>1010100</v>
      </c>
      <c r="C1225">
        <v>1990</v>
      </c>
      <c r="E1225" s="80">
        <v>45682</v>
      </c>
      <c r="F1225">
        <v>3010101</v>
      </c>
      <c r="G1225">
        <v>25201</v>
      </c>
    </row>
    <row r="1226" spans="1:7" x14ac:dyDescent="0.3">
      <c r="A1226" s="80">
        <v>45688</v>
      </c>
      <c r="B1226">
        <v>1010100</v>
      </c>
      <c r="C1226">
        <v>0</v>
      </c>
      <c r="E1226" s="80">
        <v>45682</v>
      </c>
      <c r="F1226">
        <v>3010101</v>
      </c>
      <c r="G1226">
        <v>25201</v>
      </c>
    </row>
    <row r="1227" spans="1:7" x14ac:dyDescent="0.3">
      <c r="A1227" s="80">
        <v>45688</v>
      </c>
      <c r="B1227">
        <v>1010100</v>
      </c>
      <c r="C1227">
        <v>1990</v>
      </c>
      <c r="E1227" s="80">
        <v>45682</v>
      </c>
      <c r="F1227">
        <v>3010101</v>
      </c>
      <c r="G1227">
        <v>25201</v>
      </c>
    </row>
    <row r="1228" spans="1:7" x14ac:dyDescent="0.3">
      <c r="A1228" s="80">
        <v>45688</v>
      </c>
      <c r="B1228">
        <v>1010100</v>
      </c>
      <c r="C1228">
        <v>4521</v>
      </c>
      <c r="E1228" s="80">
        <v>45682</v>
      </c>
      <c r="F1228">
        <v>3010101</v>
      </c>
      <c r="G1228">
        <v>25201</v>
      </c>
    </row>
    <row r="1229" spans="1:7" x14ac:dyDescent="0.3">
      <c r="A1229" s="80">
        <v>45688</v>
      </c>
      <c r="B1229">
        <v>1010100</v>
      </c>
      <c r="C1229">
        <v>0</v>
      </c>
      <c r="E1229" s="80">
        <v>45682</v>
      </c>
      <c r="F1229">
        <v>3010101</v>
      </c>
      <c r="G1229">
        <v>27722</v>
      </c>
    </row>
    <row r="1230" spans="1:7" x14ac:dyDescent="0.3">
      <c r="A1230" s="80">
        <v>45688</v>
      </c>
      <c r="B1230">
        <v>1010100</v>
      </c>
      <c r="C1230">
        <v>0</v>
      </c>
      <c r="E1230" s="80">
        <v>45682</v>
      </c>
      <c r="F1230">
        <v>3010101</v>
      </c>
      <c r="G1230">
        <v>25201</v>
      </c>
    </row>
    <row r="1231" spans="1:7" x14ac:dyDescent="0.3">
      <c r="A1231" s="80">
        <v>45688</v>
      </c>
      <c r="B1231">
        <v>1010100</v>
      </c>
      <c r="C1231">
        <v>1990</v>
      </c>
      <c r="E1231" s="80">
        <v>45682</v>
      </c>
      <c r="F1231">
        <v>3010101</v>
      </c>
      <c r="G1231">
        <v>25201</v>
      </c>
    </row>
    <row r="1232" spans="1:7" x14ac:dyDescent="0.3">
      <c r="A1232" s="80">
        <v>45687</v>
      </c>
      <c r="B1232">
        <v>1010100</v>
      </c>
      <c r="C1232">
        <v>1990</v>
      </c>
      <c r="E1232" s="80">
        <v>45682</v>
      </c>
      <c r="F1232">
        <v>3010101</v>
      </c>
      <c r="G1232">
        <v>25201</v>
      </c>
    </row>
    <row r="1233" spans="1:7" x14ac:dyDescent="0.3">
      <c r="A1233" s="80">
        <v>45687</v>
      </c>
      <c r="B1233">
        <v>1010100</v>
      </c>
      <c r="C1233">
        <v>3590</v>
      </c>
      <c r="E1233" s="80">
        <v>45682</v>
      </c>
      <c r="F1233">
        <v>3010101</v>
      </c>
      <c r="G1233">
        <v>25201</v>
      </c>
    </row>
    <row r="1234" spans="1:7" x14ac:dyDescent="0.3">
      <c r="A1234" s="80">
        <v>45687</v>
      </c>
      <c r="B1234">
        <v>1010100</v>
      </c>
      <c r="C1234">
        <v>1990</v>
      </c>
      <c r="E1234" s="80">
        <v>45681</v>
      </c>
      <c r="F1234">
        <v>3010101</v>
      </c>
      <c r="G1234">
        <v>25201</v>
      </c>
    </row>
    <row r="1235" spans="1:7" x14ac:dyDescent="0.3">
      <c r="A1235" s="80">
        <v>45687</v>
      </c>
      <c r="B1235">
        <v>1010100</v>
      </c>
      <c r="C1235">
        <v>1990</v>
      </c>
      <c r="E1235" s="80">
        <v>45681</v>
      </c>
      <c r="F1235">
        <v>3010101</v>
      </c>
      <c r="G1235">
        <v>25201</v>
      </c>
    </row>
    <row r="1236" spans="1:7" x14ac:dyDescent="0.3">
      <c r="A1236" s="80">
        <v>45687</v>
      </c>
      <c r="B1236">
        <v>1010100</v>
      </c>
      <c r="C1236">
        <v>2590</v>
      </c>
      <c r="E1236" s="80">
        <v>45681</v>
      </c>
      <c r="F1236">
        <v>3010101</v>
      </c>
      <c r="G1236">
        <v>25201</v>
      </c>
    </row>
    <row r="1237" spans="1:7" x14ac:dyDescent="0.3">
      <c r="A1237" s="80">
        <v>45687</v>
      </c>
      <c r="B1237">
        <v>1010100</v>
      </c>
      <c r="C1237">
        <v>1990</v>
      </c>
      <c r="E1237" s="80">
        <v>45681</v>
      </c>
      <c r="F1237">
        <v>3010101</v>
      </c>
      <c r="G1237">
        <v>25201</v>
      </c>
    </row>
    <row r="1238" spans="1:7" x14ac:dyDescent="0.3">
      <c r="A1238" s="80">
        <v>45687</v>
      </c>
      <c r="B1238">
        <v>1010100</v>
      </c>
      <c r="C1238">
        <v>0</v>
      </c>
      <c r="E1238" s="80">
        <v>45681</v>
      </c>
      <c r="F1238">
        <v>3010101</v>
      </c>
      <c r="G1238">
        <v>25201</v>
      </c>
    </row>
    <row r="1239" spans="1:7" x14ac:dyDescent="0.3">
      <c r="A1239" s="80">
        <v>45687</v>
      </c>
      <c r="B1239">
        <v>1010100</v>
      </c>
      <c r="C1239">
        <v>0</v>
      </c>
      <c r="E1239" s="80">
        <v>45681</v>
      </c>
      <c r="F1239">
        <v>3010101</v>
      </c>
      <c r="G1239">
        <v>25201</v>
      </c>
    </row>
    <row r="1240" spans="1:7" x14ac:dyDescent="0.3">
      <c r="A1240" s="80">
        <v>45687</v>
      </c>
      <c r="B1240">
        <v>1010100</v>
      </c>
      <c r="C1240">
        <v>0</v>
      </c>
      <c r="E1240" s="80">
        <v>45681</v>
      </c>
      <c r="F1240">
        <v>3010101</v>
      </c>
      <c r="G1240">
        <v>25201</v>
      </c>
    </row>
    <row r="1241" spans="1:7" x14ac:dyDescent="0.3">
      <c r="A1241" s="80">
        <v>45687</v>
      </c>
      <c r="B1241">
        <v>1010100</v>
      </c>
      <c r="C1241">
        <v>0</v>
      </c>
      <c r="E1241" s="80">
        <v>45681</v>
      </c>
      <c r="F1241">
        <v>3010101</v>
      </c>
      <c r="G1241">
        <v>25201</v>
      </c>
    </row>
    <row r="1242" spans="1:7" x14ac:dyDescent="0.3">
      <c r="A1242" s="80">
        <v>45687</v>
      </c>
      <c r="B1242">
        <v>1010100</v>
      </c>
      <c r="C1242">
        <v>3790</v>
      </c>
      <c r="E1242" s="80">
        <v>45680</v>
      </c>
      <c r="F1242">
        <v>3010101</v>
      </c>
      <c r="G1242">
        <v>25201</v>
      </c>
    </row>
    <row r="1243" spans="1:7" x14ac:dyDescent="0.3">
      <c r="A1243" s="80">
        <v>45687</v>
      </c>
      <c r="B1243">
        <v>1010100</v>
      </c>
      <c r="C1243">
        <v>1990</v>
      </c>
      <c r="E1243" s="80">
        <v>45680</v>
      </c>
      <c r="F1243">
        <v>3010101</v>
      </c>
      <c r="G1243">
        <v>25201</v>
      </c>
    </row>
    <row r="1244" spans="1:7" x14ac:dyDescent="0.3">
      <c r="A1244" s="80">
        <v>45687</v>
      </c>
      <c r="B1244">
        <v>1010100</v>
      </c>
      <c r="C1244">
        <v>1990</v>
      </c>
      <c r="E1244" s="80">
        <v>45680</v>
      </c>
      <c r="F1244">
        <v>3010101</v>
      </c>
      <c r="G1244">
        <v>25201</v>
      </c>
    </row>
    <row r="1245" spans="1:7" x14ac:dyDescent="0.3">
      <c r="A1245" s="80">
        <v>45687</v>
      </c>
      <c r="B1245">
        <v>1010100</v>
      </c>
      <c r="C1245">
        <v>1990</v>
      </c>
      <c r="E1245" s="80">
        <v>45680</v>
      </c>
      <c r="F1245">
        <v>3010101</v>
      </c>
      <c r="G1245">
        <v>25201</v>
      </c>
    </row>
    <row r="1246" spans="1:7" x14ac:dyDescent="0.3">
      <c r="A1246" s="80">
        <v>45687</v>
      </c>
      <c r="B1246">
        <v>1010100</v>
      </c>
      <c r="C1246">
        <v>0</v>
      </c>
      <c r="E1246" s="80">
        <v>45680</v>
      </c>
      <c r="F1246">
        <v>3010101</v>
      </c>
      <c r="G1246">
        <v>25201</v>
      </c>
    </row>
    <row r="1247" spans="1:7" x14ac:dyDescent="0.3">
      <c r="A1247" s="80">
        <v>45687</v>
      </c>
      <c r="B1247">
        <v>1010100</v>
      </c>
      <c r="C1247">
        <v>1990</v>
      </c>
      <c r="E1247" s="80">
        <v>45680</v>
      </c>
      <c r="F1247">
        <v>3010101</v>
      </c>
      <c r="G1247">
        <v>25201</v>
      </c>
    </row>
    <row r="1248" spans="1:7" x14ac:dyDescent="0.3">
      <c r="A1248" s="80">
        <v>45687</v>
      </c>
      <c r="B1248">
        <v>1010100</v>
      </c>
      <c r="C1248">
        <v>0</v>
      </c>
      <c r="E1248" s="80">
        <v>45680</v>
      </c>
      <c r="F1248">
        <v>3010101</v>
      </c>
      <c r="G1248">
        <v>25201</v>
      </c>
    </row>
    <row r="1249" spans="1:7" x14ac:dyDescent="0.3">
      <c r="A1249" s="80">
        <v>45686</v>
      </c>
      <c r="B1249">
        <v>1010100</v>
      </c>
      <c r="C1249">
        <v>0</v>
      </c>
      <c r="E1249" s="80">
        <v>45679</v>
      </c>
      <c r="F1249">
        <v>3010101</v>
      </c>
      <c r="G1249">
        <v>25201</v>
      </c>
    </row>
    <row r="1250" spans="1:7" x14ac:dyDescent="0.3">
      <c r="A1250" s="80">
        <v>45686</v>
      </c>
      <c r="B1250">
        <v>1010100</v>
      </c>
      <c r="C1250">
        <v>1990</v>
      </c>
      <c r="E1250" s="80">
        <v>45679</v>
      </c>
      <c r="F1250">
        <v>3010101</v>
      </c>
      <c r="G1250">
        <v>25201</v>
      </c>
    </row>
    <row r="1251" spans="1:7" x14ac:dyDescent="0.3">
      <c r="A1251" s="80">
        <v>45686</v>
      </c>
      <c r="B1251">
        <v>1010100</v>
      </c>
      <c r="C1251">
        <v>3990</v>
      </c>
      <c r="E1251" s="80">
        <v>45679</v>
      </c>
      <c r="F1251">
        <v>3010101</v>
      </c>
      <c r="G1251">
        <v>25201</v>
      </c>
    </row>
    <row r="1252" spans="1:7" x14ac:dyDescent="0.3">
      <c r="A1252" s="80">
        <v>45686</v>
      </c>
      <c r="B1252">
        <v>1010100</v>
      </c>
      <c r="C1252">
        <v>1990</v>
      </c>
      <c r="E1252" s="80">
        <v>45679</v>
      </c>
      <c r="F1252">
        <v>3010101</v>
      </c>
      <c r="G1252">
        <v>25201</v>
      </c>
    </row>
    <row r="1253" spans="1:7" x14ac:dyDescent="0.3">
      <c r="A1253" s="80">
        <v>45686</v>
      </c>
      <c r="B1253">
        <v>1010100</v>
      </c>
      <c r="C1253">
        <v>4390</v>
      </c>
      <c r="E1253" s="80">
        <v>45679</v>
      </c>
      <c r="F1253">
        <v>3010101</v>
      </c>
      <c r="G1253">
        <v>25201</v>
      </c>
    </row>
    <row r="1254" spans="1:7" x14ac:dyDescent="0.3">
      <c r="A1254" s="80">
        <v>45686</v>
      </c>
      <c r="B1254">
        <v>1010100</v>
      </c>
      <c r="C1254">
        <v>3590</v>
      </c>
      <c r="E1254" s="80">
        <v>45679</v>
      </c>
      <c r="F1254">
        <v>3010101</v>
      </c>
      <c r="G1254">
        <v>25201</v>
      </c>
    </row>
    <row r="1255" spans="1:7" x14ac:dyDescent="0.3">
      <c r="A1255" s="80">
        <v>45686</v>
      </c>
      <c r="B1255">
        <v>1010100</v>
      </c>
      <c r="C1255">
        <v>0</v>
      </c>
      <c r="E1255" s="80">
        <v>45679</v>
      </c>
      <c r="F1255">
        <v>3010101</v>
      </c>
      <c r="G1255">
        <v>45363</v>
      </c>
    </row>
    <row r="1256" spans="1:7" x14ac:dyDescent="0.3">
      <c r="A1256" s="80">
        <v>45686</v>
      </c>
      <c r="B1256">
        <v>1010100</v>
      </c>
      <c r="C1256">
        <v>1990</v>
      </c>
      <c r="E1256" s="80">
        <v>45679</v>
      </c>
      <c r="F1256">
        <v>3010101</v>
      </c>
      <c r="G1256">
        <v>22681</v>
      </c>
    </row>
    <row r="1257" spans="1:7" x14ac:dyDescent="0.3">
      <c r="A1257" s="80">
        <v>45686</v>
      </c>
      <c r="B1257">
        <v>1010100</v>
      </c>
      <c r="C1257">
        <v>5290</v>
      </c>
      <c r="E1257" s="80">
        <v>45679</v>
      </c>
      <c r="F1257">
        <v>3010101</v>
      </c>
      <c r="G1257">
        <v>25201</v>
      </c>
    </row>
    <row r="1258" spans="1:7" x14ac:dyDescent="0.3">
      <c r="A1258" s="80">
        <v>45686</v>
      </c>
      <c r="B1258">
        <v>1010100</v>
      </c>
      <c r="C1258">
        <v>4790</v>
      </c>
      <c r="E1258" s="80">
        <v>45678</v>
      </c>
      <c r="F1258">
        <v>3010101</v>
      </c>
      <c r="G1258">
        <v>25201</v>
      </c>
    </row>
    <row r="1259" spans="1:7" x14ac:dyDescent="0.3">
      <c r="A1259" s="80">
        <v>45686</v>
      </c>
      <c r="B1259">
        <v>1010100</v>
      </c>
      <c r="C1259">
        <v>1990</v>
      </c>
      <c r="E1259" s="80">
        <v>45678</v>
      </c>
      <c r="F1259">
        <v>3010101</v>
      </c>
      <c r="G1259">
        <v>25201</v>
      </c>
    </row>
    <row r="1260" spans="1:7" x14ac:dyDescent="0.3">
      <c r="A1260" s="80">
        <v>45686</v>
      </c>
      <c r="B1260">
        <v>1010100</v>
      </c>
      <c r="C1260">
        <v>1990</v>
      </c>
      <c r="E1260" s="80">
        <v>45678</v>
      </c>
      <c r="F1260">
        <v>3010101</v>
      </c>
      <c r="G1260">
        <v>25201</v>
      </c>
    </row>
    <row r="1261" spans="1:7" x14ac:dyDescent="0.3">
      <c r="A1261" s="80">
        <v>45685</v>
      </c>
      <c r="B1261">
        <v>1010100</v>
      </c>
      <c r="C1261">
        <v>0</v>
      </c>
      <c r="E1261" s="80">
        <v>45678</v>
      </c>
      <c r="F1261">
        <v>3010101</v>
      </c>
      <c r="G1261">
        <v>25201</v>
      </c>
    </row>
    <row r="1262" spans="1:7" x14ac:dyDescent="0.3">
      <c r="A1262" s="80">
        <v>45685</v>
      </c>
      <c r="B1262">
        <v>1010100</v>
      </c>
      <c r="C1262">
        <v>1990</v>
      </c>
      <c r="E1262" s="80">
        <v>45678</v>
      </c>
      <c r="F1262">
        <v>3010101</v>
      </c>
      <c r="G1262">
        <v>25201</v>
      </c>
    </row>
    <row r="1263" spans="1:7" x14ac:dyDescent="0.3">
      <c r="A1263" s="80">
        <v>45685</v>
      </c>
      <c r="B1263">
        <v>1010100</v>
      </c>
      <c r="C1263">
        <v>1990</v>
      </c>
      <c r="E1263" s="80">
        <v>45678</v>
      </c>
      <c r="F1263">
        <v>3010101</v>
      </c>
      <c r="G1263">
        <v>25201</v>
      </c>
    </row>
    <row r="1264" spans="1:7" x14ac:dyDescent="0.3">
      <c r="A1264" s="80">
        <v>45685</v>
      </c>
      <c r="B1264">
        <v>1010100</v>
      </c>
      <c r="C1264">
        <v>3790</v>
      </c>
      <c r="E1264" s="80">
        <v>45678</v>
      </c>
      <c r="F1264">
        <v>3010101</v>
      </c>
      <c r="G1264">
        <v>25201</v>
      </c>
    </row>
    <row r="1265" spans="1:7" x14ac:dyDescent="0.3">
      <c r="A1265" s="80">
        <v>45685</v>
      </c>
      <c r="B1265">
        <v>1010100</v>
      </c>
      <c r="C1265">
        <v>1990</v>
      </c>
      <c r="E1265" s="80">
        <v>45678</v>
      </c>
      <c r="F1265">
        <v>3010101</v>
      </c>
      <c r="G1265">
        <v>25201</v>
      </c>
    </row>
    <row r="1266" spans="1:7" x14ac:dyDescent="0.3">
      <c r="A1266" s="80">
        <v>45685</v>
      </c>
      <c r="B1266">
        <v>1010100</v>
      </c>
      <c r="C1266">
        <v>1990</v>
      </c>
      <c r="E1266" s="80">
        <v>45678</v>
      </c>
      <c r="F1266">
        <v>3010101</v>
      </c>
      <c r="G1266">
        <v>25201</v>
      </c>
    </row>
    <row r="1267" spans="1:7" x14ac:dyDescent="0.3">
      <c r="A1267" s="80">
        <v>45685</v>
      </c>
      <c r="B1267">
        <v>1010100</v>
      </c>
      <c r="C1267">
        <v>3990</v>
      </c>
      <c r="E1267" s="80">
        <v>45678</v>
      </c>
      <c r="F1267">
        <v>3010101</v>
      </c>
      <c r="G1267">
        <v>25201</v>
      </c>
    </row>
    <row r="1268" spans="1:7" x14ac:dyDescent="0.3">
      <c r="A1268" s="80">
        <v>45685</v>
      </c>
      <c r="B1268">
        <v>1010100</v>
      </c>
      <c r="C1268">
        <v>1990</v>
      </c>
      <c r="E1268" s="80">
        <v>45678</v>
      </c>
      <c r="F1268">
        <v>3010101</v>
      </c>
      <c r="G1268">
        <v>22681</v>
      </c>
    </row>
    <row r="1269" spans="1:7" x14ac:dyDescent="0.3">
      <c r="A1269" s="80">
        <v>45684</v>
      </c>
      <c r="B1269">
        <v>1010100</v>
      </c>
      <c r="C1269">
        <v>1990</v>
      </c>
      <c r="E1269" s="80">
        <v>45678</v>
      </c>
      <c r="F1269">
        <v>3010101</v>
      </c>
      <c r="G1269">
        <v>25201</v>
      </c>
    </row>
    <row r="1270" spans="1:7" x14ac:dyDescent="0.3">
      <c r="A1270" s="80">
        <v>45684</v>
      </c>
      <c r="B1270">
        <v>1010100</v>
      </c>
      <c r="C1270">
        <v>1990</v>
      </c>
      <c r="E1270" s="80">
        <v>45678</v>
      </c>
      <c r="F1270">
        <v>3010101</v>
      </c>
      <c r="G1270">
        <v>25201</v>
      </c>
    </row>
    <row r="1271" spans="1:7" x14ac:dyDescent="0.3">
      <c r="A1271" s="80">
        <v>45684</v>
      </c>
      <c r="B1271">
        <v>1010100</v>
      </c>
      <c r="C1271">
        <v>0</v>
      </c>
      <c r="E1271" s="80">
        <v>45678</v>
      </c>
      <c r="F1271">
        <v>3010101</v>
      </c>
      <c r="G1271">
        <v>25201</v>
      </c>
    </row>
    <row r="1272" spans="1:7" x14ac:dyDescent="0.3">
      <c r="A1272" s="80">
        <v>45684</v>
      </c>
      <c r="B1272">
        <v>1010100</v>
      </c>
      <c r="C1272">
        <v>1990</v>
      </c>
      <c r="E1272" s="80">
        <v>45677</v>
      </c>
      <c r="F1272">
        <v>3010101</v>
      </c>
      <c r="G1272">
        <v>25201</v>
      </c>
    </row>
    <row r="1273" spans="1:7" x14ac:dyDescent="0.3">
      <c r="A1273" s="80">
        <v>45684</v>
      </c>
      <c r="B1273">
        <v>1010100</v>
      </c>
      <c r="C1273">
        <v>4190</v>
      </c>
      <c r="E1273" s="80">
        <v>45677</v>
      </c>
      <c r="F1273">
        <v>3010101</v>
      </c>
      <c r="G1273">
        <v>25201</v>
      </c>
    </row>
    <row r="1274" spans="1:7" x14ac:dyDescent="0.3">
      <c r="A1274" s="80">
        <v>45684</v>
      </c>
      <c r="B1274">
        <v>1010100</v>
      </c>
      <c r="C1274">
        <v>4190</v>
      </c>
      <c r="E1274" s="80">
        <v>45677</v>
      </c>
      <c r="F1274">
        <v>3010101</v>
      </c>
      <c r="G1274">
        <v>25201</v>
      </c>
    </row>
    <row r="1275" spans="1:7" x14ac:dyDescent="0.3">
      <c r="A1275" s="80">
        <v>45684</v>
      </c>
      <c r="B1275">
        <v>1010100</v>
      </c>
      <c r="C1275">
        <v>0</v>
      </c>
      <c r="E1275" s="80">
        <v>45677</v>
      </c>
      <c r="F1275">
        <v>3010101</v>
      </c>
      <c r="G1275">
        <v>27722</v>
      </c>
    </row>
    <row r="1276" spans="1:7" x14ac:dyDescent="0.3">
      <c r="A1276" s="80">
        <v>45684</v>
      </c>
      <c r="B1276">
        <v>1010100</v>
      </c>
      <c r="C1276">
        <v>0</v>
      </c>
      <c r="E1276" s="80">
        <v>45677</v>
      </c>
      <c r="F1276">
        <v>3010101</v>
      </c>
      <c r="G1276">
        <v>25201</v>
      </c>
    </row>
    <row r="1277" spans="1:7" x14ac:dyDescent="0.3">
      <c r="A1277" s="80">
        <v>45683</v>
      </c>
      <c r="B1277">
        <v>1010100</v>
      </c>
      <c r="C1277">
        <v>3590</v>
      </c>
      <c r="E1277" s="80">
        <v>45677</v>
      </c>
      <c r="F1277">
        <v>3010101</v>
      </c>
      <c r="G1277">
        <v>25201</v>
      </c>
    </row>
    <row r="1278" spans="1:7" x14ac:dyDescent="0.3">
      <c r="A1278" s="80">
        <v>45683</v>
      </c>
      <c r="B1278">
        <v>1010100</v>
      </c>
      <c r="C1278">
        <v>3790</v>
      </c>
      <c r="E1278" s="80">
        <v>45676</v>
      </c>
      <c r="F1278">
        <v>3010101</v>
      </c>
      <c r="G1278">
        <v>25201</v>
      </c>
    </row>
    <row r="1279" spans="1:7" x14ac:dyDescent="0.3">
      <c r="A1279" s="80">
        <v>45683</v>
      </c>
      <c r="B1279">
        <v>1010100</v>
      </c>
      <c r="C1279">
        <v>1990</v>
      </c>
      <c r="E1279" s="80">
        <v>45676</v>
      </c>
      <c r="F1279">
        <v>3010101</v>
      </c>
      <c r="G1279">
        <v>25201</v>
      </c>
    </row>
    <row r="1280" spans="1:7" x14ac:dyDescent="0.3">
      <c r="A1280" s="80">
        <v>45683</v>
      </c>
      <c r="B1280">
        <v>1010100</v>
      </c>
      <c r="C1280">
        <v>0</v>
      </c>
      <c r="E1280" s="80">
        <v>45676</v>
      </c>
      <c r="F1280">
        <v>3010101</v>
      </c>
      <c r="G1280">
        <v>27722</v>
      </c>
    </row>
    <row r="1281" spans="1:7" x14ac:dyDescent="0.3">
      <c r="A1281" s="80">
        <v>45683</v>
      </c>
      <c r="B1281">
        <v>1010100</v>
      </c>
      <c r="C1281">
        <v>3590</v>
      </c>
      <c r="E1281" s="80">
        <v>45676</v>
      </c>
      <c r="F1281">
        <v>3010101</v>
      </c>
      <c r="G1281">
        <v>25201</v>
      </c>
    </row>
    <row r="1282" spans="1:7" x14ac:dyDescent="0.3">
      <c r="A1282" s="80">
        <v>45683</v>
      </c>
      <c r="B1282">
        <v>1010100</v>
      </c>
      <c r="C1282">
        <v>1990</v>
      </c>
      <c r="E1282" s="80">
        <v>45676</v>
      </c>
      <c r="F1282">
        <v>3010101</v>
      </c>
      <c r="G1282">
        <v>25201</v>
      </c>
    </row>
    <row r="1283" spans="1:7" x14ac:dyDescent="0.3">
      <c r="A1283" s="80">
        <v>45683</v>
      </c>
      <c r="B1283">
        <v>1010100</v>
      </c>
      <c r="C1283">
        <v>1990</v>
      </c>
      <c r="E1283" s="80">
        <v>45676</v>
      </c>
      <c r="F1283">
        <v>3010101</v>
      </c>
      <c r="G1283">
        <v>25201</v>
      </c>
    </row>
    <row r="1284" spans="1:7" x14ac:dyDescent="0.3">
      <c r="A1284" s="80">
        <v>45683</v>
      </c>
      <c r="B1284">
        <v>1010100</v>
      </c>
      <c r="C1284">
        <v>1990</v>
      </c>
      <c r="E1284" s="80">
        <v>45676</v>
      </c>
      <c r="F1284">
        <v>3010101</v>
      </c>
      <c r="G1284">
        <v>25201</v>
      </c>
    </row>
    <row r="1285" spans="1:7" x14ac:dyDescent="0.3">
      <c r="A1285" s="80">
        <v>45682</v>
      </c>
      <c r="B1285">
        <v>1010100</v>
      </c>
      <c r="C1285">
        <v>3490</v>
      </c>
      <c r="E1285" s="80">
        <v>45676</v>
      </c>
      <c r="F1285">
        <v>3010101</v>
      </c>
      <c r="G1285">
        <v>25201</v>
      </c>
    </row>
    <row r="1286" spans="1:7" x14ac:dyDescent="0.3">
      <c r="A1286" s="80">
        <v>45682</v>
      </c>
      <c r="B1286">
        <v>1010100</v>
      </c>
      <c r="C1286">
        <v>5990</v>
      </c>
      <c r="E1286" s="80">
        <v>45676</v>
      </c>
      <c r="F1286">
        <v>3010101</v>
      </c>
      <c r="G1286">
        <v>25201</v>
      </c>
    </row>
    <row r="1287" spans="1:7" x14ac:dyDescent="0.3">
      <c r="A1287" s="80">
        <v>45682</v>
      </c>
      <c r="B1287">
        <v>1010100</v>
      </c>
      <c r="C1287">
        <v>0</v>
      </c>
      <c r="E1287" s="80">
        <v>45676</v>
      </c>
      <c r="F1287">
        <v>3010101</v>
      </c>
      <c r="G1287">
        <v>25201</v>
      </c>
    </row>
    <row r="1288" spans="1:7" x14ac:dyDescent="0.3">
      <c r="A1288" s="80">
        <v>45682</v>
      </c>
      <c r="B1288">
        <v>1010100</v>
      </c>
      <c r="C1288">
        <v>4290</v>
      </c>
      <c r="E1288" s="80">
        <v>45676</v>
      </c>
      <c r="F1288">
        <v>3010101</v>
      </c>
      <c r="G1288">
        <v>25201</v>
      </c>
    </row>
    <row r="1289" spans="1:7" x14ac:dyDescent="0.3">
      <c r="A1289" s="80">
        <v>45682</v>
      </c>
      <c r="B1289">
        <v>1010100</v>
      </c>
      <c r="C1289">
        <v>1990</v>
      </c>
      <c r="E1289" s="80">
        <v>45676</v>
      </c>
      <c r="F1289">
        <v>3010101</v>
      </c>
      <c r="G1289">
        <v>8394</v>
      </c>
    </row>
    <row r="1290" spans="1:7" x14ac:dyDescent="0.3">
      <c r="A1290" s="80">
        <v>45682</v>
      </c>
      <c r="B1290">
        <v>1010100</v>
      </c>
      <c r="C1290">
        <v>0</v>
      </c>
      <c r="E1290" s="80">
        <v>45676</v>
      </c>
      <c r="F1290">
        <v>3010101</v>
      </c>
      <c r="G1290">
        <v>25201</v>
      </c>
    </row>
    <row r="1291" spans="1:7" x14ac:dyDescent="0.3">
      <c r="A1291" s="80">
        <v>45682</v>
      </c>
      <c r="B1291">
        <v>1010100</v>
      </c>
      <c r="C1291">
        <v>4390</v>
      </c>
      <c r="E1291" s="80">
        <v>45676</v>
      </c>
      <c r="F1291">
        <v>3010101</v>
      </c>
      <c r="G1291">
        <v>25201</v>
      </c>
    </row>
    <row r="1292" spans="1:7" x14ac:dyDescent="0.3">
      <c r="A1292" s="80">
        <v>45682</v>
      </c>
      <c r="B1292">
        <v>1010100</v>
      </c>
      <c r="C1292">
        <v>4690</v>
      </c>
      <c r="E1292" s="80">
        <v>45676</v>
      </c>
      <c r="F1292">
        <v>3010101</v>
      </c>
      <c r="G1292">
        <v>25201</v>
      </c>
    </row>
    <row r="1293" spans="1:7" x14ac:dyDescent="0.3">
      <c r="A1293" s="80">
        <v>45682</v>
      </c>
      <c r="B1293">
        <v>1010100</v>
      </c>
      <c r="C1293">
        <v>4390</v>
      </c>
      <c r="E1293" s="80">
        <v>45676</v>
      </c>
      <c r="F1293">
        <v>3010101</v>
      </c>
      <c r="G1293">
        <v>25201</v>
      </c>
    </row>
    <row r="1294" spans="1:7" x14ac:dyDescent="0.3">
      <c r="A1294" s="80">
        <v>45682</v>
      </c>
      <c r="B1294">
        <v>1010100</v>
      </c>
      <c r="C1294">
        <v>0</v>
      </c>
      <c r="E1294" s="80">
        <v>45676</v>
      </c>
      <c r="F1294">
        <v>3010101</v>
      </c>
      <c r="G1294">
        <v>25201</v>
      </c>
    </row>
    <row r="1295" spans="1:7" x14ac:dyDescent="0.3">
      <c r="A1295" s="80">
        <v>45682</v>
      </c>
      <c r="B1295">
        <v>1010100</v>
      </c>
      <c r="C1295">
        <v>0</v>
      </c>
      <c r="E1295" s="80">
        <v>45676</v>
      </c>
      <c r="F1295">
        <v>3010101</v>
      </c>
      <c r="G1295">
        <v>8394</v>
      </c>
    </row>
    <row r="1296" spans="1:7" x14ac:dyDescent="0.3">
      <c r="A1296" s="80">
        <v>45682</v>
      </c>
      <c r="B1296">
        <v>1010100</v>
      </c>
      <c r="C1296">
        <v>0</v>
      </c>
      <c r="E1296" s="80">
        <v>45675</v>
      </c>
      <c r="F1296">
        <v>3010101</v>
      </c>
      <c r="G1296">
        <v>25201</v>
      </c>
    </row>
    <row r="1297" spans="1:7" x14ac:dyDescent="0.3">
      <c r="A1297" s="80">
        <v>45682</v>
      </c>
      <c r="B1297">
        <v>1010100</v>
      </c>
      <c r="C1297">
        <v>1990</v>
      </c>
      <c r="E1297" s="80">
        <v>45675</v>
      </c>
      <c r="F1297">
        <v>3010101</v>
      </c>
      <c r="G1297">
        <v>25201</v>
      </c>
    </row>
    <row r="1298" spans="1:7" x14ac:dyDescent="0.3">
      <c r="A1298" s="80">
        <v>45682</v>
      </c>
      <c r="B1298">
        <v>1010100</v>
      </c>
      <c r="C1298">
        <v>4290</v>
      </c>
      <c r="E1298" s="80">
        <v>45675</v>
      </c>
      <c r="F1298">
        <v>3010101</v>
      </c>
      <c r="G1298">
        <v>25201</v>
      </c>
    </row>
    <row r="1299" spans="1:7" x14ac:dyDescent="0.3">
      <c r="A1299" s="80">
        <v>45682</v>
      </c>
      <c r="B1299">
        <v>1010100</v>
      </c>
      <c r="C1299">
        <v>1990</v>
      </c>
      <c r="E1299" s="80">
        <v>45675</v>
      </c>
      <c r="F1299">
        <v>3010101</v>
      </c>
      <c r="G1299">
        <v>27722</v>
      </c>
    </row>
    <row r="1300" spans="1:7" x14ac:dyDescent="0.3">
      <c r="A1300" s="80">
        <v>45681</v>
      </c>
      <c r="B1300">
        <v>1010100</v>
      </c>
      <c r="C1300">
        <v>1990</v>
      </c>
      <c r="E1300" s="80">
        <v>45675</v>
      </c>
      <c r="F1300">
        <v>3010101</v>
      </c>
      <c r="G1300">
        <v>22681</v>
      </c>
    </row>
    <row r="1301" spans="1:7" x14ac:dyDescent="0.3">
      <c r="A1301" s="80">
        <v>45681</v>
      </c>
      <c r="B1301">
        <v>1010100</v>
      </c>
      <c r="C1301">
        <v>0</v>
      </c>
      <c r="E1301" s="80">
        <v>45675</v>
      </c>
      <c r="F1301">
        <v>3010101</v>
      </c>
      <c r="G1301">
        <v>25201</v>
      </c>
    </row>
    <row r="1302" spans="1:7" x14ac:dyDescent="0.3">
      <c r="A1302" s="80">
        <v>45681</v>
      </c>
      <c r="B1302">
        <v>1010100</v>
      </c>
      <c r="C1302">
        <v>3790</v>
      </c>
      <c r="E1302" s="80">
        <v>45675</v>
      </c>
      <c r="F1302">
        <v>3010101</v>
      </c>
      <c r="G1302">
        <v>25201</v>
      </c>
    </row>
    <row r="1303" spans="1:7" x14ac:dyDescent="0.3">
      <c r="A1303" s="80">
        <v>45681</v>
      </c>
      <c r="B1303">
        <v>1010100</v>
      </c>
      <c r="C1303">
        <v>4190</v>
      </c>
      <c r="E1303" s="80">
        <v>45675</v>
      </c>
      <c r="F1303">
        <v>3010101</v>
      </c>
      <c r="G1303">
        <v>25201</v>
      </c>
    </row>
    <row r="1304" spans="1:7" x14ac:dyDescent="0.3">
      <c r="A1304" s="80">
        <v>45681</v>
      </c>
      <c r="B1304">
        <v>1010100</v>
      </c>
      <c r="C1304">
        <v>0</v>
      </c>
      <c r="E1304" s="80">
        <v>45675</v>
      </c>
      <c r="F1304">
        <v>3010101</v>
      </c>
      <c r="G1304">
        <v>22681</v>
      </c>
    </row>
    <row r="1305" spans="1:7" x14ac:dyDescent="0.3">
      <c r="A1305" s="80">
        <v>45681</v>
      </c>
      <c r="B1305">
        <v>1010100</v>
      </c>
      <c r="C1305">
        <v>5990</v>
      </c>
      <c r="E1305" s="80">
        <v>45675</v>
      </c>
      <c r="F1305">
        <v>3010101</v>
      </c>
      <c r="G1305">
        <v>25201</v>
      </c>
    </row>
    <row r="1306" spans="1:7" x14ac:dyDescent="0.3">
      <c r="A1306" s="80">
        <v>45681</v>
      </c>
      <c r="B1306">
        <v>1010100</v>
      </c>
      <c r="C1306">
        <v>1990</v>
      </c>
      <c r="E1306" s="80">
        <v>45675</v>
      </c>
      <c r="F1306">
        <v>3010101</v>
      </c>
      <c r="G1306">
        <v>25201</v>
      </c>
    </row>
    <row r="1307" spans="1:7" x14ac:dyDescent="0.3">
      <c r="A1307" s="80">
        <v>45681</v>
      </c>
      <c r="B1307">
        <v>1010100</v>
      </c>
      <c r="C1307">
        <v>0</v>
      </c>
      <c r="E1307" s="80">
        <v>45674</v>
      </c>
      <c r="F1307">
        <v>3010101</v>
      </c>
      <c r="G1307">
        <v>22681</v>
      </c>
    </row>
    <row r="1308" spans="1:7" x14ac:dyDescent="0.3">
      <c r="A1308" s="80">
        <v>45680</v>
      </c>
      <c r="B1308">
        <v>1010100</v>
      </c>
      <c r="C1308">
        <v>3590</v>
      </c>
      <c r="E1308" s="80">
        <v>45674</v>
      </c>
      <c r="F1308">
        <v>3010101</v>
      </c>
      <c r="G1308">
        <v>27722</v>
      </c>
    </row>
    <row r="1309" spans="1:7" x14ac:dyDescent="0.3">
      <c r="A1309" s="80">
        <v>45680</v>
      </c>
      <c r="B1309">
        <v>1010100</v>
      </c>
      <c r="C1309">
        <v>0</v>
      </c>
      <c r="E1309" s="80">
        <v>45674</v>
      </c>
      <c r="F1309">
        <v>3010101</v>
      </c>
      <c r="G1309">
        <v>25201</v>
      </c>
    </row>
    <row r="1310" spans="1:7" x14ac:dyDescent="0.3">
      <c r="A1310" s="80">
        <v>45680</v>
      </c>
      <c r="B1310">
        <v>1010100</v>
      </c>
      <c r="C1310">
        <v>1990</v>
      </c>
      <c r="E1310" s="80">
        <v>45674</v>
      </c>
      <c r="F1310">
        <v>3010101</v>
      </c>
      <c r="G1310">
        <v>25201</v>
      </c>
    </row>
    <row r="1311" spans="1:7" x14ac:dyDescent="0.3">
      <c r="A1311" s="80">
        <v>45680</v>
      </c>
      <c r="B1311">
        <v>1010100</v>
      </c>
      <c r="C1311">
        <v>4490</v>
      </c>
      <c r="E1311" s="80">
        <v>45674</v>
      </c>
      <c r="F1311">
        <v>3010101</v>
      </c>
      <c r="G1311">
        <v>22681</v>
      </c>
    </row>
    <row r="1312" spans="1:7" x14ac:dyDescent="0.3">
      <c r="A1312" s="80">
        <v>45680</v>
      </c>
      <c r="B1312">
        <v>1010100</v>
      </c>
      <c r="C1312">
        <v>4190</v>
      </c>
      <c r="E1312" s="80">
        <v>45674</v>
      </c>
      <c r="F1312">
        <v>3010101</v>
      </c>
      <c r="G1312">
        <v>25201</v>
      </c>
    </row>
    <row r="1313" spans="1:7" x14ac:dyDescent="0.3">
      <c r="A1313" s="80">
        <v>45680</v>
      </c>
      <c r="B1313">
        <v>1010100</v>
      </c>
      <c r="C1313">
        <v>1990</v>
      </c>
      <c r="E1313" s="80">
        <v>45674</v>
      </c>
      <c r="F1313">
        <v>3010101</v>
      </c>
      <c r="G1313">
        <v>22681</v>
      </c>
    </row>
    <row r="1314" spans="1:7" x14ac:dyDescent="0.3">
      <c r="A1314" s="80">
        <v>45680</v>
      </c>
      <c r="B1314">
        <v>1010100</v>
      </c>
      <c r="C1314">
        <v>0</v>
      </c>
      <c r="E1314" s="80">
        <v>45674</v>
      </c>
      <c r="F1314">
        <v>3010101</v>
      </c>
      <c r="G1314">
        <v>25201</v>
      </c>
    </row>
    <row r="1315" spans="1:7" x14ac:dyDescent="0.3">
      <c r="A1315" s="80">
        <v>45679</v>
      </c>
      <c r="B1315">
        <v>1010100</v>
      </c>
      <c r="C1315">
        <v>6090</v>
      </c>
      <c r="E1315" s="80">
        <v>45674</v>
      </c>
      <c r="F1315">
        <v>3010101</v>
      </c>
      <c r="G1315">
        <v>25201</v>
      </c>
    </row>
    <row r="1316" spans="1:7" x14ac:dyDescent="0.3">
      <c r="A1316" s="80">
        <v>45679</v>
      </c>
      <c r="B1316">
        <v>1010100</v>
      </c>
      <c r="C1316">
        <v>1990</v>
      </c>
      <c r="E1316" s="80">
        <v>45674</v>
      </c>
      <c r="F1316">
        <v>3010101</v>
      </c>
      <c r="G1316">
        <v>8394</v>
      </c>
    </row>
    <row r="1317" spans="1:7" x14ac:dyDescent="0.3">
      <c r="A1317" s="80">
        <v>45679</v>
      </c>
      <c r="B1317">
        <v>1010100</v>
      </c>
      <c r="C1317">
        <v>1990</v>
      </c>
      <c r="E1317" s="80">
        <v>45674</v>
      </c>
      <c r="F1317">
        <v>3010101</v>
      </c>
      <c r="G1317">
        <v>25201</v>
      </c>
    </row>
    <row r="1318" spans="1:7" x14ac:dyDescent="0.3">
      <c r="A1318" s="80">
        <v>45679</v>
      </c>
      <c r="B1318">
        <v>1010100</v>
      </c>
      <c r="C1318">
        <v>0</v>
      </c>
      <c r="E1318" s="80">
        <v>45673</v>
      </c>
      <c r="F1318">
        <v>3010101</v>
      </c>
      <c r="G1318">
        <v>25201</v>
      </c>
    </row>
    <row r="1319" spans="1:7" x14ac:dyDescent="0.3">
      <c r="A1319" s="80">
        <v>45679</v>
      </c>
      <c r="B1319">
        <v>1010100</v>
      </c>
      <c r="C1319">
        <v>0</v>
      </c>
      <c r="E1319" s="80">
        <v>45673</v>
      </c>
      <c r="F1319">
        <v>3010101</v>
      </c>
      <c r="G1319">
        <v>25201</v>
      </c>
    </row>
    <row r="1320" spans="1:7" x14ac:dyDescent="0.3">
      <c r="A1320" s="80">
        <v>45679</v>
      </c>
      <c r="B1320">
        <v>1010100</v>
      </c>
      <c r="C1320">
        <v>1990</v>
      </c>
      <c r="E1320" s="80">
        <v>45673</v>
      </c>
      <c r="F1320">
        <v>3010101</v>
      </c>
      <c r="G1320">
        <v>25201</v>
      </c>
    </row>
    <row r="1321" spans="1:7" x14ac:dyDescent="0.3">
      <c r="A1321" s="80">
        <v>45679</v>
      </c>
      <c r="B1321">
        <v>1010100</v>
      </c>
      <c r="C1321">
        <v>0</v>
      </c>
      <c r="E1321" s="80">
        <v>45673</v>
      </c>
      <c r="F1321">
        <v>3010101</v>
      </c>
      <c r="G1321">
        <v>25201</v>
      </c>
    </row>
    <row r="1322" spans="1:7" x14ac:dyDescent="0.3">
      <c r="A1322" s="80">
        <v>45679</v>
      </c>
      <c r="B1322">
        <v>1010100</v>
      </c>
      <c r="C1322">
        <v>1990</v>
      </c>
      <c r="E1322" s="80">
        <v>45673</v>
      </c>
      <c r="F1322">
        <v>3010101</v>
      </c>
      <c r="G1322">
        <v>25201</v>
      </c>
    </row>
    <row r="1323" spans="1:7" x14ac:dyDescent="0.3">
      <c r="A1323" s="80">
        <v>45679</v>
      </c>
      <c r="B1323">
        <v>1010100</v>
      </c>
      <c r="C1323">
        <v>1990</v>
      </c>
      <c r="E1323" s="80">
        <v>45673</v>
      </c>
      <c r="F1323">
        <v>3010101</v>
      </c>
      <c r="G1323">
        <v>27722</v>
      </c>
    </row>
    <row r="1324" spans="1:7" x14ac:dyDescent="0.3">
      <c r="A1324" s="80">
        <v>45678</v>
      </c>
      <c r="B1324">
        <v>1010100</v>
      </c>
      <c r="C1324">
        <v>1990</v>
      </c>
      <c r="E1324" s="80">
        <v>45672</v>
      </c>
      <c r="F1324">
        <v>3010101</v>
      </c>
      <c r="G1324">
        <v>22681</v>
      </c>
    </row>
    <row r="1325" spans="1:7" x14ac:dyDescent="0.3">
      <c r="A1325" s="80">
        <v>45678</v>
      </c>
      <c r="B1325">
        <v>1010100</v>
      </c>
      <c r="C1325">
        <v>3990</v>
      </c>
      <c r="E1325" s="80">
        <v>45672</v>
      </c>
      <c r="F1325">
        <v>3010101</v>
      </c>
      <c r="G1325">
        <v>25201</v>
      </c>
    </row>
    <row r="1326" spans="1:7" x14ac:dyDescent="0.3">
      <c r="A1326" s="80">
        <v>45678</v>
      </c>
      <c r="B1326">
        <v>1010100</v>
      </c>
      <c r="C1326">
        <v>0</v>
      </c>
      <c r="E1326" s="80">
        <v>45672</v>
      </c>
      <c r="F1326">
        <v>3010101</v>
      </c>
      <c r="G1326">
        <v>25201</v>
      </c>
    </row>
    <row r="1327" spans="1:7" x14ac:dyDescent="0.3">
      <c r="A1327" s="80">
        <v>45678</v>
      </c>
      <c r="B1327">
        <v>1010100</v>
      </c>
      <c r="C1327">
        <v>4690</v>
      </c>
      <c r="E1327" s="80">
        <v>45672</v>
      </c>
      <c r="F1327">
        <v>3010101</v>
      </c>
      <c r="G1327">
        <v>25201</v>
      </c>
    </row>
    <row r="1328" spans="1:7" x14ac:dyDescent="0.3">
      <c r="A1328" s="80">
        <v>45678</v>
      </c>
      <c r="B1328">
        <v>1010100</v>
      </c>
      <c r="C1328">
        <v>1990</v>
      </c>
      <c r="E1328" s="80">
        <v>45672</v>
      </c>
      <c r="F1328">
        <v>3010101</v>
      </c>
      <c r="G1328">
        <v>25201</v>
      </c>
    </row>
    <row r="1329" spans="1:7" x14ac:dyDescent="0.3">
      <c r="A1329" s="80">
        <v>45678</v>
      </c>
      <c r="B1329">
        <v>1010100</v>
      </c>
      <c r="C1329">
        <v>1990</v>
      </c>
      <c r="E1329" s="80">
        <v>45672</v>
      </c>
      <c r="F1329">
        <v>3010101</v>
      </c>
      <c r="G1329">
        <v>25201</v>
      </c>
    </row>
    <row r="1330" spans="1:7" x14ac:dyDescent="0.3">
      <c r="A1330" s="80">
        <v>45678</v>
      </c>
      <c r="B1330">
        <v>1010100</v>
      </c>
      <c r="C1330">
        <v>1990</v>
      </c>
      <c r="E1330" s="80">
        <v>45672</v>
      </c>
      <c r="F1330">
        <v>3010101</v>
      </c>
      <c r="G1330">
        <v>25201</v>
      </c>
    </row>
    <row r="1331" spans="1:7" x14ac:dyDescent="0.3">
      <c r="A1331" s="80">
        <v>45678</v>
      </c>
      <c r="B1331">
        <v>1010100</v>
      </c>
      <c r="C1331">
        <v>1990</v>
      </c>
      <c r="E1331" s="80">
        <v>45672</v>
      </c>
      <c r="F1331">
        <v>3010101</v>
      </c>
      <c r="G1331">
        <v>25201</v>
      </c>
    </row>
    <row r="1332" spans="1:7" x14ac:dyDescent="0.3">
      <c r="A1332" s="80">
        <v>45678</v>
      </c>
      <c r="B1332">
        <v>1010100</v>
      </c>
      <c r="C1332">
        <v>1990</v>
      </c>
      <c r="E1332" s="80">
        <v>45672</v>
      </c>
      <c r="F1332">
        <v>3010101</v>
      </c>
      <c r="G1332">
        <v>25201</v>
      </c>
    </row>
    <row r="1333" spans="1:7" x14ac:dyDescent="0.3">
      <c r="A1333" s="80">
        <v>45678</v>
      </c>
      <c r="B1333">
        <v>1010100</v>
      </c>
      <c r="C1333">
        <v>4190</v>
      </c>
      <c r="E1333" s="80">
        <v>45672</v>
      </c>
      <c r="F1333">
        <v>3010101</v>
      </c>
      <c r="G1333">
        <v>25201</v>
      </c>
    </row>
    <row r="1334" spans="1:7" x14ac:dyDescent="0.3">
      <c r="A1334" s="80">
        <v>45678</v>
      </c>
      <c r="B1334">
        <v>1010100</v>
      </c>
      <c r="C1334">
        <v>1990</v>
      </c>
      <c r="E1334" s="80">
        <v>45672</v>
      </c>
      <c r="F1334">
        <v>3010101</v>
      </c>
      <c r="G1334">
        <v>25201</v>
      </c>
    </row>
    <row r="1335" spans="1:7" x14ac:dyDescent="0.3">
      <c r="A1335" s="80">
        <v>45678</v>
      </c>
      <c r="B1335">
        <v>1010100</v>
      </c>
      <c r="C1335">
        <v>1990</v>
      </c>
      <c r="E1335" s="80">
        <v>45672</v>
      </c>
      <c r="F1335">
        <v>3010101</v>
      </c>
      <c r="G1335">
        <v>25201</v>
      </c>
    </row>
    <row r="1336" spans="1:7" x14ac:dyDescent="0.3">
      <c r="A1336" s="80">
        <v>45678</v>
      </c>
      <c r="B1336">
        <v>1010100</v>
      </c>
      <c r="C1336">
        <v>1990</v>
      </c>
      <c r="E1336" s="80">
        <v>45672</v>
      </c>
      <c r="F1336">
        <v>3010101</v>
      </c>
      <c r="G1336">
        <v>25201</v>
      </c>
    </row>
    <row r="1337" spans="1:7" x14ac:dyDescent="0.3">
      <c r="A1337" s="80">
        <v>45678</v>
      </c>
      <c r="B1337">
        <v>1010100</v>
      </c>
      <c r="C1337">
        <v>3790</v>
      </c>
      <c r="E1337" s="80">
        <v>45671</v>
      </c>
      <c r="F1337">
        <v>3010101</v>
      </c>
      <c r="G1337">
        <v>25201</v>
      </c>
    </row>
    <row r="1338" spans="1:7" x14ac:dyDescent="0.3">
      <c r="A1338" s="80">
        <v>45677</v>
      </c>
      <c r="B1338">
        <v>1010100</v>
      </c>
      <c r="C1338">
        <v>1990</v>
      </c>
      <c r="E1338" s="80">
        <v>45671</v>
      </c>
      <c r="F1338">
        <v>3010101</v>
      </c>
      <c r="G1338">
        <v>25201</v>
      </c>
    </row>
    <row r="1339" spans="1:7" x14ac:dyDescent="0.3">
      <c r="A1339" s="80">
        <v>45677</v>
      </c>
      <c r="B1339">
        <v>1010100</v>
      </c>
      <c r="C1339">
        <v>4790</v>
      </c>
      <c r="E1339" s="80">
        <v>45671</v>
      </c>
      <c r="F1339">
        <v>3010101</v>
      </c>
      <c r="G1339">
        <v>25201</v>
      </c>
    </row>
    <row r="1340" spans="1:7" x14ac:dyDescent="0.3">
      <c r="A1340" s="80">
        <v>45677</v>
      </c>
      <c r="B1340">
        <v>1010100</v>
      </c>
      <c r="C1340">
        <v>1990</v>
      </c>
      <c r="E1340" s="80">
        <v>45671</v>
      </c>
      <c r="F1340">
        <v>3010101</v>
      </c>
      <c r="G1340">
        <v>25201</v>
      </c>
    </row>
    <row r="1341" spans="1:7" x14ac:dyDescent="0.3">
      <c r="A1341" s="80">
        <v>45677</v>
      </c>
      <c r="B1341">
        <v>1010100</v>
      </c>
      <c r="C1341">
        <v>0</v>
      </c>
      <c r="E1341" s="80">
        <v>45671</v>
      </c>
      <c r="F1341">
        <v>3010101</v>
      </c>
      <c r="G1341">
        <v>8394</v>
      </c>
    </row>
    <row r="1342" spans="1:7" x14ac:dyDescent="0.3">
      <c r="A1342" s="80">
        <v>45677</v>
      </c>
      <c r="B1342">
        <v>1010100</v>
      </c>
      <c r="C1342">
        <v>1990</v>
      </c>
      <c r="E1342" s="80">
        <v>45671</v>
      </c>
      <c r="F1342">
        <v>3010101</v>
      </c>
      <c r="G1342">
        <v>25201</v>
      </c>
    </row>
    <row r="1343" spans="1:7" x14ac:dyDescent="0.3">
      <c r="A1343" s="80">
        <v>45677</v>
      </c>
      <c r="B1343">
        <v>1010100</v>
      </c>
      <c r="C1343">
        <v>1990</v>
      </c>
      <c r="E1343" s="80">
        <v>45671</v>
      </c>
      <c r="F1343">
        <v>3010101</v>
      </c>
      <c r="G1343">
        <v>25201</v>
      </c>
    </row>
    <row r="1344" spans="1:7" x14ac:dyDescent="0.3">
      <c r="A1344" s="80">
        <v>45676</v>
      </c>
      <c r="B1344">
        <v>1010100</v>
      </c>
      <c r="C1344">
        <v>1990</v>
      </c>
      <c r="E1344" s="80">
        <v>45671</v>
      </c>
      <c r="F1344">
        <v>3010101</v>
      </c>
      <c r="G1344">
        <v>27722</v>
      </c>
    </row>
    <row r="1345" spans="1:7" x14ac:dyDescent="0.3">
      <c r="A1345" s="80">
        <v>45676</v>
      </c>
      <c r="B1345">
        <v>1010100</v>
      </c>
      <c r="C1345">
        <v>6890</v>
      </c>
      <c r="E1345" s="80">
        <v>45671</v>
      </c>
      <c r="F1345">
        <v>3010101</v>
      </c>
      <c r="G1345">
        <v>27722</v>
      </c>
    </row>
    <row r="1346" spans="1:7" x14ac:dyDescent="0.3">
      <c r="A1346" s="80">
        <v>45676</v>
      </c>
      <c r="B1346">
        <v>1010100</v>
      </c>
      <c r="C1346">
        <v>0</v>
      </c>
      <c r="E1346" s="80">
        <v>45670</v>
      </c>
      <c r="F1346">
        <v>3010101</v>
      </c>
      <c r="G1346">
        <v>25201</v>
      </c>
    </row>
    <row r="1347" spans="1:7" x14ac:dyDescent="0.3">
      <c r="A1347" s="80">
        <v>45676</v>
      </c>
      <c r="B1347">
        <v>1010100</v>
      </c>
      <c r="C1347">
        <v>1990</v>
      </c>
      <c r="E1347" s="80">
        <v>45670</v>
      </c>
      <c r="F1347">
        <v>3010101</v>
      </c>
      <c r="G1347">
        <v>25201</v>
      </c>
    </row>
    <row r="1348" spans="1:7" x14ac:dyDescent="0.3">
      <c r="A1348" s="80">
        <v>45676</v>
      </c>
      <c r="B1348">
        <v>1010100</v>
      </c>
      <c r="C1348">
        <v>1990</v>
      </c>
      <c r="E1348" s="80">
        <v>45670</v>
      </c>
      <c r="F1348">
        <v>3010101</v>
      </c>
      <c r="G1348">
        <v>25201</v>
      </c>
    </row>
    <row r="1349" spans="1:7" x14ac:dyDescent="0.3">
      <c r="A1349" s="80">
        <v>45676</v>
      </c>
      <c r="B1349">
        <v>1010100</v>
      </c>
      <c r="C1349">
        <v>4390</v>
      </c>
      <c r="E1349" s="80">
        <v>45670</v>
      </c>
      <c r="F1349">
        <v>3010101</v>
      </c>
      <c r="G1349">
        <v>25201</v>
      </c>
    </row>
    <row r="1350" spans="1:7" x14ac:dyDescent="0.3">
      <c r="A1350" s="80">
        <v>45676</v>
      </c>
      <c r="B1350">
        <v>1010100</v>
      </c>
      <c r="C1350">
        <v>4190</v>
      </c>
      <c r="E1350" s="80">
        <v>45670</v>
      </c>
      <c r="F1350">
        <v>3010101</v>
      </c>
      <c r="G1350">
        <v>25201</v>
      </c>
    </row>
    <row r="1351" spans="1:7" x14ac:dyDescent="0.3">
      <c r="A1351" s="80">
        <v>45676</v>
      </c>
      <c r="B1351">
        <v>1010100</v>
      </c>
      <c r="C1351">
        <v>1990</v>
      </c>
      <c r="E1351" s="80">
        <v>45670</v>
      </c>
      <c r="F1351">
        <v>3010101</v>
      </c>
      <c r="G1351">
        <v>22681</v>
      </c>
    </row>
    <row r="1352" spans="1:7" x14ac:dyDescent="0.3">
      <c r="A1352" s="80">
        <v>45676</v>
      </c>
      <c r="B1352">
        <v>1010100</v>
      </c>
      <c r="C1352">
        <v>0</v>
      </c>
      <c r="E1352" s="80">
        <v>45669</v>
      </c>
      <c r="F1352">
        <v>3010101</v>
      </c>
      <c r="G1352">
        <v>27722</v>
      </c>
    </row>
    <row r="1353" spans="1:7" x14ac:dyDescent="0.3">
      <c r="A1353" s="80">
        <v>45676</v>
      </c>
      <c r="B1353">
        <v>1010100</v>
      </c>
      <c r="C1353">
        <v>1990</v>
      </c>
      <c r="E1353" s="80">
        <v>45669</v>
      </c>
      <c r="F1353">
        <v>3010101</v>
      </c>
      <c r="G1353">
        <v>27722</v>
      </c>
    </row>
    <row r="1354" spans="1:7" x14ac:dyDescent="0.3">
      <c r="A1354" s="80">
        <v>45676</v>
      </c>
      <c r="B1354">
        <v>1010100</v>
      </c>
      <c r="C1354">
        <v>0</v>
      </c>
      <c r="E1354" s="80">
        <v>45669</v>
      </c>
      <c r="F1354">
        <v>3010101</v>
      </c>
      <c r="G1354">
        <v>27722</v>
      </c>
    </row>
    <row r="1355" spans="1:7" x14ac:dyDescent="0.3">
      <c r="A1355" s="80">
        <v>45676</v>
      </c>
      <c r="B1355">
        <v>1010100</v>
      </c>
      <c r="C1355">
        <v>0</v>
      </c>
      <c r="E1355" s="80">
        <v>45669</v>
      </c>
      <c r="F1355">
        <v>3010101</v>
      </c>
      <c r="G1355">
        <v>27722</v>
      </c>
    </row>
    <row r="1356" spans="1:7" x14ac:dyDescent="0.3">
      <c r="A1356" s="80">
        <v>45676</v>
      </c>
      <c r="B1356">
        <v>1010100</v>
      </c>
      <c r="C1356">
        <v>0</v>
      </c>
      <c r="E1356" s="80">
        <v>45669</v>
      </c>
      <c r="F1356">
        <v>3010101</v>
      </c>
      <c r="G1356">
        <v>27722</v>
      </c>
    </row>
    <row r="1357" spans="1:7" x14ac:dyDescent="0.3">
      <c r="A1357" s="80">
        <v>45676</v>
      </c>
      <c r="B1357">
        <v>1010100</v>
      </c>
      <c r="C1357">
        <v>1990</v>
      </c>
      <c r="E1357" s="80">
        <v>45669</v>
      </c>
      <c r="F1357">
        <v>3010101</v>
      </c>
      <c r="G1357">
        <v>27722</v>
      </c>
    </row>
    <row r="1358" spans="1:7" x14ac:dyDescent="0.3">
      <c r="A1358" s="80">
        <v>45676</v>
      </c>
      <c r="B1358">
        <v>1010100</v>
      </c>
      <c r="C1358">
        <v>4690</v>
      </c>
      <c r="E1358" s="80">
        <v>45669</v>
      </c>
      <c r="F1358">
        <v>3010101</v>
      </c>
      <c r="G1358">
        <v>27722</v>
      </c>
    </row>
    <row r="1359" spans="1:7" x14ac:dyDescent="0.3">
      <c r="A1359" s="80">
        <v>45676</v>
      </c>
      <c r="B1359">
        <v>1010100</v>
      </c>
      <c r="C1359">
        <v>1990</v>
      </c>
      <c r="E1359" s="80">
        <v>45669</v>
      </c>
      <c r="F1359">
        <v>3010101</v>
      </c>
      <c r="G1359">
        <v>27722</v>
      </c>
    </row>
    <row r="1360" spans="1:7" x14ac:dyDescent="0.3">
      <c r="A1360" s="80">
        <v>45676</v>
      </c>
      <c r="B1360">
        <v>1010100</v>
      </c>
      <c r="C1360">
        <v>3990</v>
      </c>
      <c r="E1360" s="80">
        <v>45668</v>
      </c>
      <c r="F1360">
        <v>3010101</v>
      </c>
      <c r="G1360">
        <v>25201</v>
      </c>
    </row>
    <row r="1361" spans="1:7" x14ac:dyDescent="0.3">
      <c r="A1361" s="80">
        <v>45676</v>
      </c>
      <c r="B1361">
        <v>1010100</v>
      </c>
      <c r="C1361">
        <v>1990</v>
      </c>
      <c r="E1361" s="80">
        <v>45668</v>
      </c>
      <c r="F1361">
        <v>3010101</v>
      </c>
      <c r="G1361">
        <v>25201</v>
      </c>
    </row>
    <row r="1362" spans="1:7" x14ac:dyDescent="0.3">
      <c r="A1362" s="80">
        <v>45675</v>
      </c>
      <c r="B1362">
        <v>1010100</v>
      </c>
      <c r="C1362">
        <v>1990</v>
      </c>
      <c r="E1362" s="80">
        <v>45668</v>
      </c>
      <c r="F1362">
        <v>3010101</v>
      </c>
      <c r="G1362">
        <v>25201</v>
      </c>
    </row>
    <row r="1363" spans="1:7" x14ac:dyDescent="0.3">
      <c r="A1363" s="80">
        <v>45675</v>
      </c>
      <c r="B1363">
        <v>1010100</v>
      </c>
      <c r="C1363">
        <v>0</v>
      </c>
      <c r="E1363" s="80">
        <v>45668</v>
      </c>
      <c r="F1363">
        <v>3010101</v>
      </c>
      <c r="G1363">
        <v>25201</v>
      </c>
    </row>
    <row r="1364" spans="1:7" x14ac:dyDescent="0.3">
      <c r="A1364" s="80">
        <v>45675</v>
      </c>
      <c r="B1364">
        <v>1010100</v>
      </c>
      <c r="C1364">
        <v>3590</v>
      </c>
      <c r="E1364" s="80">
        <v>45668</v>
      </c>
      <c r="F1364">
        <v>3010101</v>
      </c>
      <c r="G1364">
        <v>25201</v>
      </c>
    </row>
    <row r="1365" spans="1:7" x14ac:dyDescent="0.3">
      <c r="A1365" s="80">
        <v>45675</v>
      </c>
      <c r="B1365">
        <v>1010100</v>
      </c>
      <c r="C1365">
        <v>0</v>
      </c>
      <c r="E1365" s="80">
        <v>45668</v>
      </c>
      <c r="F1365">
        <v>3010101</v>
      </c>
      <c r="G1365">
        <v>25201</v>
      </c>
    </row>
    <row r="1366" spans="1:7" x14ac:dyDescent="0.3">
      <c r="A1366" s="80">
        <v>45675</v>
      </c>
      <c r="B1366">
        <v>1010100</v>
      </c>
      <c r="C1366">
        <v>4190</v>
      </c>
      <c r="E1366" s="80">
        <v>45668</v>
      </c>
      <c r="F1366">
        <v>3010101</v>
      </c>
      <c r="G1366">
        <v>25201</v>
      </c>
    </row>
    <row r="1367" spans="1:7" x14ac:dyDescent="0.3">
      <c r="A1367" s="80">
        <v>45675</v>
      </c>
      <c r="B1367">
        <v>1010100</v>
      </c>
      <c r="C1367">
        <v>0</v>
      </c>
      <c r="E1367" s="80">
        <v>45668</v>
      </c>
      <c r="F1367">
        <v>3010101</v>
      </c>
      <c r="G1367">
        <v>25201</v>
      </c>
    </row>
    <row r="1368" spans="1:7" x14ac:dyDescent="0.3">
      <c r="A1368" s="80">
        <v>45675</v>
      </c>
      <c r="B1368">
        <v>1010100</v>
      </c>
      <c r="C1368">
        <v>1990</v>
      </c>
      <c r="E1368" s="80">
        <v>45668</v>
      </c>
      <c r="F1368">
        <v>3010101</v>
      </c>
      <c r="G1368">
        <v>25201</v>
      </c>
    </row>
    <row r="1369" spans="1:7" x14ac:dyDescent="0.3">
      <c r="A1369" s="80">
        <v>45675</v>
      </c>
      <c r="B1369">
        <v>1010100</v>
      </c>
      <c r="C1369">
        <v>1990</v>
      </c>
      <c r="E1369" s="80">
        <v>45668</v>
      </c>
      <c r="F1369">
        <v>3010101</v>
      </c>
      <c r="G1369">
        <v>25201</v>
      </c>
    </row>
    <row r="1370" spans="1:7" x14ac:dyDescent="0.3">
      <c r="A1370" s="80">
        <v>45675</v>
      </c>
      <c r="B1370">
        <v>1010100</v>
      </c>
      <c r="C1370">
        <v>1990</v>
      </c>
      <c r="E1370" s="80">
        <v>45668</v>
      </c>
      <c r="F1370">
        <v>3010101</v>
      </c>
      <c r="G1370">
        <v>25201</v>
      </c>
    </row>
    <row r="1371" spans="1:7" x14ac:dyDescent="0.3">
      <c r="A1371" s="80">
        <v>45675</v>
      </c>
      <c r="B1371">
        <v>1010100</v>
      </c>
      <c r="C1371">
        <v>1990</v>
      </c>
      <c r="E1371" s="80">
        <v>45668</v>
      </c>
      <c r="F1371">
        <v>3010101</v>
      </c>
      <c r="G1371">
        <v>25201</v>
      </c>
    </row>
    <row r="1372" spans="1:7" x14ac:dyDescent="0.3">
      <c r="A1372" s="80">
        <v>45675</v>
      </c>
      <c r="B1372">
        <v>1010100</v>
      </c>
      <c r="C1372">
        <v>6390</v>
      </c>
      <c r="E1372" s="80">
        <v>45668</v>
      </c>
      <c r="F1372">
        <v>3010101</v>
      </c>
      <c r="G1372">
        <v>25201</v>
      </c>
    </row>
    <row r="1373" spans="1:7" x14ac:dyDescent="0.3">
      <c r="A1373" s="80">
        <v>45674</v>
      </c>
      <c r="B1373">
        <v>1010100</v>
      </c>
      <c r="C1373">
        <v>6790</v>
      </c>
      <c r="E1373" s="80">
        <v>45668</v>
      </c>
      <c r="F1373">
        <v>3010101</v>
      </c>
      <c r="G1373">
        <v>25201</v>
      </c>
    </row>
    <row r="1374" spans="1:7" x14ac:dyDescent="0.3">
      <c r="A1374" s="80">
        <v>45674</v>
      </c>
      <c r="B1374">
        <v>1010100</v>
      </c>
      <c r="C1374">
        <v>0</v>
      </c>
      <c r="E1374" s="80">
        <v>45668</v>
      </c>
      <c r="F1374">
        <v>3010101</v>
      </c>
      <c r="G1374">
        <v>25201</v>
      </c>
    </row>
    <row r="1375" spans="1:7" x14ac:dyDescent="0.3">
      <c r="A1375" s="80">
        <v>45674</v>
      </c>
      <c r="B1375">
        <v>1010100</v>
      </c>
      <c r="C1375">
        <v>0</v>
      </c>
      <c r="E1375" s="80">
        <v>45667</v>
      </c>
      <c r="F1375">
        <v>3010101</v>
      </c>
      <c r="G1375">
        <v>25201</v>
      </c>
    </row>
    <row r="1376" spans="1:7" x14ac:dyDescent="0.3">
      <c r="A1376" s="80">
        <v>45674</v>
      </c>
      <c r="B1376">
        <v>1010100</v>
      </c>
      <c r="C1376">
        <v>1990</v>
      </c>
      <c r="E1376" s="80">
        <v>45667</v>
      </c>
      <c r="F1376">
        <v>3010101</v>
      </c>
      <c r="G1376">
        <v>25201</v>
      </c>
    </row>
    <row r="1377" spans="1:7" x14ac:dyDescent="0.3">
      <c r="A1377" s="80">
        <v>45674</v>
      </c>
      <c r="B1377">
        <v>1010100</v>
      </c>
      <c r="C1377">
        <v>3590</v>
      </c>
      <c r="E1377" s="80">
        <v>45667</v>
      </c>
      <c r="F1377">
        <v>3010101</v>
      </c>
      <c r="G1377">
        <v>25201</v>
      </c>
    </row>
    <row r="1378" spans="1:7" x14ac:dyDescent="0.3">
      <c r="A1378" s="80">
        <v>45674</v>
      </c>
      <c r="B1378">
        <v>1010100</v>
      </c>
      <c r="C1378">
        <v>0</v>
      </c>
      <c r="E1378" s="80">
        <v>45667</v>
      </c>
      <c r="F1378">
        <v>3010101</v>
      </c>
      <c r="G1378">
        <v>25201</v>
      </c>
    </row>
    <row r="1379" spans="1:7" x14ac:dyDescent="0.3">
      <c r="A1379" s="80">
        <v>45674</v>
      </c>
      <c r="B1379">
        <v>1010100</v>
      </c>
      <c r="C1379">
        <v>1990</v>
      </c>
      <c r="E1379" s="80">
        <v>45667</v>
      </c>
      <c r="F1379">
        <v>3010101</v>
      </c>
      <c r="G1379">
        <v>25201</v>
      </c>
    </row>
    <row r="1380" spans="1:7" x14ac:dyDescent="0.3">
      <c r="A1380" s="80">
        <v>45674</v>
      </c>
      <c r="B1380">
        <v>1010100</v>
      </c>
      <c r="C1380">
        <v>4990</v>
      </c>
      <c r="E1380" s="80">
        <v>45667</v>
      </c>
      <c r="F1380">
        <v>3010101</v>
      </c>
      <c r="G1380">
        <v>25201</v>
      </c>
    </row>
    <row r="1381" spans="1:7" x14ac:dyDescent="0.3">
      <c r="A1381" s="80">
        <v>45674</v>
      </c>
      <c r="B1381">
        <v>1010100</v>
      </c>
      <c r="C1381">
        <v>0</v>
      </c>
      <c r="E1381" s="80">
        <v>45667</v>
      </c>
      <c r="F1381">
        <v>3010101</v>
      </c>
      <c r="G1381">
        <v>25201</v>
      </c>
    </row>
    <row r="1382" spans="1:7" x14ac:dyDescent="0.3">
      <c r="A1382" s="80">
        <v>45674</v>
      </c>
      <c r="B1382">
        <v>1010100</v>
      </c>
      <c r="C1382">
        <v>0</v>
      </c>
      <c r="E1382" s="80">
        <v>45667</v>
      </c>
      <c r="F1382">
        <v>3010101</v>
      </c>
      <c r="G1382">
        <v>25201</v>
      </c>
    </row>
    <row r="1383" spans="1:7" x14ac:dyDescent="0.3">
      <c r="A1383" s="80">
        <v>45674</v>
      </c>
      <c r="B1383">
        <v>1010100</v>
      </c>
      <c r="C1383">
        <v>1990</v>
      </c>
      <c r="E1383" s="80">
        <v>45667</v>
      </c>
      <c r="F1383">
        <v>3010101</v>
      </c>
      <c r="G1383">
        <v>25201</v>
      </c>
    </row>
    <row r="1384" spans="1:7" x14ac:dyDescent="0.3">
      <c r="A1384" s="80">
        <v>45673</v>
      </c>
      <c r="B1384">
        <v>1010100</v>
      </c>
      <c r="C1384">
        <v>1990</v>
      </c>
      <c r="E1384" s="80">
        <v>45667</v>
      </c>
      <c r="F1384">
        <v>3010101</v>
      </c>
      <c r="G1384">
        <v>25201</v>
      </c>
    </row>
    <row r="1385" spans="1:7" x14ac:dyDescent="0.3">
      <c r="A1385" s="80">
        <v>45673</v>
      </c>
      <c r="B1385">
        <v>1010100</v>
      </c>
      <c r="C1385">
        <v>1990</v>
      </c>
      <c r="E1385" s="80">
        <v>45667</v>
      </c>
      <c r="F1385">
        <v>3010101</v>
      </c>
      <c r="G1385">
        <v>25201</v>
      </c>
    </row>
    <row r="1386" spans="1:7" x14ac:dyDescent="0.3">
      <c r="A1386" s="80">
        <v>45673</v>
      </c>
      <c r="B1386">
        <v>1010100</v>
      </c>
      <c r="C1386">
        <v>1990</v>
      </c>
      <c r="E1386" s="80">
        <v>45667</v>
      </c>
      <c r="F1386">
        <v>3010101</v>
      </c>
      <c r="G1386">
        <v>25201</v>
      </c>
    </row>
    <row r="1387" spans="1:7" x14ac:dyDescent="0.3">
      <c r="A1387" s="80">
        <v>45673</v>
      </c>
      <c r="B1387">
        <v>1010100</v>
      </c>
      <c r="C1387">
        <v>1990</v>
      </c>
      <c r="E1387" s="80">
        <v>45667</v>
      </c>
      <c r="F1387">
        <v>3010101</v>
      </c>
      <c r="G1387">
        <v>25201</v>
      </c>
    </row>
    <row r="1388" spans="1:7" x14ac:dyDescent="0.3">
      <c r="A1388" s="80">
        <v>45673</v>
      </c>
      <c r="B1388">
        <v>1010100</v>
      </c>
      <c r="C1388">
        <v>1990</v>
      </c>
      <c r="E1388" s="80">
        <v>45667</v>
      </c>
      <c r="F1388">
        <v>3010101</v>
      </c>
      <c r="G1388">
        <v>25201</v>
      </c>
    </row>
    <row r="1389" spans="1:7" x14ac:dyDescent="0.3">
      <c r="A1389" s="80">
        <v>45673</v>
      </c>
      <c r="B1389">
        <v>1010100</v>
      </c>
      <c r="C1389">
        <v>0</v>
      </c>
      <c r="E1389" s="80">
        <v>45667</v>
      </c>
      <c r="F1389">
        <v>3010101</v>
      </c>
      <c r="G1389">
        <v>25201</v>
      </c>
    </row>
    <row r="1390" spans="1:7" x14ac:dyDescent="0.3">
      <c r="A1390" s="80">
        <v>45672</v>
      </c>
      <c r="B1390">
        <v>1010100</v>
      </c>
      <c r="C1390">
        <v>1990</v>
      </c>
      <c r="E1390" s="80">
        <v>45666</v>
      </c>
      <c r="F1390">
        <v>3010101</v>
      </c>
      <c r="G1390">
        <v>25201</v>
      </c>
    </row>
    <row r="1391" spans="1:7" x14ac:dyDescent="0.3">
      <c r="A1391" s="80">
        <v>45672</v>
      </c>
      <c r="B1391">
        <v>1010100</v>
      </c>
      <c r="C1391">
        <v>4690</v>
      </c>
      <c r="E1391" s="80">
        <v>45666</v>
      </c>
      <c r="F1391">
        <v>3010101</v>
      </c>
      <c r="G1391">
        <v>25201</v>
      </c>
    </row>
    <row r="1392" spans="1:7" x14ac:dyDescent="0.3">
      <c r="A1392" s="80">
        <v>45672</v>
      </c>
      <c r="B1392">
        <v>1010100</v>
      </c>
      <c r="C1392">
        <v>4290</v>
      </c>
      <c r="E1392" s="80">
        <v>45666</v>
      </c>
      <c r="F1392">
        <v>3010101</v>
      </c>
      <c r="G1392">
        <v>25201</v>
      </c>
    </row>
    <row r="1393" spans="1:7" x14ac:dyDescent="0.3">
      <c r="A1393" s="80">
        <v>45672</v>
      </c>
      <c r="B1393">
        <v>1010100</v>
      </c>
      <c r="C1393">
        <v>1990</v>
      </c>
      <c r="E1393" s="80">
        <v>45666</v>
      </c>
      <c r="F1393">
        <v>3010101</v>
      </c>
      <c r="G1393">
        <v>25201</v>
      </c>
    </row>
    <row r="1394" spans="1:7" x14ac:dyDescent="0.3">
      <c r="A1394" s="80">
        <v>45672</v>
      </c>
      <c r="B1394">
        <v>1010100</v>
      </c>
      <c r="C1394">
        <v>1990</v>
      </c>
      <c r="E1394" s="80">
        <v>45666</v>
      </c>
      <c r="F1394">
        <v>3010101</v>
      </c>
      <c r="G1394">
        <v>25201</v>
      </c>
    </row>
    <row r="1395" spans="1:7" x14ac:dyDescent="0.3">
      <c r="A1395" s="80">
        <v>45672</v>
      </c>
      <c r="B1395">
        <v>1010100</v>
      </c>
      <c r="C1395">
        <v>1990</v>
      </c>
      <c r="E1395" s="80">
        <v>45666</v>
      </c>
      <c r="F1395">
        <v>3010101</v>
      </c>
      <c r="G1395">
        <v>25201</v>
      </c>
    </row>
    <row r="1396" spans="1:7" x14ac:dyDescent="0.3">
      <c r="A1396" s="80">
        <v>45672</v>
      </c>
      <c r="B1396">
        <v>1010100</v>
      </c>
      <c r="C1396">
        <v>1990</v>
      </c>
      <c r="E1396" s="80">
        <v>45666</v>
      </c>
      <c r="F1396">
        <v>3010101</v>
      </c>
      <c r="G1396">
        <v>25201</v>
      </c>
    </row>
    <row r="1397" spans="1:7" x14ac:dyDescent="0.3">
      <c r="A1397" s="80">
        <v>45672</v>
      </c>
      <c r="B1397">
        <v>1010100</v>
      </c>
      <c r="C1397">
        <v>0</v>
      </c>
      <c r="E1397" s="80">
        <v>45666</v>
      </c>
      <c r="F1397">
        <v>3010101</v>
      </c>
      <c r="G1397">
        <v>25201</v>
      </c>
    </row>
    <row r="1398" spans="1:7" x14ac:dyDescent="0.3">
      <c r="A1398" s="80">
        <v>45672</v>
      </c>
      <c r="B1398">
        <v>1010100</v>
      </c>
      <c r="C1398">
        <v>0</v>
      </c>
      <c r="E1398" s="80">
        <v>45666</v>
      </c>
      <c r="F1398">
        <v>3010101</v>
      </c>
      <c r="G1398">
        <v>25201</v>
      </c>
    </row>
    <row r="1399" spans="1:7" x14ac:dyDescent="0.3">
      <c r="A1399" s="80">
        <v>45672</v>
      </c>
      <c r="B1399">
        <v>1010100</v>
      </c>
      <c r="C1399">
        <v>3990</v>
      </c>
      <c r="E1399" s="80">
        <v>45666</v>
      </c>
      <c r="F1399">
        <v>3010101</v>
      </c>
      <c r="G1399">
        <v>25201</v>
      </c>
    </row>
    <row r="1400" spans="1:7" x14ac:dyDescent="0.3">
      <c r="A1400" s="80">
        <v>45672</v>
      </c>
      <c r="B1400">
        <v>1010100</v>
      </c>
      <c r="C1400">
        <v>1990</v>
      </c>
      <c r="E1400" s="80">
        <v>45666</v>
      </c>
      <c r="F1400">
        <v>3010101</v>
      </c>
      <c r="G1400">
        <v>25201</v>
      </c>
    </row>
    <row r="1401" spans="1:7" x14ac:dyDescent="0.3">
      <c r="A1401" s="80">
        <v>45672</v>
      </c>
      <c r="B1401">
        <v>1010100</v>
      </c>
      <c r="C1401">
        <v>1990</v>
      </c>
      <c r="E1401" s="80">
        <v>45666</v>
      </c>
      <c r="F1401">
        <v>3010101</v>
      </c>
      <c r="G1401">
        <v>25201</v>
      </c>
    </row>
    <row r="1402" spans="1:7" x14ac:dyDescent="0.3">
      <c r="A1402" s="80">
        <v>45672</v>
      </c>
      <c r="B1402">
        <v>1010100</v>
      </c>
      <c r="C1402">
        <v>1990</v>
      </c>
      <c r="E1402" s="80">
        <v>45666</v>
      </c>
      <c r="F1402">
        <v>3010101</v>
      </c>
      <c r="G1402">
        <v>25201</v>
      </c>
    </row>
    <row r="1403" spans="1:7" x14ac:dyDescent="0.3">
      <c r="A1403" s="80">
        <v>45671</v>
      </c>
      <c r="B1403">
        <v>1010100</v>
      </c>
      <c r="C1403">
        <v>4690</v>
      </c>
      <c r="E1403" s="80">
        <v>45666</v>
      </c>
      <c r="F1403">
        <v>3010101</v>
      </c>
      <c r="G1403">
        <v>25201</v>
      </c>
    </row>
    <row r="1404" spans="1:7" x14ac:dyDescent="0.3">
      <c r="A1404" s="80">
        <v>45671</v>
      </c>
      <c r="B1404">
        <v>1010100</v>
      </c>
      <c r="C1404">
        <v>4790</v>
      </c>
      <c r="E1404" s="80">
        <v>45666</v>
      </c>
      <c r="F1404">
        <v>3010101</v>
      </c>
      <c r="G1404">
        <v>25201</v>
      </c>
    </row>
    <row r="1405" spans="1:7" x14ac:dyDescent="0.3">
      <c r="A1405" s="80">
        <v>45671</v>
      </c>
      <c r="B1405">
        <v>1010100</v>
      </c>
      <c r="C1405">
        <v>1990</v>
      </c>
      <c r="E1405" s="80">
        <v>45666</v>
      </c>
      <c r="F1405">
        <v>3010101</v>
      </c>
      <c r="G1405">
        <v>25201</v>
      </c>
    </row>
    <row r="1406" spans="1:7" x14ac:dyDescent="0.3">
      <c r="A1406" s="80">
        <v>45671</v>
      </c>
      <c r="B1406">
        <v>1010100</v>
      </c>
      <c r="C1406">
        <v>1990</v>
      </c>
      <c r="E1406" s="80">
        <v>45666</v>
      </c>
      <c r="F1406">
        <v>3010101</v>
      </c>
      <c r="G1406">
        <v>25201</v>
      </c>
    </row>
    <row r="1407" spans="1:7" x14ac:dyDescent="0.3">
      <c r="A1407" s="80">
        <v>45671</v>
      </c>
      <c r="B1407">
        <v>1010100</v>
      </c>
      <c r="C1407">
        <v>0</v>
      </c>
      <c r="E1407" s="80">
        <v>45666</v>
      </c>
      <c r="F1407">
        <v>3010101</v>
      </c>
      <c r="G1407">
        <v>25201</v>
      </c>
    </row>
    <row r="1408" spans="1:7" x14ac:dyDescent="0.3">
      <c r="A1408" s="80">
        <v>45671</v>
      </c>
      <c r="B1408">
        <v>1010100</v>
      </c>
      <c r="C1408">
        <v>0</v>
      </c>
      <c r="E1408" s="80">
        <v>45665</v>
      </c>
      <c r="F1408">
        <v>3010101</v>
      </c>
      <c r="G1408">
        <v>25201</v>
      </c>
    </row>
    <row r="1409" spans="1:7" x14ac:dyDescent="0.3">
      <c r="A1409" s="80">
        <v>45671</v>
      </c>
      <c r="B1409">
        <v>1010100</v>
      </c>
      <c r="C1409">
        <v>1990</v>
      </c>
      <c r="E1409" s="80">
        <v>45665</v>
      </c>
      <c r="F1409">
        <v>3010101</v>
      </c>
      <c r="G1409">
        <v>25201</v>
      </c>
    </row>
    <row r="1410" spans="1:7" x14ac:dyDescent="0.3">
      <c r="A1410" s="80">
        <v>45671</v>
      </c>
      <c r="B1410">
        <v>1010100</v>
      </c>
      <c r="C1410">
        <v>0</v>
      </c>
      <c r="E1410" s="80">
        <v>45665</v>
      </c>
      <c r="F1410">
        <v>3010101</v>
      </c>
      <c r="G1410">
        <v>25201</v>
      </c>
    </row>
    <row r="1411" spans="1:7" x14ac:dyDescent="0.3">
      <c r="A1411" s="80">
        <v>45671</v>
      </c>
      <c r="B1411">
        <v>1010100</v>
      </c>
      <c r="C1411">
        <v>0</v>
      </c>
      <c r="E1411" s="80">
        <v>45665</v>
      </c>
      <c r="F1411">
        <v>3010101</v>
      </c>
      <c r="G1411">
        <v>25201</v>
      </c>
    </row>
    <row r="1412" spans="1:7" x14ac:dyDescent="0.3">
      <c r="A1412" s="80">
        <v>45670</v>
      </c>
      <c r="B1412">
        <v>1010100</v>
      </c>
      <c r="C1412">
        <v>4190</v>
      </c>
      <c r="E1412" s="80">
        <v>45665</v>
      </c>
      <c r="F1412">
        <v>3010101</v>
      </c>
      <c r="G1412">
        <v>25201</v>
      </c>
    </row>
    <row r="1413" spans="1:7" x14ac:dyDescent="0.3">
      <c r="A1413" s="80">
        <v>45670</v>
      </c>
      <c r="B1413">
        <v>1010100</v>
      </c>
      <c r="C1413">
        <v>3990</v>
      </c>
      <c r="E1413" s="80">
        <v>45665</v>
      </c>
      <c r="F1413">
        <v>3010101</v>
      </c>
      <c r="G1413">
        <v>25201</v>
      </c>
    </row>
    <row r="1414" spans="1:7" x14ac:dyDescent="0.3">
      <c r="A1414" s="80">
        <v>45670</v>
      </c>
      <c r="B1414">
        <v>1010100</v>
      </c>
      <c r="C1414">
        <v>1990</v>
      </c>
      <c r="E1414" s="80">
        <v>45665</v>
      </c>
      <c r="F1414">
        <v>3010101</v>
      </c>
      <c r="G1414">
        <v>25201</v>
      </c>
    </row>
    <row r="1415" spans="1:7" x14ac:dyDescent="0.3">
      <c r="A1415" s="80">
        <v>45670</v>
      </c>
      <c r="B1415">
        <v>1010100</v>
      </c>
      <c r="C1415">
        <v>1990</v>
      </c>
      <c r="E1415" s="80">
        <v>45665</v>
      </c>
      <c r="F1415">
        <v>3010101</v>
      </c>
      <c r="G1415">
        <v>25201</v>
      </c>
    </row>
    <row r="1416" spans="1:7" x14ac:dyDescent="0.3">
      <c r="A1416" s="80">
        <v>45670</v>
      </c>
      <c r="B1416">
        <v>1010100</v>
      </c>
      <c r="C1416">
        <v>1990</v>
      </c>
      <c r="E1416" s="80">
        <v>45665</v>
      </c>
      <c r="F1416">
        <v>3010101</v>
      </c>
      <c r="G1416">
        <v>25201</v>
      </c>
    </row>
    <row r="1417" spans="1:7" x14ac:dyDescent="0.3">
      <c r="A1417" s="80">
        <v>45670</v>
      </c>
      <c r="B1417">
        <v>1010100</v>
      </c>
      <c r="C1417">
        <v>3790</v>
      </c>
      <c r="E1417" s="80">
        <v>45665</v>
      </c>
      <c r="F1417">
        <v>3010101</v>
      </c>
      <c r="G1417">
        <v>25201</v>
      </c>
    </row>
    <row r="1418" spans="1:7" x14ac:dyDescent="0.3">
      <c r="A1418" s="80">
        <v>45669</v>
      </c>
      <c r="B1418">
        <v>1010100</v>
      </c>
      <c r="C1418">
        <v>0</v>
      </c>
      <c r="E1418" s="80">
        <v>45665</v>
      </c>
      <c r="F1418">
        <v>3010101</v>
      </c>
      <c r="G1418">
        <v>25201</v>
      </c>
    </row>
    <row r="1419" spans="1:7" x14ac:dyDescent="0.3">
      <c r="A1419" s="80">
        <v>45669</v>
      </c>
      <c r="B1419">
        <v>1010100</v>
      </c>
      <c r="C1419">
        <v>1990</v>
      </c>
      <c r="E1419" s="80">
        <v>45665</v>
      </c>
      <c r="F1419">
        <v>3010101</v>
      </c>
      <c r="G1419">
        <v>25201</v>
      </c>
    </row>
    <row r="1420" spans="1:7" x14ac:dyDescent="0.3">
      <c r="A1420" s="80">
        <v>45669</v>
      </c>
      <c r="B1420">
        <v>1010100</v>
      </c>
      <c r="C1420">
        <v>1990</v>
      </c>
      <c r="E1420" s="80">
        <v>45665</v>
      </c>
      <c r="F1420">
        <v>3010101</v>
      </c>
      <c r="G1420">
        <v>25201</v>
      </c>
    </row>
    <row r="1421" spans="1:7" x14ac:dyDescent="0.3">
      <c r="A1421" s="80">
        <v>45669</v>
      </c>
      <c r="B1421">
        <v>1010100</v>
      </c>
      <c r="C1421">
        <v>3590</v>
      </c>
      <c r="E1421" s="80">
        <v>45665</v>
      </c>
      <c r="F1421">
        <v>3010101</v>
      </c>
      <c r="G1421">
        <v>25201</v>
      </c>
    </row>
    <row r="1422" spans="1:7" x14ac:dyDescent="0.3">
      <c r="A1422" s="80">
        <v>45669</v>
      </c>
      <c r="B1422">
        <v>1010100</v>
      </c>
      <c r="C1422">
        <v>1990</v>
      </c>
      <c r="E1422" s="80">
        <v>45665</v>
      </c>
      <c r="F1422">
        <v>3010101</v>
      </c>
      <c r="G1422">
        <v>25201</v>
      </c>
    </row>
    <row r="1423" spans="1:7" x14ac:dyDescent="0.3">
      <c r="A1423" s="80">
        <v>45669</v>
      </c>
      <c r="B1423">
        <v>1010100</v>
      </c>
      <c r="C1423">
        <v>4190</v>
      </c>
      <c r="E1423" s="80">
        <v>45665</v>
      </c>
      <c r="F1423">
        <v>3010101</v>
      </c>
      <c r="G1423">
        <v>25201</v>
      </c>
    </row>
    <row r="1424" spans="1:7" x14ac:dyDescent="0.3">
      <c r="A1424" s="80">
        <v>45669</v>
      </c>
      <c r="B1424">
        <v>1010100</v>
      </c>
      <c r="C1424">
        <v>1990</v>
      </c>
      <c r="E1424" s="80">
        <v>45665</v>
      </c>
      <c r="F1424">
        <v>3010101</v>
      </c>
      <c r="G1424">
        <v>25201</v>
      </c>
    </row>
    <row r="1425" spans="1:7" x14ac:dyDescent="0.3">
      <c r="A1425" s="80">
        <v>45669</v>
      </c>
      <c r="B1425">
        <v>1010100</v>
      </c>
      <c r="C1425">
        <v>1990</v>
      </c>
      <c r="E1425" s="80">
        <v>45665</v>
      </c>
      <c r="F1425">
        <v>3010101</v>
      </c>
      <c r="G1425">
        <v>25201</v>
      </c>
    </row>
    <row r="1426" spans="1:7" x14ac:dyDescent="0.3">
      <c r="A1426" s="80">
        <v>45668</v>
      </c>
      <c r="B1426">
        <v>1010100</v>
      </c>
      <c r="C1426">
        <v>1990</v>
      </c>
      <c r="E1426" s="80">
        <v>45665</v>
      </c>
      <c r="F1426">
        <v>3010101</v>
      </c>
      <c r="G1426">
        <v>25201</v>
      </c>
    </row>
    <row r="1427" spans="1:7" x14ac:dyDescent="0.3">
      <c r="A1427" s="80">
        <v>45668</v>
      </c>
      <c r="B1427">
        <v>1010100</v>
      </c>
      <c r="C1427">
        <v>4790</v>
      </c>
      <c r="E1427" s="80">
        <v>45665</v>
      </c>
      <c r="F1427">
        <v>3010101</v>
      </c>
      <c r="G1427">
        <v>25201</v>
      </c>
    </row>
    <row r="1428" spans="1:7" x14ac:dyDescent="0.3">
      <c r="A1428" s="80">
        <v>45668</v>
      </c>
      <c r="B1428">
        <v>1010100</v>
      </c>
      <c r="C1428">
        <v>4390</v>
      </c>
      <c r="E1428" s="80">
        <v>45665</v>
      </c>
      <c r="F1428">
        <v>3010101</v>
      </c>
      <c r="G1428">
        <v>25201</v>
      </c>
    </row>
    <row r="1429" spans="1:7" x14ac:dyDescent="0.3">
      <c r="A1429" s="80">
        <v>45668</v>
      </c>
      <c r="B1429">
        <v>1010100</v>
      </c>
      <c r="C1429">
        <v>3590</v>
      </c>
      <c r="E1429" s="80">
        <v>45665</v>
      </c>
      <c r="F1429">
        <v>3010101</v>
      </c>
      <c r="G1429">
        <v>25201</v>
      </c>
    </row>
    <row r="1430" spans="1:7" x14ac:dyDescent="0.3">
      <c r="A1430" s="80">
        <v>45668</v>
      </c>
      <c r="B1430">
        <v>1010100</v>
      </c>
      <c r="C1430">
        <v>4521</v>
      </c>
      <c r="E1430" s="80">
        <v>45665</v>
      </c>
      <c r="F1430">
        <v>3010101</v>
      </c>
      <c r="G1430">
        <v>25201</v>
      </c>
    </row>
    <row r="1431" spans="1:7" x14ac:dyDescent="0.3">
      <c r="A1431" s="80">
        <v>45668</v>
      </c>
      <c r="B1431">
        <v>1010100</v>
      </c>
      <c r="C1431">
        <v>1990</v>
      </c>
      <c r="E1431" s="80">
        <v>45665</v>
      </c>
      <c r="F1431">
        <v>3010101</v>
      </c>
      <c r="G1431">
        <v>25201</v>
      </c>
    </row>
    <row r="1432" spans="1:7" x14ac:dyDescent="0.3">
      <c r="A1432" s="80">
        <v>45668</v>
      </c>
      <c r="B1432">
        <v>1010100</v>
      </c>
      <c r="C1432">
        <v>1990</v>
      </c>
      <c r="E1432" s="80">
        <v>45664</v>
      </c>
      <c r="F1432">
        <v>3010101</v>
      </c>
      <c r="G1432">
        <v>25201</v>
      </c>
    </row>
    <row r="1433" spans="1:7" x14ac:dyDescent="0.3">
      <c r="A1433" s="80">
        <v>45668</v>
      </c>
      <c r="B1433">
        <v>1010100</v>
      </c>
      <c r="C1433">
        <v>0</v>
      </c>
      <c r="E1433" s="80">
        <v>45664</v>
      </c>
      <c r="F1433">
        <v>3010101</v>
      </c>
      <c r="G1433">
        <v>25201</v>
      </c>
    </row>
    <row r="1434" spans="1:7" x14ac:dyDescent="0.3">
      <c r="A1434" s="80">
        <v>45668</v>
      </c>
      <c r="B1434">
        <v>1010100</v>
      </c>
      <c r="C1434">
        <v>0</v>
      </c>
      <c r="E1434" s="80">
        <v>45664</v>
      </c>
      <c r="F1434">
        <v>3010101</v>
      </c>
      <c r="G1434">
        <v>25201</v>
      </c>
    </row>
    <row r="1435" spans="1:7" x14ac:dyDescent="0.3">
      <c r="A1435" s="80">
        <v>45668</v>
      </c>
      <c r="B1435">
        <v>1010100</v>
      </c>
      <c r="C1435">
        <v>1990</v>
      </c>
      <c r="E1435" s="80">
        <v>45664</v>
      </c>
      <c r="F1435">
        <v>3010101</v>
      </c>
      <c r="G1435">
        <v>25201</v>
      </c>
    </row>
    <row r="1436" spans="1:7" x14ac:dyDescent="0.3">
      <c r="A1436" s="80">
        <v>45668</v>
      </c>
      <c r="B1436">
        <v>1010100</v>
      </c>
      <c r="C1436">
        <v>1990</v>
      </c>
      <c r="E1436" s="80">
        <v>45664</v>
      </c>
      <c r="F1436">
        <v>3010101</v>
      </c>
      <c r="G1436">
        <v>25201</v>
      </c>
    </row>
    <row r="1437" spans="1:7" x14ac:dyDescent="0.3">
      <c r="A1437" s="80">
        <v>45668</v>
      </c>
      <c r="B1437">
        <v>1010100</v>
      </c>
      <c r="C1437">
        <v>1990</v>
      </c>
      <c r="E1437" s="80">
        <v>45664</v>
      </c>
      <c r="F1437">
        <v>3010101</v>
      </c>
      <c r="G1437">
        <v>25201</v>
      </c>
    </row>
    <row r="1438" spans="1:7" x14ac:dyDescent="0.3">
      <c r="A1438" s="80">
        <v>45668</v>
      </c>
      <c r="B1438">
        <v>1010100</v>
      </c>
      <c r="C1438">
        <v>1990</v>
      </c>
      <c r="E1438" s="80">
        <v>45664</v>
      </c>
      <c r="F1438">
        <v>3010101</v>
      </c>
      <c r="G1438">
        <v>25201</v>
      </c>
    </row>
    <row r="1439" spans="1:7" x14ac:dyDescent="0.3">
      <c r="A1439" s="80">
        <v>45668</v>
      </c>
      <c r="B1439">
        <v>1010100</v>
      </c>
      <c r="C1439">
        <v>0</v>
      </c>
      <c r="E1439" s="80">
        <v>45664</v>
      </c>
      <c r="F1439">
        <v>3010101</v>
      </c>
      <c r="G1439">
        <v>50403</v>
      </c>
    </row>
    <row r="1440" spans="1:7" x14ac:dyDescent="0.3">
      <c r="A1440" s="80">
        <v>45668</v>
      </c>
      <c r="B1440">
        <v>1010100</v>
      </c>
      <c r="C1440">
        <v>3590</v>
      </c>
      <c r="E1440" s="80">
        <v>45664</v>
      </c>
      <c r="F1440">
        <v>3010101</v>
      </c>
      <c r="G1440">
        <v>50403</v>
      </c>
    </row>
    <row r="1441" spans="1:7" x14ac:dyDescent="0.3">
      <c r="A1441" s="80">
        <v>45667</v>
      </c>
      <c r="B1441">
        <v>1010100</v>
      </c>
      <c r="C1441">
        <v>3990</v>
      </c>
      <c r="E1441" s="80">
        <v>45664</v>
      </c>
      <c r="F1441">
        <v>3010101</v>
      </c>
      <c r="G1441">
        <v>25201</v>
      </c>
    </row>
    <row r="1442" spans="1:7" x14ac:dyDescent="0.3">
      <c r="A1442" s="80">
        <v>45667</v>
      </c>
      <c r="B1442">
        <v>1010100</v>
      </c>
      <c r="C1442">
        <v>1990</v>
      </c>
      <c r="E1442" s="80">
        <v>45664</v>
      </c>
      <c r="F1442">
        <v>3010101</v>
      </c>
      <c r="G1442">
        <v>25201</v>
      </c>
    </row>
    <row r="1443" spans="1:7" x14ac:dyDescent="0.3">
      <c r="A1443" s="80">
        <v>45667</v>
      </c>
      <c r="B1443">
        <v>1010100</v>
      </c>
      <c r="C1443">
        <v>1990</v>
      </c>
      <c r="E1443" s="80">
        <v>45664</v>
      </c>
      <c r="F1443">
        <v>3010101</v>
      </c>
      <c r="G1443">
        <v>25201</v>
      </c>
    </row>
    <row r="1444" spans="1:7" x14ac:dyDescent="0.3">
      <c r="A1444" s="80">
        <v>45667</v>
      </c>
      <c r="B1444">
        <v>1010100</v>
      </c>
      <c r="C1444">
        <v>0</v>
      </c>
      <c r="E1444" s="80">
        <v>45664</v>
      </c>
      <c r="F1444">
        <v>3010101</v>
      </c>
      <c r="G1444">
        <v>25201</v>
      </c>
    </row>
    <row r="1445" spans="1:7" x14ac:dyDescent="0.3">
      <c r="A1445" s="80">
        <v>45667</v>
      </c>
      <c r="B1445">
        <v>1010100</v>
      </c>
      <c r="C1445">
        <v>0</v>
      </c>
      <c r="E1445" s="80">
        <v>45664</v>
      </c>
      <c r="F1445">
        <v>3010101</v>
      </c>
      <c r="G1445">
        <v>25201</v>
      </c>
    </row>
    <row r="1446" spans="1:7" x14ac:dyDescent="0.3">
      <c r="A1446" s="80">
        <v>45667</v>
      </c>
      <c r="B1446">
        <v>1010100</v>
      </c>
      <c r="C1446">
        <v>1990</v>
      </c>
      <c r="E1446" s="80">
        <v>45664</v>
      </c>
      <c r="F1446">
        <v>3010101</v>
      </c>
      <c r="G1446">
        <v>25201</v>
      </c>
    </row>
    <row r="1447" spans="1:7" x14ac:dyDescent="0.3">
      <c r="A1447" s="80">
        <v>45667</v>
      </c>
      <c r="B1447">
        <v>1010100</v>
      </c>
      <c r="C1447">
        <v>4490</v>
      </c>
      <c r="E1447" s="80">
        <v>45664</v>
      </c>
      <c r="F1447">
        <v>3010101</v>
      </c>
      <c r="G1447">
        <v>25201</v>
      </c>
    </row>
    <row r="1448" spans="1:7" x14ac:dyDescent="0.3">
      <c r="A1448" s="80">
        <v>45667</v>
      </c>
      <c r="B1448">
        <v>1010100</v>
      </c>
      <c r="C1448">
        <v>0</v>
      </c>
      <c r="E1448" s="80">
        <v>45664</v>
      </c>
      <c r="F1448">
        <v>3010101</v>
      </c>
      <c r="G1448">
        <v>25201</v>
      </c>
    </row>
    <row r="1449" spans="1:7" x14ac:dyDescent="0.3">
      <c r="A1449" s="80">
        <v>45667</v>
      </c>
      <c r="B1449">
        <v>1010100</v>
      </c>
      <c r="C1449">
        <v>0</v>
      </c>
      <c r="E1449" s="80">
        <v>45663</v>
      </c>
      <c r="F1449">
        <v>3010101</v>
      </c>
      <c r="G1449">
        <v>25201</v>
      </c>
    </row>
    <row r="1450" spans="1:7" x14ac:dyDescent="0.3">
      <c r="A1450" s="80">
        <v>45667</v>
      </c>
      <c r="B1450">
        <v>1010100</v>
      </c>
      <c r="C1450">
        <v>1990</v>
      </c>
      <c r="E1450" s="80">
        <v>45663</v>
      </c>
      <c r="F1450">
        <v>3010101</v>
      </c>
      <c r="G1450">
        <v>25201</v>
      </c>
    </row>
    <row r="1451" spans="1:7" x14ac:dyDescent="0.3">
      <c r="A1451" s="80">
        <v>45667</v>
      </c>
      <c r="B1451">
        <v>1010100</v>
      </c>
      <c r="C1451">
        <v>0</v>
      </c>
      <c r="E1451" s="80">
        <v>45663</v>
      </c>
      <c r="F1451">
        <v>3010101</v>
      </c>
      <c r="G1451">
        <v>25201</v>
      </c>
    </row>
    <row r="1452" spans="1:7" x14ac:dyDescent="0.3">
      <c r="A1452" s="80">
        <v>45667</v>
      </c>
      <c r="B1452">
        <v>1010100</v>
      </c>
      <c r="C1452">
        <v>0</v>
      </c>
      <c r="E1452" s="80">
        <v>45663</v>
      </c>
      <c r="F1452">
        <v>3010101</v>
      </c>
      <c r="G1452">
        <v>25201</v>
      </c>
    </row>
    <row r="1453" spans="1:7" x14ac:dyDescent="0.3">
      <c r="A1453" s="80">
        <v>45667</v>
      </c>
      <c r="B1453">
        <v>1010100</v>
      </c>
      <c r="C1453">
        <v>1990</v>
      </c>
      <c r="E1453" s="80">
        <v>45663</v>
      </c>
      <c r="F1453">
        <v>3010101</v>
      </c>
      <c r="G1453">
        <v>22681</v>
      </c>
    </row>
    <row r="1454" spans="1:7" x14ac:dyDescent="0.3">
      <c r="A1454" s="80">
        <v>45667</v>
      </c>
      <c r="B1454">
        <v>1010100</v>
      </c>
      <c r="C1454">
        <v>1990</v>
      </c>
      <c r="E1454" s="80">
        <v>45663</v>
      </c>
      <c r="F1454">
        <v>3010101</v>
      </c>
      <c r="G1454">
        <v>25201</v>
      </c>
    </row>
    <row r="1455" spans="1:7" x14ac:dyDescent="0.3">
      <c r="A1455" s="80">
        <v>45667</v>
      </c>
      <c r="B1455">
        <v>1010100</v>
      </c>
      <c r="C1455">
        <v>0</v>
      </c>
      <c r="E1455" s="80">
        <v>45663</v>
      </c>
      <c r="F1455">
        <v>3010101</v>
      </c>
      <c r="G1455">
        <v>25201</v>
      </c>
    </row>
    <row r="1456" spans="1:7" x14ac:dyDescent="0.3">
      <c r="A1456" s="80">
        <v>45666</v>
      </c>
      <c r="B1456">
        <v>1010100</v>
      </c>
      <c r="C1456">
        <v>0</v>
      </c>
      <c r="E1456" s="80">
        <v>45663</v>
      </c>
      <c r="F1456">
        <v>3010101</v>
      </c>
      <c r="G1456">
        <v>25201</v>
      </c>
    </row>
    <row r="1457" spans="1:7" x14ac:dyDescent="0.3">
      <c r="A1457" s="80">
        <v>45666</v>
      </c>
      <c r="B1457">
        <v>1010100</v>
      </c>
      <c r="C1457">
        <v>1990</v>
      </c>
      <c r="E1457" s="80">
        <v>45663</v>
      </c>
      <c r="F1457">
        <v>3010101</v>
      </c>
      <c r="G1457">
        <v>25201</v>
      </c>
    </row>
    <row r="1458" spans="1:7" x14ac:dyDescent="0.3">
      <c r="A1458" s="80">
        <v>45666</v>
      </c>
      <c r="B1458">
        <v>1010100</v>
      </c>
      <c r="C1458">
        <v>1990</v>
      </c>
      <c r="E1458" s="80">
        <v>45663</v>
      </c>
      <c r="F1458">
        <v>3010101</v>
      </c>
      <c r="G1458">
        <v>25201</v>
      </c>
    </row>
    <row r="1459" spans="1:7" x14ac:dyDescent="0.3">
      <c r="A1459" s="80">
        <v>45666</v>
      </c>
      <c r="B1459">
        <v>1010100</v>
      </c>
      <c r="C1459">
        <v>1990</v>
      </c>
      <c r="E1459" s="80">
        <v>45663</v>
      </c>
      <c r="F1459">
        <v>3010101</v>
      </c>
      <c r="G1459">
        <v>25201</v>
      </c>
    </row>
    <row r="1460" spans="1:7" x14ac:dyDescent="0.3">
      <c r="A1460" s="80">
        <v>45666</v>
      </c>
      <c r="B1460">
        <v>1010100</v>
      </c>
      <c r="C1460">
        <v>1990</v>
      </c>
      <c r="E1460" s="80">
        <v>45663</v>
      </c>
      <c r="F1460">
        <v>3010101</v>
      </c>
      <c r="G1460">
        <v>25201</v>
      </c>
    </row>
    <row r="1461" spans="1:7" x14ac:dyDescent="0.3">
      <c r="A1461" s="80">
        <v>45666</v>
      </c>
      <c r="B1461">
        <v>1010100</v>
      </c>
      <c r="C1461">
        <v>5490</v>
      </c>
      <c r="E1461" s="80">
        <v>45663</v>
      </c>
      <c r="F1461">
        <v>3010101</v>
      </c>
      <c r="G1461">
        <v>25201</v>
      </c>
    </row>
    <row r="1462" spans="1:7" x14ac:dyDescent="0.3">
      <c r="A1462" s="80">
        <v>45666</v>
      </c>
      <c r="B1462">
        <v>1010100</v>
      </c>
      <c r="C1462">
        <v>4390</v>
      </c>
      <c r="E1462" s="80">
        <v>45663</v>
      </c>
      <c r="F1462">
        <v>3010101</v>
      </c>
      <c r="G1462">
        <v>840</v>
      </c>
    </row>
    <row r="1463" spans="1:7" x14ac:dyDescent="0.3">
      <c r="A1463" s="80">
        <v>45666</v>
      </c>
      <c r="B1463">
        <v>1010100</v>
      </c>
      <c r="C1463">
        <v>1990</v>
      </c>
      <c r="E1463" s="80">
        <v>45663</v>
      </c>
      <c r="F1463">
        <v>3010101</v>
      </c>
      <c r="G1463">
        <v>22681</v>
      </c>
    </row>
    <row r="1464" spans="1:7" x14ac:dyDescent="0.3">
      <c r="A1464" s="80">
        <v>45666</v>
      </c>
      <c r="B1464">
        <v>1010100</v>
      </c>
      <c r="C1464">
        <v>0</v>
      </c>
      <c r="E1464" s="80">
        <v>45663</v>
      </c>
      <c r="F1464">
        <v>3010101</v>
      </c>
      <c r="G1464">
        <v>25201</v>
      </c>
    </row>
    <row r="1465" spans="1:7" x14ac:dyDescent="0.3">
      <c r="A1465" s="80">
        <v>45666</v>
      </c>
      <c r="B1465">
        <v>1010100</v>
      </c>
      <c r="C1465">
        <v>4790</v>
      </c>
      <c r="E1465" s="80">
        <v>45663</v>
      </c>
      <c r="F1465">
        <v>3010101</v>
      </c>
      <c r="G1465">
        <v>25201</v>
      </c>
    </row>
    <row r="1466" spans="1:7" x14ac:dyDescent="0.3">
      <c r="A1466" s="80">
        <v>45666</v>
      </c>
      <c r="B1466">
        <v>1010100</v>
      </c>
      <c r="C1466">
        <v>1990</v>
      </c>
      <c r="E1466" s="80">
        <v>45663</v>
      </c>
      <c r="F1466">
        <v>3010101</v>
      </c>
      <c r="G1466">
        <v>25201</v>
      </c>
    </row>
    <row r="1467" spans="1:7" x14ac:dyDescent="0.3">
      <c r="A1467" s="80">
        <v>45666</v>
      </c>
      <c r="B1467">
        <v>1010100</v>
      </c>
      <c r="C1467">
        <v>3790</v>
      </c>
      <c r="E1467" s="80">
        <v>45663</v>
      </c>
      <c r="F1467">
        <v>3010101</v>
      </c>
      <c r="G1467">
        <v>25201</v>
      </c>
    </row>
    <row r="1468" spans="1:7" x14ac:dyDescent="0.3">
      <c r="A1468" s="80">
        <v>45666</v>
      </c>
      <c r="B1468">
        <v>1010100</v>
      </c>
      <c r="C1468">
        <v>1990</v>
      </c>
      <c r="E1468" s="80">
        <v>45663</v>
      </c>
      <c r="F1468">
        <v>3010101</v>
      </c>
      <c r="G1468">
        <v>25201</v>
      </c>
    </row>
    <row r="1469" spans="1:7" x14ac:dyDescent="0.3">
      <c r="A1469" s="80">
        <v>45666</v>
      </c>
      <c r="B1469">
        <v>1010100</v>
      </c>
      <c r="C1469">
        <v>0</v>
      </c>
      <c r="E1469" s="80">
        <v>45663</v>
      </c>
      <c r="F1469">
        <v>3010101</v>
      </c>
      <c r="G1469">
        <v>8394</v>
      </c>
    </row>
    <row r="1470" spans="1:7" x14ac:dyDescent="0.3">
      <c r="A1470" s="80">
        <v>45666</v>
      </c>
      <c r="B1470">
        <v>1010100</v>
      </c>
      <c r="C1470">
        <v>0</v>
      </c>
      <c r="E1470" s="80">
        <v>45663</v>
      </c>
      <c r="F1470">
        <v>3010101</v>
      </c>
      <c r="G1470">
        <v>25201</v>
      </c>
    </row>
    <row r="1471" spans="1:7" x14ac:dyDescent="0.3">
      <c r="A1471" s="80">
        <v>45666</v>
      </c>
      <c r="B1471">
        <v>1010100</v>
      </c>
      <c r="C1471">
        <v>0</v>
      </c>
      <c r="E1471" s="80">
        <v>45663</v>
      </c>
      <c r="F1471">
        <v>3010101</v>
      </c>
      <c r="G1471">
        <v>25201</v>
      </c>
    </row>
    <row r="1472" spans="1:7" x14ac:dyDescent="0.3">
      <c r="A1472" s="80">
        <v>45666</v>
      </c>
      <c r="B1472">
        <v>1010100</v>
      </c>
      <c r="C1472">
        <v>0</v>
      </c>
      <c r="E1472" s="80">
        <v>45663</v>
      </c>
      <c r="F1472">
        <v>3010101</v>
      </c>
      <c r="G1472">
        <v>25201</v>
      </c>
    </row>
    <row r="1473" spans="1:7" x14ac:dyDescent="0.3">
      <c r="A1473" s="80">
        <v>45666</v>
      </c>
      <c r="B1473">
        <v>1010100</v>
      </c>
      <c r="C1473">
        <v>1990</v>
      </c>
      <c r="E1473" s="80">
        <v>45663</v>
      </c>
      <c r="F1473">
        <v>3010101</v>
      </c>
      <c r="G1473">
        <v>25201</v>
      </c>
    </row>
    <row r="1474" spans="1:7" x14ac:dyDescent="0.3">
      <c r="A1474" s="80">
        <v>45665</v>
      </c>
      <c r="B1474">
        <v>1010100</v>
      </c>
      <c r="C1474">
        <v>1990</v>
      </c>
      <c r="E1474" s="80">
        <v>45662</v>
      </c>
      <c r="F1474">
        <v>3010101</v>
      </c>
      <c r="G1474">
        <v>25201</v>
      </c>
    </row>
    <row r="1475" spans="1:7" x14ac:dyDescent="0.3">
      <c r="A1475" s="80">
        <v>45665</v>
      </c>
      <c r="B1475">
        <v>1010100</v>
      </c>
      <c r="C1475">
        <v>1990</v>
      </c>
      <c r="E1475" s="80">
        <v>45662</v>
      </c>
      <c r="F1475">
        <v>3010101</v>
      </c>
      <c r="G1475">
        <v>25201</v>
      </c>
    </row>
    <row r="1476" spans="1:7" x14ac:dyDescent="0.3">
      <c r="A1476" s="80">
        <v>45665</v>
      </c>
      <c r="B1476">
        <v>1010100</v>
      </c>
      <c r="C1476">
        <v>1990</v>
      </c>
      <c r="E1476" s="80">
        <v>45662</v>
      </c>
      <c r="F1476">
        <v>3010101</v>
      </c>
      <c r="G1476">
        <v>25201</v>
      </c>
    </row>
    <row r="1477" spans="1:7" x14ac:dyDescent="0.3">
      <c r="A1477" s="80">
        <v>45665</v>
      </c>
      <c r="B1477">
        <v>1010100</v>
      </c>
      <c r="C1477">
        <v>0</v>
      </c>
      <c r="E1477" s="80">
        <v>45662</v>
      </c>
      <c r="F1477">
        <v>3010101</v>
      </c>
      <c r="G1477">
        <v>25201</v>
      </c>
    </row>
    <row r="1478" spans="1:7" x14ac:dyDescent="0.3">
      <c r="A1478" s="80">
        <v>45665</v>
      </c>
      <c r="B1478">
        <v>1010100</v>
      </c>
      <c r="C1478">
        <v>0</v>
      </c>
      <c r="E1478" s="80">
        <v>45662</v>
      </c>
      <c r="F1478">
        <v>3010101</v>
      </c>
      <c r="G1478">
        <v>25201</v>
      </c>
    </row>
    <row r="1479" spans="1:7" x14ac:dyDescent="0.3">
      <c r="A1479" s="80">
        <v>45665</v>
      </c>
      <c r="B1479">
        <v>1010100</v>
      </c>
      <c r="C1479">
        <v>3790</v>
      </c>
      <c r="E1479" s="80">
        <v>45662</v>
      </c>
      <c r="F1479">
        <v>3010101</v>
      </c>
      <c r="G1479">
        <v>25201</v>
      </c>
    </row>
    <row r="1480" spans="1:7" x14ac:dyDescent="0.3">
      <c r="A1480" s="80">
        <v>45665</v>
      </c>
      <c r="B1480">
        <v>1010100</v>
      </c>
      <c r="C1480">
        <v>0</v>
      </c>
      <c r="E1480" s="80">
        <v>45662</v>
      </c>
      <c r="F1480">
        <v>3010101</v>
      </c>
      <c r="G1480">
        <v>22681</v>
      </c>
    </row>
    <row r="1481" spans="1:7" x14ac:dyDescent="0.3">
      <c r="A1481" s="80">
        <v>45665</v>
      </c>
      <c r="B1481">
        <v>1010100</v>
      </c>
      <c r="C1481">
        <v>4190</v>
      </c>
      <c r="E1481" s="80">
        <v>45662</v>
      </c>
      <c r="F1481">
        <v>3010101</v>
      </c>
      <c r="G1481">
        <v>25201</v>
      </c>
    </row>
    <row r="1482" spans="1:7" x14ac:dyDescent="0.3">
      <c r="A1482" s="80">
        <v>45665</v>
      </c>
      <c r="B1482">
        <v>1010100</v>
      </c>
      <c r="C1482">
        <v>1990</v>
      </c>
      <c r="E1482" s="80">
        <v>45662</v>
      </c>
      <c r="F1482">
        <v>3010101</v>
      </c>
      <c r="G1482">
        <v>25201</v>
      </c>
    </row>
    <row r="1483" spans="1:7" x14ac:dyDescent="0.3">
      <c r="A1483" s="80">
        <v>45665</v>
      </c>
      <c r="B1483">
        <v>1010100</v>
      </c>
      <c r="C1483">
        <v>4190</v>
      </c>
      <c r="E1483" s="80">
        <v>45662</v>
      </c>
      <c r="F1483">
        <v>3010101</v>
      </c>
      <c r="G1483">
        <v>25201</v>
      </c>
    </row>
    <row r="1484" spans="1:7" x14ac:dyDescent="0.3">
      <c r="A1484" s="80">
        <v>45665</v>
      </c>
      <c r="B1484">
        <v>1010100</v>
      </c>
      <c r="C1484">
        <v>0</v>
      </c>
      <c r="E1484" s="80">
        <v>45662</v>
      </c>
      <c r="F1484">
        <v>3010101</v>
      </c>
      <c r="G1484">
        <v>25201</v>
      </c>
    </row>
    <row r="1485" spans="1:7" x14ac:dyDescent="0.3">
      <c r="A1485" s="80">
        <v>45665</v>
      </c>
      <c r="B1485">
        <v>1010100</v>
      </c>
      <c r="C1485">
        <v>1990</v>
      </c>
      <c r="E1485" s="80">
        <v>45662</v>
      </c>
      <c r="F1485">
        <v>3010101</v>
      </c>
      <c r="G1485">
        <v>25201</v>
      </c>
    </row>
    <row r="1486" spans="1:7" x14ac:dyDescent="0.3">
      <c r="A1486" s="80">
        <v>45665</v>
      </c>
      <c r="B1486">
        <v>1010100</v>
      </c>
      <c r="C1486">
        <v>3990</v>
      </c>
      <c r="E1486" s="80">
        <v>45662</v>
      </c>
      <c r="F1486">
        <v>3010101</v>
      </c>
      <c r="G1486">
        <v>25201</v>
      </c>
    </row>
    <row r="1487" spans="1:7" x14ac:dyDescent="0.3">
      <c r="A1487" s="80">
        <v>45665</v>
      </c>
      <c r="B1487">
        <v>1010100</v>
      </c>
      <c r="C1487">
        <v>1990</v>
      </c>
      <c r="E1487" s="80">
        <v>45662</v>
      </c>
      <c r="F1487">
        <v>3010101</v>
      </c>
      <c r="G1487">
        <v>8394</v>
      </c>
    </row>
    <row r="1488" spans="1:7" x14ac:dyDescent="0.3">
      <c r="A1488" s="80">
        <v>45665</v>
      </c>
      <c r="B1488">
        <v>1010100</v>
      </c>
      <c r="C1488">
        <v>1990</v>
      </c>
      <c r="E1488" s="80">
        <v>45662</v>
      </c>
      <c r="F1488">
        <v>3010101</v>
      </c>
      <c r="G1488">
        <v>25201</v>
      </c>
    </row>
    <row r="1489" spans="1:7" x14ac:dyDescent="0.3">
      <c r="A1489" s="80">
        <v>45665</v>
      </c>
      <c r="B1489">
        <v>1010100</v>
      </c>
      <c r="C1489">
        <v>0</v>
      </c>
      <c r="E1489" s="80">
        <v>45662</v>
      </c>
      <c r="F1489">
        <v>3010101</v>
      </c>
      <c r="G1489">
        <v>25201</v>
      </c>
    </row>
    <row r="1490" spans="1:7" x14ac:dyDescent="0.3">
      <c r="A1490" s="80">
        <v>45665</v>
      </c>
      <c r="B1490">
        <v>1010100</v>
      </c>
      <c r="C1490">
        <v>1990</v>
      </c>
      <c r="E1490" s="80">
        <v>45662</v>
      </c>
      <c r="F1490">
        <v>3010101</v>
      </c>
      <c r="G1490">
        <v>50403</v>
      </c>
    </row>
    <row r="1491" spans="1:7" x14ac:dyDescent="0.3">
      <c r="A1491" s="80">
        <v>45665</v>
      </c>
      <c r="B1491">
        <v>1010100</v>
      </c>
      <c r="C1491">
        <v>1990</v>
      </c>
      <c r="E1491" s="80">
        <v>45662</v>
      </c>
      <c r="F1491">
        <v>3010101</v>
      </c>
      <c r="G1491">
        <v>25201</v>
      </c>
    </row>
    <row r="1492" spans="1:7" x14ac:dyDescent="0.3">
      <c r="A1492" s="80">
        <v>45665</v>
      </c>
      <c r="B1492">
        <v>1010100</v>
      </c>
      <c r="C1492">
        <v>6790</v>
      </c>
      <c r="E1492" s="80">
        <v>45662</v>
      </c>
      <c r="F1492">
        <v>3010101</v>
      </c>
      <c r="G1492">
        <v>25201</v>
      </c>
    </row>
    <row r="1493" spans="1:7" x14ac:dyDescent="0.3">
      <c r="A1493" s="80">
        <v>45665</v>
      </c>
      <c r="B1493">
        <v>1010100</v>
      </c>
      <c r="C1493">
        <v>4190</v>
      </c>
      <c r="E1493" s="80">
        <v>45662</v>
      </c>
      <c r="F1493">
        <v>3010101</v>
      </c>
      <c r="G1493">
        <v>25201</v>
      </c>
    </row>
    <row r="1494" spans="1:7" x14ac:dyDescent="0.3">
      <c r="A1494" s="80">
        <v>45665</v>
      </c>
      <c r="B1494">
        <v>1010100</v>
      </c>
      <c r="C1494">
        <v>1990</v>
      </c>
      <c r="E1494" s="80">
        <v>45662</v>
      </c>
      <c r="F1494">
        <v>3010101</v>
      </c>
      <c r="G1494">
        <v>25201</v>
      </c>
    </row>
    <row r="1495" spans="1:7" x14ac:dyDescent="0.3">
      <c r="A1495" s="80">
        <v>45665</v>
      </c>
      <c r="B1495">
        <v>1010100</v>
      </c>
      <c r="C1495">
        <v>1990</v>
      </c>
      <c r="E1495" s="80">
        <v>45662</v>
      </c>
      <c r="F1495">
        <v>3010101</v>
      </c>
      <c r="G1495">
        <v>25201</v>
      </c>
    </row>
    <row r="1496" spans="1:7" x14ac:dyDescent="0.3">
      <c r="A1496" s="80">
        <v>45665</v>
      </c>
      <c r="B1496">
        <v>1010100</v>
      </c>
      <c r="C1496">
        <v>1990</v>
      </c>
      <c r="E1496" s="80">
        <v>45662</v>
      </c>
      <c r="F1496">
        <v>3010101</v>
      </c>
      <c r="G1496">
        <v>25201</v>
      </c>
    </row>
    <row r="1497" spans="1:7" x14ac:dyDescent="0.3">
      <c r="A1497" s="80">
        <v>45665</v>
      </c>
      <c r="B1497">
        <v>1010100</v>
      </c>
      <c r="C1497">
        <v>1990</v>
      </c>
      <c r="E1497" s="80">
        <v>45662</v>
      </c>
      <c r="F1497">
        <v>3010101</v>
      </c>
      <c r="G1497">
        <v>25201</v>
      </c>
    </row>
    <row r="1498" spans="1:7" x14ac:dyDescent="0.3">
      <c r="A1498" s="80">
        <v>45664</v>
      </c>
      <c r="B1498">
        <v>1010100</v>
      </c>
      <c r="C1498">
        <v>4521</v>
      </c>
      <c r="E1498" s="80">
        <v>45661</v>
      </c>
      <c r="F1498">
        <v>3010101</v>
      </c>
      <c r="G1498">
        <v>25201</v>
      </c>
    </row>
    <row r="1499" spans="1:7" x14ac:dyDescent="0.3">
      <c r="A1499" s="80">
        <v>45664</v>
      </c>
      <c r="B1499">
        <v>1010100</v>
      </c>
      <c r="C1499">
        <v>3990</v>
      </c>
      <c r="E1499" s="80">
        <v>45661</v>
      </c>
      <c r="F1499">
        <v>3010101</v>
      </c>
      <c r="G1499">
        <v>25201</v>
      </c>
    </row>
    <row r="1500" spans="1:7" x14ac:dyDescent="0.3">
      <c r="A1500" s="80">
        <v>45664</v>
      </c>
      <c r="B1500">
        <v>1010100</v>
      </c>
      <c r="C1500">
        <v>3990</v>
      </c>
      <c r="E1500" s="80">
        <v>45661</v>
      </c>
      <c r="F1500">
        <v>3010101</v>
      </c>
      <c r="G1500">
        <v>25201</v>
      </c>
    </row>
    <row r="1501" spans="1:7" x14ac:dyDescent="0.3">
      <c r="A1501" s="80">
        <v>45664</v>
      </c>
      <c r="B1501">
        <v>1010100</v>
      </c>
      <c r="C1501">
        <v>3790</v>
      </c>
      <c r="E1501" s="80">
        <v>45661</v>
      </c>
      <c r="F1501">
        <v>3010101</v>
      </c>
      <c r="G1501">
        <v>25201</v>
      </c>
    </row>
    <row r="1502" spans="1:7" x14ac:dyDescent="0.3">
      <c r="A1502" s="80">
        <v>45664</v>
      </c>
      <c r="B1502">
        <v>1010100</v>
      </c>
      <c r="C1502">
        <v>5490</v>
      </c>
      <c r="E1502" s="80">
        <v>45661</v>
      </c>
      <c r="F1502">
        <v>3010101</v>
      </c>
      <c r="G1502">
        <v>25201</v>
      </c>
    </row>
    <row r="1503" spans="1:7" x14ac:dyDescent="0.3">
      <c r="A1503" s="80">
        <v>45664</v>
      </c>
      <c r="B1503">
        <v>1010100</v>
      </c>
      <c r="C1503">
        <v>4190</v>
      </c>
      <c r="E1503" s="80">
        <v>45661</v>
      </c>
      <c r="F1503">
        <v>3010101</v>
      </c>
      <c r="G1503">
        <v>25201</v>
      </c>
    </row>
    <row r="1504" spans="1:7" x14ac:dyDescent="0.3">
      <c r="A1504" s="80">
        <v>45664</v>
      </c>
      <c r="B1504">
        <v>1010100</v>
      </c>
      <c r="C1504">
        <v>0</v>
      </c>
      <c r="E1504" s="80">
        <v>45661</v>
      </c>
      <c r="F1504">
        <v>3010101</v>
      </c>
      <c r="G1504">
        <v>25201</v>
      </c>
    </row>
    <row r="1505" spans="1:7" x14ac:dyDescent="0.3">
      <c r="A1505" s="80">
        <v>45664</v>
      </c>
      <c r="B1505">
        <v>1010100</v>
      </c>
      <c r="C1505">
        <v>0</v>
      </c>
      <c r="E1505" s="80">
        <v>45661</v>
      </c>
      <c r="F1505">
        <v>3010101</v>
      </c>
      <c r="G1505">
        <v>25201</v>
      </c>
    </row>
    <row r="1506" spans="1:7" x14ac:dyDescent="0.3">
      <c r="A1506" s="80">
        <v>45664</v>
      </c>
      <c r="B1506">
        <v>1010100</v>
      </c>
      <c r="C1506">
        <v>0</v>
      </c>
      <c r="E1506" s="80">
        <v>45661</v>
      </c>
      <c r="F1506">
        <v>3010101</v>
      </c>
      <c r="G1506">
        <v>25201</v>
      </c>
    </row>
    <row r="1507" spans="1:7" x14ac:dyDescent="0.3">
      <c r="A1507" s="80">
        <v>45664</v>
      </c>
      <c r="B1507">
        <v>1010100</v>
      </c>
      <c r="C1507">
        <v>1990</v>
      </c>
      <c r="E1507" s="80">
        <v>45661</v>
      </c>
      <c r="F1507">
        <v>3010101</v>
      </c>
      <c r="G1507">
        <v>8394</v>
      </c>
    </row>
    <row r="1508" spans="1:7" x14ac:dyDescent="0.3">
      <c r="A1508" s="80">
        <v>45664</v>
      </c>
      <c r="B1508">
        <v>1010100</v>
      </c>
      <c r="C1508">
        <v>1990</v>
      </c>
      <c r="E1508" s="80">
        <v>45661</v>
      </c>
      <c r="F1508">
        <v>3010101</v>
      </c>
      <c r="G1508">
        <v>25201</v>
      </c>
    </row>
    <row r="1509" spans="1:7" x14ac:dyDescent="0.3">
      <c r="A1509" s="80">
        <v>45664</v>
      </c>
      <c r="B1509">
        <v>1010100</v>
      </c>
      <c r="C1509">
        <v>5890</v>
      </c>
      <c r="E1509" s="80">
        <v>45661</v>
      </c>
      <c r="F1509">
        <v>3010101</v>
      </c>
      <c r="G1509">
        <v>25201</v>
      </c>
    </row>
    <row r="1510" spans="1:7" x14ac:dyDescent="0.3">
      <c r="A1510" s="80">
        <v>45664</v>
      </c>
      <c r="B1510">
        <v>1010100</v>
      </c>
      <c r="C1510">
        <v>1990</v>
      </c>
      <c r="E1510" s="80">
        <v>45661</v>
      </c>
      <c r="F1510">
        <v>3010101</v>
      </c>
      <c r="G1510">
        <v>25201</v>
      </c>
    </row>
    <row r="1511" spans="1:7" x14ac:dyDescent="0.3">
      <c r="A1511" s="80">
        <v>45664</v>
      </c>
      <c r="B1511">
        <v>1010100</v>
      </c>
      <c r="C1511">
        <v>1990</v>
      </c>
      <c r="E1511" s="80">
        <v>45661</v>
      </c>
      <c r="F1511">
        <v>3010101</v>
      </c>
      <c r="G1511">
        <v>25201</v>
      </c>
    </row>
    <row r="1512" spans="1:7" x14ac:dyDescent="0.3">
      <c r="A1512" s="80">
        <v>45664</v>
      </c>
      <c r="B1512">
        <v>1010100</v>
      </c>
      <c r="C1512">
        <v>1990</v>
      </c>
      <c r="E1512" s="80">
        <v>45661</v>
      </c>
      <c r="F1512">
        <v>3010101</v>
      </c>
      <c r="G1512">
        <v>25201</v>
      </c>
    </row>
    <row r="1513" spans="1:7" x14ac:dyDescent="0.3">
      <c r="A1513" s="80">
        <v>45664</v>
      </c>
      <c r="B1513">
        <v>1010100</v>
      </c>
      <c r="C1513">
        <v>0</v>
      </c>
      <c r="E1513" s="80">
        <v>45661</v>
      </c>
      <c r="F1513">
        <v>3010101</v>
      </c>
      <c r="G1513">
        <v>25201</v>
      </c>
    </row>
    <row r="1514" spans="1:7" x14ac:dyDescent="0.3">
      <c r="A1514" s="80">
        <v>45664</v>
      </c>
      <c r="B1514">
        <v>1010100</v>
      </c>
      <c r="C1514">
        <v>1990</v>
      </c>
      <c r="E1514" s="80">
        <v>45661</v>
      </c>
      <c r="F1514">
        <v>3010101</v>
      </c>
      <c r="G1514">
        <v>25201</v>
      </c>
    </row>
    <row r="1515" spans="1:7" x14ac:dyDescent="0.3">
      <c r="A1515" s="80">
        <v>45663</v>
      </c>
      <c r="B1515">
        <v>1010100</v>
      </c>
      <c r="C1515">
        <v>0</v>
      </c>
      <c r="E1515" s="80">
        <v>45661</v>
      </c>
      <c r="F1515">
        <v>3010101</v>
      </c>
      <c r="G1515">
        <v>25201</v>
      </c>
    </row>
    <row r="1516" spans="1:7" x14ac:dyDescent="0.3">
      <c r="A1516" s="80">
        <v>45663</v>
      </c>
      <c r="B1516">
        <v>1010100</v>
      </c>
      <c r="C1516">
        <v>1990</v>
      </c>
      <c r="E1516" s="80">
        <v>45661</v>
      </c>
      <c r="F1516">
        <v>3010101</v>
      </c>
      <c r="G1516">
        <v>25201</v>
      </c>
    </row>
    <row r="1517" spans="1:7" x14ac:dyDescent="0.3">
      <c r="A1517" s="80">
        <v>45663</v>
      </c>
      <c r="B1517">
        <v>1010100</v>
      </c>
      <c r="C1517">
        <v>3790</v>
      </c>
      <c r="E1517" s="80">
        <v>45660</v>
      </c>
      <c r="F1517">
        <v>3010101</v>
      </c>
      <c r="G1517">
        <v>25201</v>
      </c>
    </row>
    <row r="1518" spans="1:7" x14ac:dyDescent="0.3">
      <c r="A1518" s="80">
        <v>45663</v>
      </c>
      <c r="B1518">
        <v>1010100</v>
      </c>
      <c r="C1518">
        <v>1990</v>
      </c>
      <c r="E1518" s="80">
        <v>45660</v>
      </c>
      <c r="F1518">
        <v>3010101</v>
      </c>
      <c r="G1518">
        <v>25201</v>
      </c>
    </row>
    <row r="1519" spans="1:7" x14ac:dyDescent="0.3">
      <c r="A1519" s="80">
        <v>45663</v>
      </c>
      <c r="B1519">
        <v>1010100</v>
      </c>
      <c r="C1519">
        <v>1990</v>
      </c>
      <c r="E1519" s="80">
        <v>45660</v>
      </c>
      <c r="F1519">
        <v>3010101</v>
      </c>
      <c r="G1519">
        <v>25201</v>
      </c>
    </row>
    <row r="1520" spans="1:7" x14ac:dyDescent="0.3">
      <c r="A1520" s="80">
        <v>45663</v>
      </c>
      <c r="B1520">
        <v>1010100</v>
      </c>
      <c r="C1520">
        <v>0</v>
      </c>
      <c r="E1520" s="80">
        <v>45660</v>
      </c>
      <c r="F1520">
        <v>3010101</v>
      </c>
      <c r="G1520">
        <v>25201</v>
      </c>
    </row>
    <row r="1521" spans="1:7" x14ac:dyDescent="0.3">
      <c r="A1521" s="80">
        <v>45663</v>
      </c>
      <c r="B1521">
        <v>1010100</v>
      </c>
      <c r="C1521">
        <v>4390</v>
      </c>
      <c r="E1521" s="80">
        <v>45660</v>
      </c>
      <c r="F1521">
        <v>3010101</v>
      </c>
      <c r="G1521">
        <v>25201</v>
      </c>
    </row>
    <row r="1522" spans="1:7" x14ac:dyDescent="0.3">
      <c r="A1522" s="80">
        <v>45663</v>
      </c>
      <c r="B1522">
        <v>1010100</v>
      </c>
      <c r="C1522">
        <v>0</v>
      </c>
      <c r="E1522" s="80">
        <v>45660</v>
      </c>
      <c r="F1522">
        <v>3010101</v>
      </c>
      <c r="G1522">
        <v>25201</v>
      </c>
    </row>
    <row r="1523" spans="1:7" x14ac:dyDescent="0.3">
      <c r="A1523" s="80">
        <v>45663</v>
      </c>
      <c r="B1523">
        <v>1010100</v>
      </c>
      <c r="C1523">
        <v>1990</v>
      </c>
      <c r="E1523" s="80">
        <v>45660</v>
      </c>
      <c r="F1523">
        <v>3010101</v>
      </c>
      <c r="G1523">
        <v>25201</v>
      </c>
    </row>
    <row r="1524" spans="1:7" x14ac:dyDescent="0.3">
      <c r="A1524" s="80">
        <v>45663</v>
      </c>
      <c r="B1524">
        <v>1010100</v>
      </c>
      <c r="C1524">
        <v>3990</v>
      </c>
      <c r="E1524" s="80">
        <v>45660</v>
      </c>
      <c r="F1524">
        <v>3010101</v>
      </c>
      <c r="G1524">
        <v>25201</v>
      </c>
    </row>
    <row r="1525" spans="1:7" x14ac:dyDescent="0.3">
      <c r="A1525" s="80">
        <v>45663</v>
      </c>
      <c r="B1525">
        <v>1010100</v>
      </c>
      <c r="C1525">
        <v>4690</v>
      </c>
      <c r="E1525" s="80">
        <v>45660</v>
      </c>
      <c r="F1525">
        <v>3010101</v>
      </c>
      <c r="G1525">
        <v>25201</v>
      </c>
    </row>
    <row r="1526" spans="1:7" x14ac:dyDescent="0.3">
      <c r="A1526" s="80">
        <v>45663</v>
      </c>
      <c r="B1526">
        <v>1010100</v>
      </c>
      <c r="C1526">
        <v>0</v>
      </c>
      <c r="E1526" s="80">
        <v>45660</v>
      </c>
      <c r="F1526">
        <v>3010101</v>
      </c>
      <c r="G1526">
        <v>25201</v>
      </c>
    </row>
    <row r="1527" spans="1:7" x14ac:dyDescent="0.3">
      <c r="A1527" s="80">
        <v>45663</v>
      </c>
      <c r="B1527">
        <v>1010100</v>
      </c>
      <c r="C1527">
        <v>4190</v>
      </c>
      <c r="E1527" s="80">
        <v>45660</v>
      </c>
      <c r="F1527">
        <v>3010101</v>
      </c>
      <c r="G1527">
        <v>25201</v>
      </c>
    </row>
    <row r="1528" spans="1:7" x14ac:dyDescent="0.3">
      <c r="A1528" s="80">
        <v>45663</v>
      </c>
      <c r="B1528">
        <v>1010100</v>
      </c>
      <c r="C1528">
        <v>0</v>
      </c>
      <c r="E1528" s="80">
        <v>45660</v>
      </c>
      <c r="F1528">
        <v>3010101</v>
      </c>
      <c r="G1528">
        <v>25201</v>
      </c>
    </row>
    <row r="1529" spans="1:7" x14ac:dyDescent="0.3">
      <c r="A1529" s="80">
        <v>45663</v>
      </c>
      <c r="B1529">
        <v>1010100</v>
      </c>
      <c r="C1529">
        <v>1990</v>
      </c>
      <c r="E1529" s="80">
        <v>45660</v>
      </c>
      <c r="F1529">
        <v>3010101</v>
      </c>
      <c r="G1529">
        <v>25201</v>
      </c>
    </row>
    <row r="1530" spans="1:7" x14ac:dyDescent="0.3">
      <c r="A1530" s="80">
        <v>45663</v>
      </c>
      <c r="B1530">
        <v>1010100</v>
      </c>
      <c r="C1530">
        <v>1990</v>
      </c>
      <c r="E1530" s="80">
        <v>45660</v>
      </c>
      <c r="F1530">
        <v>3010101</v>
      </c>
      <c r="G1530">
        <v>25201</v>
      </c>
    </row>
    <row r="1531" spans="1:7" x14ac:dyDescent="0.3">
      <c r="A1531" s="80">
        <v>45663</v>
      </c>
      <c r="B1531">
        <v>1010100</v>
      </c>
      <c r="C1531">
        <v>3490</v>
      </c>
      <c r="E1531" s="80">
        <v>45660</v>
      </c>
      <c r="F1531">
        <v>3010101</v>
      </c>
      <c r="G1531">
        <v>25201</v>
      </c>
    </row>
    <row r="1532" spans="1:7" x14ac:dyDescent="0.3">
      <c r="A1532" s="80">
        <v>45663</v>
      </c>
      <c r="B1532">
        <v>1010100</v>
      </c>
      <c r="C1532">
        <v>5490</v>
      </c>
      <c r="E1532" s="80">
        <v>45660</v>
      </c>
      <c r="F1532">
        <v>3010101</v>
      </c>
      <c r="G1532">
        <v>8394</v>
      </c>
    </row>
    <row r="1533" spans="1:7" x14ac:dyDescent="0.3">
      <c r="A1533" s="80">
        <v>45663</v>
      </c>
      <c r="B1533">
        <v>1010100</v>
      </c>
      <c r="C1533">
        <v>5890</v>
      </c>
      <c r="E1533" s="80">
        <v>45660</v>
      </c>
      <c r="F1533">
        <v>3010101</v>
      </c>
      <c r="G1533">
        <v>25201</v>
      </c>
    </row>
    <row r="1534" spans="1:7" x14ac:dyDescent="0.3">
      <c r="A1534" s="80">
        <v>45663</v>
      </c>
      <c r="B1534">
        <v>1010100</v>
      </c>
      <c r="C1534">
        <v>0</v>
      </c>
      <c r="E1534" s="80">
        <v>45659</v>
      </c>
      <c r="F1534">
        <v>3010101</v>
      </c>
      <c r="G1534">
        <v>25201</v>
      </c>
    </row>
    <row r="1535" spans="1:7" x14ac:dyDescent="0.3">
      <c r="A1535" s="80">
        <v>45663</v>
      </c>
      <c r="B1535">
        <v>1010100</v>
      </c>
      <c r="C1535">
        <v>0</v>
      </c>
      <c r="E1535" s="80">
        <v>45659</v>
      </c>
      <c r="F1535">
        <v>3010101</v>
      </c>
      <c r="G1535">
        <v>25201</v>
      </c>
    </row>
    <row r="1536" spans="1:7" x14ac:dyDescent="0.3">
      <c r="A1536" s="80">
        <v>45663</v>
      </c>
      <c r="B1536">
        <v>1010100</v>
      </c>
      <c r="C1536">
        <v>6490</v>
      </c>
      <c r="E1536" s="80">
        <v>45659</v>
      </c>
      <c r="F1536">
        <v>3010101</v>
      </c>
      <c r="G1536">
        <v>25201</v>
      </c>
    </row>
    <row r="1537" spans="1:7" x14ac:dyDescent="0.3">
      <c r="A1537" s="80">
        <v>45663</v>
      </c>
      <c r="B1537">
        <v>1010100</v>
      </c>
      <c r="C1537">
        <v>1990</v>
      </c>
      <c r="E1537" s="80">
        <v>45659</v>
      </c>
      <c r="F1537">
        <v>3010101</v>
      </c>
      <c r="G1537">
        <v>25201</v>
      </c>
    </row>
    <row r="1538" spans="1:7" x14ac:dyDescent="0.3">
      <c r="A1538" s="80">
        <v>45663</v>
      </c>
      <c r="B1538">
        <v>1010100</v>
      </c>
      <c r="C1538">
        <v>0</v>
      </c>
      <c r="E1538" s="80">
        <v>45659</v>
      </c>
      <c r="F1538">
        <v>3010101</v>
      </c>
      <c r="G1538">
        <v>25201</v>
      </c>
    </row>
    <row r="1539" spans="1:7" x14ac:dyDescent="0.3">
      <c r="A1539" s="80">
        <v>45663</v>
      </c>
      <c r="B1539">
        <v>1010100</v>
      </c>
      <c r="C1539">
        <v>0</v>
      </c>
      <c r="E1539" s="80">
        <v>45659</v>
      </c>
      <c r="F1539">
        <v>3010101</v>
      </c>
      <c r="G1539">
        <v>25201</v>
      </c>
    </row>
    <row r="1540" spans="1:7" x14ac:dyDescent="0.3">
      <c r="A1540" s="80">
        <v>45662</v>
      </c>
      <c r="B1540">
        <v>1010100</v>
      </c>
      <c r="C1540">
        <v>1990</v>
      </c>
      <c r="E1540" s="80">
        <v>45659</v>
      </c>
      <c r="F1540">
        <v>3010101</v>
      </c>
      <c r="G1540">
        <v>25201</v>
      </c>
    </row>
    <row r="1541" spans="1:7" x14ac:dyDescent="0.3">
      <c r="A1541" s="80">
        <v>45662</v>
      </c>
      <c r="B1541">
        <v>1010100</v>
      </c>
      <c r="C1541">
        <v>6390</v>
      </c>
      <c r="E1541" s="80">
        <v>45659</v>
      </c>
      <c r="F1541">
        <v>3010101</v>
      </c>
      <c r="G1541">
        <v>25201</v>
      </c>
    </row>
    <row r="1542" spans="1:7" x14ac:dyDescent="0.3">
      <c r="A1542" s="80">
        <v>45662</v>
      </c>
      <c r="B1542">
        <v>1010100</v>
      </c>
      <c r="C1542">
        <v>1990</v>
      </c>
      <c r="E1542" s="80">
        <v>45659</v>
      </c>
      <c r="F1542">
        <v>3010101</v>
      </c>
      <c r="G1542">
        <v>25201</v>
      </c>
    </row>
    <row r="1543" spans="1:7" x14ac:dyDescent="0.3">
      <c r="A1543" s="80">
        <v>45662</v>
      </c>
      <c r="B1543">
        <v>1010100</v>
      </c>
      <c r="C1543">
        <v>1990</v>
      </c>
      <c r="E1543" s="80">
        <v>45659</v>
      </c>
      <c r="F1543">
        <v>3010101</v>
      </c>
      <c r="G1543">
        <v>50403</v>
      </c>
    </row>
    <row r="1544" spans="1:7" x14ac:dyDescent="0.3">
      <c r="A1544" s="80">
        <v>45662</v>
      </c>
      <c r="B1544">
        <v>1010100</v>
      </c>
      <c r="C1544">
        <v>1990</v>
      </c>
      <c r="E1544" s="80">
        <v>45659</v>
      </c>
      <c r="F1544">
        <v>3010101</v>
      </c>
      <c r="G1544">
        <v>25201</v>
      </c>
    </row>
    <row r="1545" spans="1:7" x14ac:dyDescent="0.3">
      <c r="A1545" s="80">
        <v>45662</v>
      </c>
      <c r="B1545">
        <v>1010100</v>
      </c>
      <c r="C1545">
        <v>4190</v>
      </c>
      <c r="E1545" s="80">
        <v>45659</v>
      </c>
      <c r="F1545">
        <v>3010101</v>
      </c>
      <c r="G1545">
        <v>25201</v>
      </c>
    </row>
    <row r="1546" spans="1:7" x14ac:dyDescent="0.3">
      <c r="A1546" s="80">
        <v>45662</v>
      </c>
      <c r="B1546">
        <v>1010100</v>
      </c>
      <c r="C1546">
        <v>4190</v>
      </c>
      <c r="E1546" s="80">
        <v>45659</v>
      </c>
      <c r="F1546">
        <v>3010101</v>
      </c>
      <c r="G1546">
        <v>25201</v>
      </c>
    </row>
    <row r="1547" spans="1:7" x14ac:dyDescent="0.3">
      <c r="A1547" s="80">
        <v>45662</v>
      </c>
      <c r="B1547">
        <v>1010100</v>
      </c>
      <c r="C1547">
        <v>1990</v>
      </c>
      <c r="E1547" s="80">
        <v>45659</v>
      </c>
      <c r="F1547">
        <v>3010101</v>
      </c>
      <c r="G1547">
        <v>25201</v>
      </c>
    </row>
    <row r="1548" spans="1:7" x14ac:dyDescent="0.3">
      <c r="A1548" s="80">
        <v>45662</v>
      </c>
      <c r="B1548">
        <v>1010100</v>
      </c>
      <c r="C1548">
        <v>0</v>
      </c>
      <c r="E1548" s="80">
        <v>45659</v>
      </c>
      <c r="F1548">
        <v>3010101</v>
      </c>
      <c r="G1548">
        <v>25201</v>
      </c>
    </row>
    <row r="1549" spans="1:7" x14ac:dyDescent="0.3">
      <c r="A1549" s="80">
        <v>45662</v>
      </c>
      <c r="B1549">
        <v>1010100</v>
      </c>
      <c r="C1549">
        <v>0</v>
      </c>
      <c r="E1549" s="80">
        <v>45659</v>
      </c>
      <c r="F1549">
        <v>3010101</v>
      </c>
      <c r="G1549">
        <v>25201</v>
      </c>
    </row>
    <row r="1550" spans="1:7" x14ac:dyDescent="0.3">
      <c r="A1550" s="80">
        <v>45662</v>
      </c>
      <c r="B1550">
        <v>1010100</v>
      </c>
      <c r="C1550">
        <v>4190</v>
      </c>
      <c r="E1550" s="80">
        <v>45659</v>
      </c>
      <c r="F1550">
        <v>3010101</v>
      </c>
      <c r="G1550">
        <v>25201</v>
      </c>
    </row>
    <row r="1551" spans="1:7" x14ac:dyDescent="0.3">
      <c r="A1551" s="80">
        <v>45662</v>
      </c>
      <c r="B1551">
        <v>1010100</v>
      </c>
      <c r="C1551">
        <v>1990</v>
      </c>
      <c r="E1551" s="80">
        <v>45659</v>
      </c>
      <c r="F1551">
        <v>3010101</v>
      </c>
      <c r="G1551">
        <v>25201</v>
      </c>
    </row>
    <row r="1552" spans="1:7" x14ac:dyDescent="0.3">
      <c r="A1552" s="80">
        <v>45662</v>
      </c>
      <c r="B1552">
        <v>1010100</v>
      </c>
      <c r="C1552">
        <v>3590</v>
      </c>
      <c r="E1552" s="80">
        <v>45659</v>
      </c>
      <c r="F1552">
        <v>3010101</v>
      </c>
      <c r="G1552">
        <v>25201</v>
      </c>
    </row>
    <row r="1553" spans="1:7" x14ac:dyDescent="0.3">
      <c r="A1553" s="80">
        <v>45662</v>
      </c>
      <c r="B1553">
        <v>1010100</v>
      </c>
      <c r="C1553">
        <v>1990</v>
      </c>
      <c r="E1553" s="80">
        <v>45659</v>
      </c>
      <c r="F1553">
        <v>3010101</v>
      </c>
      <c r="G1553">
        <v>25201</v>
      </c>
    </row>
    <row r="1554" spans="1:7" x14ac:dyDescent="0.3">
      <c r="A1554" s="80">
        <v>45662</v>
      </c>
      <c r="B1554">
        <v>1010100</v>
      </c>
      <c r="C1554">
        <v>0</v>
      </c>
      <c r="E1554" s="80">
        <v>45659</v>
      </c>
      <c r="F1554">
        <v>3010101</v>
      </c>
      <c r="G1554">
        <v>25201</v>
      </c>
    </row>
    <row r="1555" spans="1:7" x14ac:dyDescent="0.3">
      <c r="A1555" s="80">
        <v>45662</v>
      </c>
      <c r="B1555">
        <v>1010100</v>
      </c>
      <c r="C1555">
        <v>0</v>
      </c>
      <c r="E1555" s="80">
        <v>45659</v>
      </c>
      <c r="F1555">
        <v>3010101</v>
      </c>
      <c r="G1555">
        <v>25201</v>
      </c>
    </row>
    <row r="1556" spans="1:7" x14ac:dyDescent="0.3">
      <c r="A1556" s="80">
        <v>45662</v>
      </c>
      <c r="B1556">
        <v>1010100</v>
      </c>
      <c r="C1556">
        <v>0</v>
      </c>
      <c r="E1556" s="80">
        <v>45659</v>
      </c>
      <c r="F1556">
        <v>3010101</v>
      </c>
      <c r="G1556">
        <v>25201</v>
      </c>
    </row>
    <row r="1557" spans="1:7" x14ac:dyDescent="0.3">
      <c r="A1557" s="80">
        <v>45662</v>
      </c>
      <c r="B1557">
        <v>1010100</v>
      </c>
      <c r="C1557">
        <v>1990</v>
      </c>
      <c r="E1557" s="80">
        <v>45658</v>
      </c>
      <c r="F1557">
        <v>3010101</v>
      </c>
      <c r="G1557">
        <v>25201</v>
      </c>
    </row>
    <row r="1558" spans="1:7" x14ac:dyDescent="0.3">
      <c r="A1558" s="80">
        <v>45662</v>
      </c>
      <c r="B1558">
        <v>1010100</v>
      </c>
      <c r="C1558">
        <v>1990</v>
      </c>
      <c r="E1558" s="80">
        <v>45658</v>
      </c>
      <c r="F1558">
        <v>3010101</v>
      </c>
      <c r="G1558">
        <v>25201</v>
      </c>
    </row>
    <row r="1559" spans="1:7" x14ac:dyDescent="0.3">
      <c r="A1559" s="80">
        <v>45662</v>
      </c>
      <c r="B1559">
        <v>1010100</v>
      </c>
      <c r="C1559">
        <v>0</v>
      </c>
      <c r="E1559" s="80">
        <v>45658</v>
      </c>
      <c r="F1559">
        <v>3010101</v>
      </c>
      <c r="G1559">
        <v>25201</v>
      </c>
    </row>
    <row r="1560" spans="1:7" x14ac:dyDescent="0.3">
      <c r="A1560" s="80">
        <v>45662</v>
      </c>
      <c r="B1560">
        <v>1010100</v>
      </c>
      <c r="C1560">
        <v>0</v>
      </c>
      <c r="E1560" s="80">
        <v>45658</v>
      </c>
      <c r="F1560">
        <v>3010101</v>
      </c>
      <c r="G1560">
        <v>25201</v>
      </c>
    </row>
    <row r="1561" spans="1:7" x14ac:dyDescent="0.3">
      <c r="A1561" s="80">
        <v>45662</v>
      </c>
      <c r="B1561">
        <v>1010100</v>
      </c>
      <c r="C1561">
        <v>5990</v>
      </c>
      <c r="E1561" s="80">
        <v>45658</v>
      </c>
      <c r="F1561">
        <v>3010101</v>
      </c>
      <c r="G1561">
        <v>25201</v>
      </c>
    </row>
    <row r="1562" spans="1:7" x14ac:dyDescent="0.3">
      <c r="A1562" s="80">
        <v>45662</v>
      </c>
      <c r="B1562">
        <v>1010100</v>
      </c>
      <c r="C1562">
        <v>3790</v>
      </c>
      <c r="E1562" s="80">
        <v>45658</v>
      </c>
      <c r="F1562">
        <v>3010101</v>
      </c>
      <c r="G1562">
        <v>25201</v>
      </c>
    </row>
    <row r="1563" spans="1:7" x14ac:dyDescent="0.3">
      <c r="A1563" s="80">
        <v>45662</v>
      </c>
      <c r="B1563">
        <v>1010100</v>
      </c>
      <c r="C1563">
        <v>3990</v>
      </c>
      <c r="E1563" s="80">
        <v>45658</v>
      </c>
      <c r="F1563">
        <v>3010101</v>
      </c>
      <c r="G1563">
        <v>25201</v>
      </c>
    </row>
    <row r="1564" spans="1:7" x14ac:dyDescent="0.3">
      <c r="A1564" s="80">
        <v>45661</v>
      </c>
      <c r="B1564">
        <v>1010100</v>
      </c>
      <c r="C1564">
        <v>2590</v>
      </c>
      <c r="E1564" s="80">
        <v>45658</v>
      </c>
      <c r="F1564">
        <v>3010101</v>
      </c>
      <c r="G1564">
        <v>25201</v>
      </c>
    </row>
    <row r="1565" spans="1:7" x14ac:dyDescent="0.3">
      <c r="A1565" s="80">
        <v>45661</v>
      </c>
      <c r="B1565">
        <v>1010100</v>
      </c>
      <c r="C1565">
        <v>1990</v>
      </c>
      <c r="E1565" s="80">
        <v>45658</v>
      </c>
      <c r="F1565">
        <v>3010101</v>
      </c>
      <c r="G1565">
        <v>25201</v>
      </c>
    </row>
    <row r="1566" spans="1:7" x14ac:dyDescent="0.3">
      <c r="A1566" s="80">
        <v>45661</v>
      </c>
      <c r="B1566">
        <v>1010100</v>
      </c>
      <c r="C1566">
        <v>1990</v>
      </c>
      <c r="E1566" s="80">
        <v>45658</v>
      </c>
      <c r="F1566">
        <v>3010101</v>
      </c>
      <c r="G1566">
        <v>8394</v>
      </c>
    </row>
    <row r="1567" spans="1:7" x14ac:dyDescent="0.3">
      <c r="A1567" s="80">
        <v>45661</v>
      </c>
      <c r="B1567">
        <v>1010100</v>
      </c>
      <c r="C1567">
        <v>1990</v>
      </c>
      <c r="E1567" s="80">
        <v>45658</v>
      </c>
      <c r="F1567">
        <v>3010101</v>
      </c>
      <c r="G1567">
        <v>25201</v>
      </c>
    </row>
    <row r="1568" spans="1:7" x14ac:dyDescent="0.3">
      <c r="A1568" s="80">
        <v>45661</v>
      </c>
      <c r="B1568">
        <v>1010100</v>
      </c>
      <c r="C1568">
        <v>4390</v>
      </c>
      <c r="E1568" s="80">
        <v>45658</v>
      </c>
      <c r="F1568">
        <v>3010101</v>
      </c>
      <c r="G1568">
        <v>25201</v>
      </c>
    </row>
    <row r="1569" spans="1:7" x14ac:dyDescent="0.3">
      <c r="A1569" s="80">
        <v>45661</v>
      </c>
      <c r="B1569">
        <v>1010100</v>
      </c>
      <c r="C1569">
        <v>5990</v>
      </c>
      <c r="E1569" s="80">
        <v>45658</v>
      </c>
      <c r="F1569">
        <v>3010101</v>
      </c>
      <c r="G1569">
        <v>22681</v>
      </c>
    </row>
    <row r="1570" spans="1:7" x14ac:dyDescent="0.3">
      <c r="A1570" s="80">
        <v>45661</v>
      </c>
      <c r="B1570">
        <v>1010100</v>
      </c>
      <c r="C1570">
        <v>1990</v>
      </c>
      <c r="E1570" s="80">
        <v>45658</v>
      </c>
      <c r="F1570">
        <v>3010101</v>
      </c>
      <c r="G1570">
        <v>25201</v>
      </c>
    </row>
    <row r="1571" spans="1:7" x14ac:dyDescent="0.3">
      <c r="A1571" s="80">
        <v>45661</v>
      </c>
      <c r="B1571">
        <v>1010100</v>
      </c>
      <c r="C1571">
        <v>1990</v>
      </c>
      <c r="E1571" s="80">
        <v>45658</v>
      </c>
      <c r="F1571">
        <v>3010101</v>
      </c>
      <c r="G1571">
        <v>22681</v>
      </c>
    </row>
    <row r="1572" spans="1:7" x14ac:dyDescent="0.3">
      <c r="A1572" s="80">
        <v>45661</v>
      </c>
      <c r="B1572">
        <v>1010100</v>
      </c>
      <c r="C1572">
        <v>4990</v>
      </c>
      <c r="E1572" s="80">
        <v>45752</v>
      </c>
      <c r="F1572">
        <v>2011310</v>
      </c>
      <c r="G1572">
        <v>7821.93</v>
      </c>
    </row>
    <row r="1573" spans="1:7" x14ac:dyDescent="0.3">
      <c r="A1573" s="80">
        <v>45661</v>
      </c>
      <c r="B1573">
        <v>1010100</v>
      </c>
      <c r="C1573">
        <v>0</v>
      </c>
      <c r="E1573" s="80">
        <v>45752</v>
      </c>
      <c r="F1573">
        <v>2011310</v>
      </c>
      <c r="G1573">
        <v>3685.06</v>
      </c>
    </row>
    <row r="1574" spans="1:7" x14ac:dyDescent="0.3">
      <c r="A1574" s="80">
        <v>45661</v>
      </c>
      <c r="B1574">
        <v>1010100</v>
      </c>
      <c r="C1574">
        <v>3590</v>
      </c>
      <c r="E1574" s="80">
        <v>45752</v>
      </c>
      <c r="F1574">
        <v>2011310</v>
      </c>
      <c r="G1574">
        <v>4499.8500000000004</v>
      </c>
    </row>
    <row r="1575" spans="1:7" x14ac:dyDescent="0.3">
      <c r="A1575" s="80">
        <v>45661</v>
      </c>
      <c r="B1575">
        <v>1010100</v>
      </c>
      <c r="C1575">
        <v>0</v>
      </c>
      <c r="E1575" s="80">
        <v>45752</v>
      </c>
      <c r="F1575">
        <v>2011310</v>
      </c>
      <c r="G1575">
        <v>3973.12</v>
      </c>
    </row>
    <row r="1576" spans="1:7" x14ac:dyDescent="0.3">
      <c r="A1576" s="80">
        <v>45661</v>
      </c>
      <c r="B1576">
        <v>1010100</v>
      </c>
      <c r="C1576">
        <v>0</v>
      </c>
      <c r="E1576" s="80">
        <v>45752</v>
      </c>
      <c r="F1576">
        <v>2011310</v>
      </c>
      <c r="G1576">
        <v>7821.93</v>
      </c>
    </row>
    <row r="1577" spans="1:7" x14ac:dyDescent="0.3">
      <c r="A1577" s="80">
        <v>45661</v>
      </c>
      <c r="B1577">
        <v>1010100</v>
      </c>
      <c r="C1577">
        <v>5990</v>
      </c>
      <c r="E1577" s="80">
        <v>45752</v>
      </c>
      <c r="F1577">
        <v>2011310</v>
      </c>
      <c r="G1577">
        <v>3973.12</v>
      </c>
    </row>
    <row r="1578" spans="1:7" x14ac:dyDescent="0.3">
      <c r="A1578" s="80">
        <v>45661</v>
      </c>
      <c r="B1578">
        <v>1010100</v>
      </c>
      <c r="C1578">
        <v>3790</v>
      </c>
      <c r="E1578" s="80">
        <v>45751</v>
      </c>
      <c r="F1578">
        <v>2011310</v>
      </c>
      <c r="G1578">
        <v>1562.03</v>
      </c>
    </row>
    <row r="1579" spans="1:7" x14ac:dyDescent="0.3">
      <c r="A1579" s="80">
        <v>45661</v>
      </c>
      <c r="B1579">
        <v>1010100</v>
      </c>
      <c r="C1579">
        <v>1990</v>
      </c>
      <c r="E1579" s="80">
        <v>45751</v>
      </c>
      <c r="F1579">
        <v>2011310</v>
      </c>
      <c r="G1579">
        <v>1562.03</v>
      </c>
    </row>
    <row r="1580" spans="1:7" x14ac:dyDescent="0.3">
      <c r="A1580" s="80">
        <v>45661</v>
      </c>
      <c r="B1580">
        <v>1010100</v>
      </c>
      <c r="C1580">
        <v>0</v>
      </c>
      <c r="E1580" s="80">
        <v>45751</v>
      </c>
      <c r="F1580">
        <v>2011310</v>
      </c>
      <c r="G1580">
        <v>4085.12</v>
      </c>
    </row>
    <row r="1581" spans="1:7" x14ac:dyDescent="0.3">
      <c r="A1581" s="80">
        <v>45661</v>
      </c>
      <c r="B1581">
        <v>1010100</v>
      </c>
      <c r="C1581">
        <v>1990</v>
      </c>
      <c r="E1581" s="80">
        <v>45751</v>
      </c>
      <c r="F1581">
        <v>2011310</v>
      </c>
      <c r="G1581">
        <v>4085.12</v>
      </c>
    </row>
    <row r="1582" spans="1:7" x14ac:dyDescent="0.3">
      <c r="A1582" s="80">
        <v>45661</v>
      </c>
      <c r="B1582">
        <v>1010100</v>
      </c>
      <c r="C1582">
        <v>1990</v>
      </c>
      <c r="E1582" s="80">
        <v>45751</v>
      </c>
      <c r="F1582">
        <v>2011310</v>
      </c>
      <c r="G1582">
        <v>3973.12</v>
      </c>
    </row>
    <row r="1583" spans="1:7" x14ac:dyDescent="0.3">
      <c r="A1583" s="80">
        <v>45660</v>
      </c>
      <c r="B1583">
        <v>1010100</v>
      </c>
      <c r="C1583">
        <v>4190</v>
      </c>
      <c r="E1583" s="80">
        <v>45751</v>
      </c>
      <c r="F1583">
        <v>2011310</v>
      </c>
      <c r="G1583">
        <v>3973.12</v>
      </c>
    </row>
    <row r="1584" spans="1:7" x14ac:dyDescent="0.3">
      <c r="A1584" s="80">
        <v>45660</v>
      </c>
      <c r="B1584">
        <v>1010100</v>
      </c>
      <c r="C1584">
        <v>3590</v>
      </c>
      <c r="E1584" s="80">
        <v>45751</v>
      </c>
      <c r="F1584">
        <v>2011310</v>
      </c>
      <c r="G1584">
        <v>4228.12</v>
      </c>
    </row>
    <row r="1585" spans="1:7" x14ac:dyDescent="0.3">
      <c r="A1585" s="80">
        <v>45660</v>
      </c>
      <c r="B1585">
        <v>1010100</v>
      </c>
      <c r="C1585">
        <v>3990</v>
      </c>
      <c r="E1585" s="80">
        <v>45751</v>
      </c>
      <c r="F1585">
        <v>2011310</v>
      </c>
      <c r="G1585">
        <v>4228.12</v>
      </c>
    </row>
    <row r="1586" spans="1:7" x14ac:dyDescent="0.3">
      <c r="A1586" s="80">
        <v>45660</v>
      </c>
      <c r="B1586">
        <v>1010100</v>
      </c>
      <c r="C1586">
        <v>1990</v>
      </c>
      <c r="E1586" s="80">
        <v>45751</v>
      </c>
      <c r="F1586">
        <v>2011310</v>
      </c>
      <c r="G1586">
        <v>3973.12</v>
      </c>
    </row>
    <row r="1587" spans="1:7" x14ac:dyDescent="0.3">
      <c r="A1587" s="80">
        <v>45660</v>
      </c>
      <c r="B1587">
        <v>1010100</v>
      </c>
      <c r="C1587">
        <v>3590</v>
      </c>
      <c r="E1587" s="80">
        <v>45750</v>
      </c>
      <c r="F1587">
        <v>2011310</v>
      </c>
      <c r="G1587">
        <v>3973.12</v>
      </c>
    </row>
    <row r="1588" spans="1:7" x14ac:dyDescent="0.3">
      <c r="A1588" s="80">
        <v>45660</v>
      </c>
      <c r="B1588">
        <v>1010100</v>
      </c>
      <c r="C1588">
        <v>1990</v>
      </c>
      <c r="E1588" s="80">
        <v>45750</v>
      </c>
      <c r="F1588">
        <v>2011310</v>
      </c>
      <c r="G1588">
        <v>7821.93</v>
      </c>
    </row>
    <row r="1589" spans="1:7" x14ac:dyDescent="0.3">
      <c r="A1589" s="80">
        <v>45660</v>
      </c>
      <c r="B1589">
        <v>1010100</v>
      </c>
      <c r="C1589">
        <v>1990</v>
      </c>
      <c r="E1589" s="80">
        <v>45750</v>
      </c>
      <c r="F1589">
        <v>2011310</v>
      </c>
      <c r="G1589">
        <v>4788.32</v>
      </c>
    </row>
    <row r="1590" spans="1:7" x14ac:dyDescent="0.3">
      <c r="A1590" s="80">
        <v>45660</v>
      </c>
      <c r="B1590">
        <v>1010100</v>
      </c>
      <c r="C1590">
        <v>3590</v>
      </c>
      <c r="E1590" s="80">
        <v>45750</v>
      </c>
      <c r="F1590">
        <v>2011310</v>
      </c>
      <c r="G1590">
        <v>4788.32</v>
      </c>
    </row>
    <row r="1591" spans="1:7" x14ac:dyDescent="0.3">
      <c r="A1591" s="80">
        <v>45660</v>
      </c>
      <c r="B1591">
        <v>1010100</v>
      </c>
      <c r="C1591">
        <v>1990</v>
      </c>
      <c r="E1591" s="80">
        <v>45750</v>
      </c>
      <c r="F1591">
        <v>2011310</v>
      </c>
      <c r="G1591">
        <v>4404.12</v>
      </c>
    </row>
    <row r="1592" spans="1:7" x14ac:dyDescent="0.3">
      <c r="A1592" s="80">
        <v>45660</v>
      </c>
      <c r="B1592">
        <v>1010100</v>
      </c>
      <c r="C1592">
        <v>3990</v>
      </c>
      <c r="E1592" s="80">
        <v>45750</v>
      </c>
      <c r="F1592">
        <v>2011310</v>
      </c>
      <c r="G1592">
        <v>3973.12</v>
      </c>
    </row>
    <row r="1593" spans="1:7" x14ac:dyDescent="0.3">
      <c r="A1593" s="80">
        <v>45660</v>
      </c>
      <c r="B1593">
        <v>1010100</v>
      </c>
      <c r="C1593">
        <v>1990</v>
      </c>
      <c r="E1593" s="80">
        <v>45749</v>
      </c>
      <c r="F1593">
        <v>2011310</v>
      </c>
      <c r="G1593">
        <v>3687.12</v>
      </c>
    </row>
    <row r="1594" spans="1:7" x14ac:dyDescent="0.3">
      <c r="A1594" s="80">
        <v>45660</v>
      </c>
      <c r="B1594">
        <v>1010100</v>
      </c>
      <c r="C1594">
        <v>0</v>
      </c>
      <c r="E1594" s="80">
        <v>45749</v>
      </c>
      <c r="F1594">
        <v>2011310</v>
      </c>
      <c r="G1594">
        <v>3973.12</v>
      </c>
    </row>
    <row r="1595" spans="1:7" x14ac:dyDescent="0.3">
      <c r="A1595" s="80">
        <v>45660</v>
      </c>
      <c r="B1595">
        <v>1010100</v>
      </c>
      <c r="C1595">
        <v>4190</v>
      </c>
      <c r="E1595" s="80">
        <v>45749</v>
      </c>
      <c r="F1595">
        <v>2011310</v>
      </c>
      <c r="G1595">
        <v>3973.12</v>
      </c>
    </row>
    <row r="1596" spans="1:7" x14ac:dyDescent="0.3">
      <c r="A1596" s="80">
        <v>45660</v>
      </c>
      <c r="B1596">
        <v>1010100</v>
      </c>
      <c r="C1596">
        <v>5990</v>
      </c>
      <c r="E1596" s="80">
        <v>45749</v>
      </c>
      <c r="F1596">
        <v>2011310</v>
      </c>
      <c r="G1596">
        <v>4643.12</v>
      </c>
    </row>
    <row r="1597" spans="1:7" x14ac:dyDescent="0.3">
      <c r="A1597" s="80">
        <v>45660</v>
      </c>
      <c r="B1597">
        <v>1010100</v>
      </c>
      <c r="C1597">
        <v>1990</v>
      </c>
      <c r="E1597" s="80">
        <v>45749</v>
      </c>
      <c r="F1597">
        <v>2011310</v>
      </c>
      <c r="G1597">
        <v>3973.12</v>
      </c>
    </row>
    <row r="1598" spans="1:7" x14ac:dyDescent="0.3">
      <c r="A1598" s="80">
        <v>45660</v>
      </c>
      <c r="B1598">
        <v>1010100</v>
      </c>
      <c r="C1598">
        <v>0</v>
      </c>
      <c r="E1598" s="80">
        <v>45749</v>
      </c>
      <c r="F1598">
        <v>2011310</v>
      </c>
      <c r="G1598">
        <v>3973.12</v>
      </c>
    </row>
    <row r="1599" spans="1:7" x14ac:dyDescent="0.3">
      <c r="A1599" s="80">
        <v>45660</v>
      </c>
      <c r="B1599">
        <v>1010100</v>
      </c>
      <c r="C1599">
        <v>0</v>
      </c>
      <c r="E1599" s="80">
        <v>45749</v>
      </c>
      <c r="F1599">
        <v>2011310</v>
      </c>
      <c r="G1599">
        <v>7821.93</v>
      </c>
    </row>
    <row r="1600" spans="1:7" x14ac:dyDescent="0.3">
      <c r="A1600" s="80">
        <v>45659</v>
      </c>
      <c r="B1600">
        <v>1010100</v>
      </c>
      <c r="C1600">
        <v>1990</v>
      </c>
      <c r="E1600" s="80">
        <v>45748</v>
      </c>
      <c r="F1600">
        <v>2011310</v>
      </c>
      <c r="G1600">
        <v>4069.99</v>
      </c>
    </row>
    <row r="1601" spans="1:7" x14ac:dyDescent="0.3">
      <c r="A1601" s="80">
        <v>45659</v>
      </c>
      <c r="B1601">
        <v>1010100</v>
      </c>
      <c r="C1601">
        <v>3590</v>
      </c>
      <c r="E1601" s="80">
        <v>45748</v>
      </c>
      <c r="F1601">
        <v>2011310</v>
      </c>
      <c r="G1601">
        <v>4213.8500000000004</v>
      </c>
    </row>
    <row r="1602" spans="1:7" x14ac:dyDescent="0.3">
      <c r="A1602" s="80">
        <v>45659</v>
      </c>
      <c r="B1602">
        <v>1010100</v>
      </c>
      <c r="C1602">
        <v>4790</v>
      </c>
      <c r="E1602" s="80">
        <v>45748</v>
      </c>
      <c r="F1602">
        <v>2011310</v>
      </c>
      <c r="G1602">
        <v>3240.06</v>
      </c>
    </row>
    <row r="1603" spans="1:7" x14ac:dyDescent="0.3">
      <c r="A1603" s="80">
        <v>45659</v>
      </c>
      <c r="B1603">
        <v>1010100</v>
      </c>
      <c r="C1603">
        <v>3790</v>
      </c>
      <c r="E1603" s="80">
        <v>45747</v>
      </c>
      <c r="F1603">
        <v>2011310</v>
      </c>
      <c r="G1603">
        <v>4788.32</v>
      </c>
    </row>
    <row r="1604" spans="1:7" x14ac:dyDescent="0.3">
      <c r="A1604" s="80">
        <v>45659</v>
      </c>
      <c r="B1604">
        <v>1010100</v>
      </c>
      <c r="C1604">
        <v>1990</v>
      </c>
      <c r="E1604" s="80">
        <v>45747</v>
      </c>
      <c r="F1604">
        <v>2011310</v>
      </c>
      <c r="G1604">
        <v>3973.12</v>
      </c>
    </row>
    <row r="1605" spans="1:7" x14ac:dyDescent="0.3">
      <c r="A1605" s="80">
        <v>45659</v>
      </c>
      <c r="B1605">
        <v>1010100</v>
      </c>
      <c r="C1605">
        <v>3590</v>
      </c>
      <c r="E1605" s="80">
        <v>45747</v>
      </c>
      <c r="F1605">
        <v>2011310</v>
      </c>
      <c r="G1605">
        <v>4788.32</v>
      </c>
    </row>
    <row r="1606" spans="1:7" x14ac:dyDescent="0.3">
      <c r="A1606" s="80">
        <v>45659</v>
      </c>
      <c r="B1606">
        <v>1010100</v>
      </c>
      <c r="C1606">
        <v>4990</v>
      </c>
      <c r="E1606" s="80">
        <v>45747</v>
      </c>
      <c r="F1606">
        <v>2011310</v>
      </c>
      <c r="G1606">
        <v>4788.32</v>
      </c>
    </row>
    <row r="1607" spans="1:7" x14ac:dyDescent="0.3">
      <c r="A1607" s="80">
        <v>45659</v>
      </c>
      <c r="B1607">
        <v>1010100</v>
      </c>
      <c r="C1607">
        <v>0</v>
      </c>
      <c r="E1607" s="80">
        <v>45747</v>
      </c>
      <c r="F1607">
        <v>2011310</v>
      </c>
      <c r="G1607">
        <v>3973.12</v>
      </c>
    </row>
    <row r="1608" spans="1:7" x14ac:dyDescent="0.3">
      <c r="A1608" s="80">
        <v>45659</v>
      </c>
      <c r="B1608">
        <v>1010100</v>
      </c>
      <c r="C1608">
        <v>0</v>
      </c>
      <c r="E1608" s="80">
        <v>45747</v>
      </c>
      <c r="F1608">
        <v>2011310</v>
      </c>
      <c r="G1608">
        <v>4788.32</v>
      </c>
    </row>
    <row r="1609" spans="1:7" x14ac:dyDescent="0.3">
      <c r="A1609" s="80">
        <v>45659</v>
      </c>
      <c r="B1609">
        <v>1010100</v>
      </c>
      <c r="C1609">
        <v>0</v>
      </c>
      <c r="E1609" s="80">
        <v>45747</v>
      </c>
      <c r="F1609">
        <v>2011310</v>
      </c>
      <c r="G1609">
        <v>4499.8500000000004</v>
      </c>
    </row>
    <row r="1610" spans="1:7" x14ac:dyDescent="0.3">
      <c r="A1610" s="80">
        <v>45659</v>
      </c>
      <c r="B1610">
        <v>1010100</v>
      </c>
      <c r="C1610">
        <v>3790</v>
      </c>
      <c r="E1610" s="80">
        <v>45747</v>
      </c>
      <c r="F1610">
        <v>2011310</v>
      </c>
      <c r="G1610">
        <v>4499.8500000000004</v>
      </c>
    </row>
    <row r="1611" spans="1:7" x14ac:dyDescent="0.3">
      <c r="A1611" s="80">
        <v>45659</v>
      </c>
      <c r="B1611">
        <v>1010100</v>
      </c>
      <c r="C1611">
        <v>0</v>
      </c>
      <c r="E1611" s="80">
        <v>45746</v>
      </c>
      <c r="F1611">
        <v>2011310</v>
      </c>
      <c r="G1611">
        <v>7821.93</v>
      </c>
    </row>
    <row r="1612" spans="1:7" x14ac:dyDescent="0.3">
      <c r="A1612" s="80">
        <v>45659</v>
      </c>
      <c r="B1612">
        <v>1010100</v>
      </c>
      <c r="C1612">
        <v>1990</v>
      </c>
      <c r="E1612" s="80">
        <v>45746</v>
      </c>
      <c r="F1612">
        <v>2011310</v>
      </c>
      <c r="G1612">
        <v>4499.8500000000004</v>
      </c>
    </row>
    <row r="1613" spans="1:7" x14ac:dyDescent="0.3">
      <c r="A1613" s="80">
        <v>45659</v>
      </c>
      <c r="B1613">
        <v>1010100</v>
      </c>
      <c r="C1613">
        <v>3790</v>
      </c>
      <c r="E1613" s="80">
        <v>45746</v>
      </c>
      <c r="F1613">
        <v>2011310</v>
      </c>
      <c r="G1613">
        <v>4658.8500000000004</v>
      </c>
    </row>
    <row r="1614" spans="1:7" x14ac:dyDescent="0.3">
      <c r="A1614" s="80">
        <v>45659</v>
      </c>
      <c r="B1614">
        <v>1010100</v>
      </c>
      <c r="C1614">
        <v>0</v>
      </c>
      <c r="E1614" s="80">
        <v>45746</v>
      </c>
      <c r="F1614">
        <v>2011310</v>
      </c>
      <c r="G1614">
        <v>4499.8500000000004</v>
      </c>
    </row>
    <row r="1615" spans="1:7" x14ac:dyDescent="0.3">
      <c r="A1615" s="80">
        <v>45659</v>
      </c>
      <c r="B1615">
        <v>1010100</v>
      </c>
      <c r="C1615">
        <v>0</v>
      </c>
      <c r="E1615" s="80">
        <v>45746</v>
      </c>
      <c r="F1615">
        <v>2011310</v>
      </c>
      <c r="G1615">
        <v>7821.93</v>
      </c>
    </row>
    <row r="1616" spans="1:7" x14ac:dyDescent="0.3">
      <c r="A1616" s="80">
        <v>45659</v>
      </c>
      <c r="B1616">
        <v>1010100</v>
      </c>
      <c r="C1616">
        <v>0</v>
      </c>
      <c r="E1616" s="80">
        <v>45745</v>
      </c>
      <c r="F1616">
        <v>2011310</v>
      </c>
      <c r="G1616">
        <v>4788.32</v>
      </c>
    </row>
    <row r="1617" spans="1:7" x14ac:dyDescent="0.3">
      <c r="A1617" s="80">
        <v>45659</v>
      </c>
      <c r="B1617">
        <v>1010100</v>
      </c>
      <c r="C1617">
        <v>1990</v>
      </c>
      <c r="E1617" s="80">
        <v>45745</v>
      </c>
      <c r="F1617">
        <v>2011310</v>
      </c>
      <c r="G1617">
        <v>4788.32</v>
      </c>
    </row>
    <row r="1618" spans="1:7" x14ac:dyDescent="0.3">
      <c r="A1618" s="80">
        <v>45659</v>
      </c>
      <c r="B1618">
        <v>1010100</v>
      </c>
      <c r="C1618">
        <v>0</v>
      </c>
      <c r="E1618" s="80">
        <v>45744</v>
      </c>
      <c r="F1618">
        <v>2011310</v>
      </c>
      <c r="G1618">
        <v>4788.32</v>
      </c>
    </row>
    <row r="1619" spans="1:7" x14ac:dyDescent="0.3">
      <c r="A1619" s="80">
        <v>45659</v>
      </c>
      <c r="B1619">
        <v>1010100</v>
      </c>
      <c r="C1619">
        <v>0</v>
      </c>
      <c r="E1619" s="80">
        <v>45744</v>
      </c>
      <c r="F1619">
        <v>2011310</v>
      </c>
      <c r="G1619">
        <v>4788.32</v>
      </c>
    </row>
    <row r="1620" spans="1:7" x14ac:dyDescent="0.3">
      <c r="A1620" s="80">
        <v>45659</v>
      </c>
      <c r="B1620">
        <v>1010100</v>
      </c>
      <c r="C1620">
        <v>1990</v>
      </c>
      <c r="E1620" s="80">
        <v>45744</v>
      </c>
      <c r="F1620">
        <v>2011310</v>
      </c>
      <c r="G1620">
        <v>4788.32</v>
      </c>
    </row>
    <row r="1621" spans="1:7" x14ac:dyDescent="0.3">
      <c r="A1621" s="80">
        <v>45659</v>
      </c>
      <c r="B1621">
        <v>1010100</v>
      </c>
      <c r="C1621">
        <v>0</v>
      </c>
      <c r="E1621" s="80">
        <v>45743</v>
      </c>
      <c r="F1621">
        <v>2011310</v>
      </c>
      <c r="G1621">
        <v>4788.32</v>
      </c>
    </row>
    <row r="1622" spans="1:7" x14ac:dyDescent="0.3">
      <c r="A1622" s="80">
        <v>45659</v>
      </c>
      <c r="B1622">
        <v>1010100</v>
      </c>
      <c r="C1622">
        <v>0</v>
      </c>
      <c r="E1622" s="80">
        <v>45743</v>
      </c>
      <c r="F1622">
        <v>2011310</v>
      </c>
      <c r="G1622">
        <v>4788.32</v>
      </c>
    </row>
    <row r="1623" spans="1:7" x14ac:dyDescent="0.3">
      <c r="A1623" s="80">
        <v>45658</v>
      </c>
      <c r="B1623">
        <v>1010100</v>
      </c>
      <c r="C1623">
        <v>0</v>
      </c>
      <c r="E1623" s="80">
        <v>45743</v>
      </c>
      <c r="F1623">
        <v>2011310</v>
      </c>
      <c r="G1623">
        <v>1595.04</v>
      </c>
    </row>
    <row r="1624" spans="1:7" x14ac:dyDescent="0.3">
      <c r="A1624" s="80">
        <v>45658</v>
      </c>
      <c r="B1624">
        <v>1010100</v>
      </c>
      <c r="C1624">
        <v>0</v>
      </c>
      <c r="E1624" s="80">
        <v>45743</v>
      </c>
      <c r="F1624">
        <v>2011310</v>
      </c>
      <c r="G1624">
        <v>3990</v>
      </c>
    </row>
    <row r="1625" spans="1:7" x14ac:dyDescent="0.3">
      <c r="A1625" s="80">
        <v>45658</v>
      </c>
      <c r="B1625">
        <v>1010100</v>
      </c>
      <c r="C1625">
        <v>4190</v>
      </c>
      <c r="E1625" s="80">
        <v>45743</v>
      </c>
      <c r="F1625">
        <v>2011310</v>
      </c>
      <c r="G1625">
        <v>4788.32</v>
      </c>
    </row>
    <row r="1626" spans="1:7" x14ac:dyDescent="0.3">
      <c r="A1626" s="80">
        <v>45658</v>
      </c>
      <c r="B1626">
        <v>1010100</v>
      </c>
      <c r="C1626">
        <v>1990</v>
      </c>
      <c r="E1626" s="80">
        <v>45743</v>
      </c>
      <c r="F1626">
        <v>2011310</v>
      </c>
      <c r="G1626">
        <v>4788.32</v>
      </c>
    </row>
    <row r="1627" spans="1:7" x14ac:dyDescent="0.3">
      <c r="A1627" s="80">
        <v>45658</v>
      </c>
      <c r="B1627">
        <v>1010100</v>
      </c>
      <c r="C1627">
        <v>1990</v>
      </c>
      <c r="E1627" s="80">
        <v>45743</v>
      </c>
      <c r="F1627">
        <v>2011310</v>
      </c>
      <c r="G1627">
        <v>4788.32</v>
      </c>
    </row>
    <row r="1628" spans="1:7" x14ac:dyDescent="0.3">
      <c r="A1628" s="80">
        <v>45658</v>
      </c>
      <c r="B1628">
        <v>1010100</v>
      </c>
      <c r="C1628">
        <v>0</v>
      </c>
      <c r="E1628" s="80">
        <v>45740</v>
      </c>
      <c r="F1628">
        <v>2011310</v>
      </c>
      <c r="G1628">
        <v>9576.64</v>
      </c>
    </row>
    <row r="1629" spans="1:7" x14ac:dyDescent="0.3">
      <c r="A1629" s="80">
        <v>45658</v>
      </c>
      <c r="B1629">
        <v>1010100</v>
      </c>
      <c r="C1629">
        <v>0</v>
      </c>
      <c r="E1629" s="80">
        <v>45740</v>
      </c>
      <c r="F1629">
        <v>2011310</v>
      </c>
      <c r="G1629">
        <v>4788.32</v>
      </c>
    </row>
    <row r="1630" spans="1:7" x14ac:dyDescent="0.3">
      <c r="A1630" s="80">
        <v>45658</v>
      </c>
      <c r="B1630">
        <v>1010100</v>
      </c>
      <c r="C1630">
        <v>1990</v>
      </c>
      <c r="E1630" s="80">
        <v>45739</v>
      </c>
      <c r="F1630">
        <v>2011310</v>
      </c>
      <c r="G1630">
        <v>4788.32</v>
      </c>
    </row>
    <row r="1631" spans="1:7" x14ac:dyDescent="0.3">
      <c r="A1631" s="80">
        <v>45658</v>
      </c>
      <c r="B1631">
        <v>1010100</v>
      </c>
      <c r="C1631">
        <v>1990</v>
      </c>
      <c r="E1631" s="80">
        <v>45739</v>
      </c>
      <c r="F1631">
        <v>2011310</v>
      </c>
      <c r="G1631">
        <v>1595.04</v>
      </c>
    </row>
    <row r="1632" spans="1:7" x14ac:dyDescent="0.3">
      <c r="A1632" s="80">
        <v>45658</v>
      </c>
      <c r="B1632">
        <v>1010100</v>
      </c>
      <c r="C1632">
        <v>1990</v>
      </c>
      <c r="E1632" s="80">
        <v>45739</v>
      </c>
      <c r="F1632">
        <v>2011310</v>
      </c>
      <c r="G1632">
        <v>4788.32</v>
      </c>
    </row>
    <row r="1633" spans="1:7" x14ac:dyDescent="0.3">
      <c r="A1633" s="80">
        <v>45658</v>
      </c>
      <c r="B1633">
        <v>1010100</v>
      </c>
      <c r="C1633">
        <v>4190</v>
      </c>
      <c r="E1633" s="80">
        <v>45738</v>
      </c>
      <c r="F1633">
        <v>2011310</v>
      </c>
      <c r="G1633">
        <v>4788.32</v>
      </c>
    </row>
    <row r="1634" spans="1:7" x14ac:dyDescent="0.3">
      <c r="A1634" s="80">
        <v>45658</v>
      </c>
      <c r="B1634">
        <v>1010100</v>
      </c>
      <c r="C1634">
        <v>1990</v>
      </c>
      <c r="E1634" s="80">
        <v>45738</v>
      </c>
      <c r="F1634">
        <v>2011310</v>
      </c>
      <c r="G1634">
        <v>5361.32</v>
      </c>
    </row>
    <row r="1635" spans="1:7" x14ac:dyDescent="0.3">
      <c r="A1635" s="80">
        <v>45658</v>
      </c>
      <c r="B1635">
        <v>1010100</v>
      </c>
      <c r="C1635">
        <v>1990</v>
      </c>
      <c r="E1635" s="80">
        <v>45737</v>
      </c>
      <c r="F1635">
        <v>2011310</v>
      </c>
      <c r="G1635">
        <v>4788.32</v>
      </c>
    </row>
    <row r="1636" spans="1:7" x14ac:dyDescent="0.3">
      <c r="A1636" s="80">
        <v>45658</v>
      </c>
      <c r="B1636">
        <v>1010100</v>
      </c>
      <c r="C1636">
        <v>1990</v>
      </c>
      <c r="E1636" s="80">
        <v>45737</v>
      </c>
      <c r="F1636">
        <v>2011310</v>
      </c>
      <c r="G1636">
        <v>7821.93</v>
      </c>
    </row>
    <row r="1637" spans="1:7" x14ac:dyDescent="0.3">
      <c r="A1637" s="80">
        <v>45658</v>
      </c>
      <c r="B1637">
        <v>1010100</v>
      </c>
      <c r="C1637">
        <v>4690</v>
      </c>
      <c r="E1637" s="80">
        <v>45736</v>
      </c>
      <c r="F1637">
        <v>2011310</v>
      </c>
      <c r="G1637">
        <v>5106.32</v>
      </c>
    </row>
    <row r="1638" spans="1:7" x14ac:dyDescent="0.3">
      <c r="A1638" s="80">
        <v>45752</v>
      </c>
      <c r="B1638">
        <v>3010212</v>
      </c>
      <c r="C1638">
        <v>1865.54</v>
      </c>
      <c r="E1638" s="80">
        <v>45736</v>
      </c>
      <c r="F1638">
        <v>2011310</v>
      </c>
      <c r="G1638">
        <v>5138.32</v>
      </c>
    </row>
    <row r="1639" spans="1:7" x14ac:dyDescent="0.3">
      <c r="A1639" s="80">
        <v>45752</v>
      </c>
      <c r="B1639">
        <v>3010212</v>
      </c>
      <c r="C1639">
        <v>772.76</v>
      </c>
      <c r="E1639" s="80">
        <v>45736</v>
      </c>
      <c r="F1639">
        <v>2011310</v>
      </c>
      <c r="G1639">
        <v>4788.32</v>
      </c>
    </row>
    <row r="1640" spans="1:7" x14ac:dyDescent="0.3">
      <c r="A1640" s="80">
        <v>45752</v>
      </c>
      <c r="B1640">
        <v>3010212</v>
      </c>
      <c r="C1640">
        <v>1005.01</v>
      </c>
      <c r="E1640" s="80">
        <v>45736</v>
      </c>
      <c r="F1640">
        <v>2011310</v>
      </c>
      <c r="G1640">
        <v>4788.32</v>
      </c>
    </row>
    <row r="1641" spans="1:7" x14ac:dyDescent="0.3">
      <c r="A1641" s="80">
        <v>45752</v>
      </c>
      <c r="B1641">
        <v>3010212</v>
      </c>
      <c r="C1641">
        <v>879.38</v>
      </c>
      <c r="E1641" s="80">
        <v>45736</v>
      </c>
      <c r="F1641">
        <v>2011310</v>
      </c>
      <c r="G1641">
        <v>4788.32</v>
      </c>
    </row>
    <row r="1642" spans="1:7" x14ac:dyDescent="0.3">
      <c r="A1642" s="80">
        <v>45752</v>
      </c>
      <c r="B1642">
        <v>3010212</v>
      </c>
      <c r="C1642">
        <v>1865.54</v>
      </c>
      <c r="E1642" s="80">
        <v>45735</v>
      </c>
      <c r="F1642">
        <v>2011310</v>
      </c>
      <c r="G1642">
        <v>4788.32</v>
      </c>
    </row>
    <row r="1643" spans="1:7" x14ac:dyDescent="0.3">
      <c r="A1643" s="80">
        <v>45752</v>
      </c>
      <c r="B1643">
        <v>3010212</v>
      </c>
      <c r="C1643">
        <v>879.38</v>
      </c>
      <c r="E1643" s="80">
        <v>45735</v>
      </c>
      <c r="F1643">
        <v>2011310</v>
      </c>
      <c r="G1643">
        <v>4788.32</v>
      </c>
    </row>
    <row r="1644" spans="1:7" x14ac:dyDescent="0.3">
      <c r="A1644" s="80">
        <v>45751</v>
      </c>
      <c r="B1644">
        <v>3010212</v>
      </c>
      <c r="C1644">
        <v>304.33999999999997</v>
      </c>
      <c r="E1644" s="80">
        <v>45735</v>
      </c>
      <c r="F1644">
        <v>2011310</v>
      </c>
      <c r="G1644">
        <v>4788.32</v>
      </c>
    </row>
    <row r="1645" spans="1:7" x14ac:dyDescent="0.3">
      <c r="A1645" s="80">
        <v>45751</v>
      </c>
      <c r="B1645">
        <v>3010212</v>
      </c>
      <c r="C1645">
        <v>304.33999999999997</v>
      </c>
      <c r="E1645" s="80">
        <v>45734</v>
      </c>
      <c r="F1645">
        <v>2011310</v>
      </c>
      <c r="G1645">
        <v>3869.09</v>
      </c>
    </row>
    <row r="1646" spans="1:7" x14ac:dyDescent="0.3">
      <c r="A1646" s="80">
        <v>45751</v>
      </c>
      <c r="B1646">
        <v>3010212</v>
      </c>
      <c r="C1646">
        <v>879.38</v>
      </c>
      <c r="E1646" s="80">
        <v>45734</v>
      </c>
      <c r="F1646">
        <v>2011310</v>
      </c>
      <c r="G1646">
        <v>4627.49</v>
      </c>
    </row>
    <row r="1647" spans="1:7" x14ac:dyDescent="0.3">
      <c r="A1647" s="80">
        <v>45751</v>
      </c>
      <c r="B1647">
        <v>3010212</v>
      </c>
      <c r="C1647">
        <v>879.38</v>
      </c>
      <c r="E1647" s="80">
        <v>45734</v>
      </c>
      <c r="F1647">
        <v>2011310</v>
      </c>
      <c r="G1647">
        <v>4788.32</v>
      </c>
    </row>
    <row r="1648" spans="1:7" x14ac:dyDescent="0.3">
      <c r="A1648" s="80">
        <v>45751</v>
      </c>
      <c r="B1648">
        <v>3010212</v>
      </c>
      <c r="C1648">
        <v>879.38</v>
      </c>
      <c r="E1648" s="80">
        <v>45734</v>
      </c>
      <c r="F1648">
        <v>2011310</v>
      </c>
      <c r="G1648">
        <v>4788.32</v>
      </c>
    </row>
    <row r="1649" spans="1:7" x14ac:dyDescent="0.3">
      <c r="A1649" s="80">
        <v>45751</v>
      </c>
      <c r="B1649">
        <v>3010212</v>
      </c>
      <c r="C1649">
        <v>879.38</v>
      </c>
      <c r="E1649" s="80">
        <v>45734</v>
      </c>
      <c r="F1649">
        <v>2011310</v>
      </c>
      <c r="G1649">
        <v>4788.32</v>
      </c>
    </row>
    <row r="1650" spans="1:7" x14ac:dyDescent="0.3">
      <c r="A1650" s="80">
        <v>45751</v>
      </c>
      <c r="B1650">
        <v>3010212</v>
      </c>
      <c r="C1650">
        <v>879.38</v>
      </c>
      <c r="E1650" s="80">
        <v>45733</v>
      </c>
      <c r="F1650">
        <v>2011310</v>
      </c>
      <c r="G1650">
        <v>4788.32</v>
      </c>
    </row>
    <row r="1651" spans="1:7" x14ac:dyDescent="0.3">
      <c r="A1651" s="80">
        <v>45751</v>
      </c>
      <c r="B1651">
        <v>3010212</v>
      </c>
      <c r="C1651">
        <v>879.38</v>
      </c>
      <c r="E1651" s="80">
        <v>45733</v>
      </c>
      <c r="F1651">
        <v>2011310</v>
      </c>
      <c r="G1651">
        <v>5361.32</v>
      </c>
    </row>
    <row r="1652" spans="1:7" x14ac:dyDescent="0.3">
      <c r="A1652" s="80">
        <v>45751</v>
      </c>
      <c r="B1652">
        <v>3010212</v>
      </c>
      <c r="C1652">
        <v>879.38</v>
      </c>
      <c r="E1652" s="80">
        <v>45733</v>
      </c>
      <c r="F1652">
        <v>2011310</v>
      </c>
      <c r="G1652">
        <v>5186.32</v>
      </c>
    </row>
    <row r="1653" spans="1:7" x14ac:dyDescent="0.3">
      <c r="A1653" s="80">
        <v>45750</v>
      </c>
      <c r="B1653">
        <v>3010212</v>
      </c>
      <c r="C1653">
        <v>879.38</v>
      </c>
      <c r="E1653" s="80">
        <v>45733</v>
      </c>
      <c r="F1653">
        <v>2011310</v>
      </c>
      <c r="G1653">
        <v>5186.32</v>
      </c>
    </row>
    <row r="1654" spans="1:7" x14ac:dyDescent="0.3">
      <c r="A1654" s="80">
        <v>45750</v>
      </c>
      <c r="B1654">
        <v>3010212</v>
      </c>
      <c r="C1654">
        <v>1865.54</v>
      </c>
      <c r="E1654" s="80">
        <v>45733</v>
      </c>
      <c r="F1654">
        <v>2011310</v>
      </c>
      <c r="G1654">
        <v>4627.49</v>
      </c>
    </row>
    <row r="1655" spans="1:7" x14ac:dyDescent="0.3">
      <c r="A1655" s="80">
        <v>45750</v>
      </c>
      <c r="B1655">
        <v>3010212</v>
      </c>
      <c r="C1655">
        <v>1142.02</v>
      </c>
      <c r="E1655" s="80">
        <v>45733</v>
      </c>
      <c r="F1655">
        <v>2011310</v>
      </c>
      <c r="G1655">
        <v>4788.32</v>
      </c>
    </row>
    <row r="1656" spans="1:7" x14ac:dyDescent="0.3">
      <c r="A1656" s="80">
        <v>45750</v>
      </c>
      <c r="B1656">
        <v>3010212</v>
      </c>
      <c r="C1656">
        <v>1142.02</v>
      </c>
      <c r="E1656" s="80">
        <v>45733</v>
      </c>
      <c r="F1656">
        <v>2011310</v>
      </c>
      <c r="G1656">
        <v>4788.32</v>
      </c>
    </row>
    <row r="1657" spans="1:7" x14ac:dyDescent="0.3">
      <c r="A1657" s="80">
        <v>45750</v>
      </c>
      <c r="B1657">
        <v>3010212</v>
      </c>
      <c r="C1657">
        <v>879.38</v>
      </c>
      <c r="E1657" s="80">
        <v>45733</v>
      </c>
      <c r="F1657">
        <v>2011310</v>
      </c>
      <c r="G1657">
        <v>4788.32</v>
      </c>
    </row>
    <row r="1658" spans="1:7" x14ac:dyDescent="0.3">
      <c r="A1658" s="80">
        <v>45750</v>
      </c>
      <c r="B1658">
        <v>3010212</v>
      </c>
      <c r="C1658">
        <v>879.38</v>
      </c>
      <c r="E1658" s="80">
        <v>45732</v>
      </c>
      <c r="F1658">
        <v>2011310</v>
      </c>
      <c r="G1658">
        <v>5106.32</v>
      </c>
    </row>
    <row r="1659" spans="1:7" x14ac:dyDescent="0.3">
      <c r="A1659" s="80">
        <v>45749</v>
      </c>
      <c r="B1659">
        <v>3010212</v>
      </c>
      <c r="C1659">
        <v>879.38</v>
      </c>
      <c r="E1659" s="80">
        <v>45732</v>
      </c>
      <c r="F1659">
        <v>2011310</v>
      </c>
      <c r="G1659">
        <v>5106.32</v>
      </c>
    </row>
    <row r="1660" spans="1:7" x14ac:dyDescent="0.3">
      <c r="A1660" s="80">
        <v>45749</v>
      </c>
      <c r="B1660">
        <v>3010212</v>
      </c>
      <c r="C1660">
        <v>879.38</v>
      </c>
      <c r="E1660" s="80">
        <v>45731</v>
      </c>
      <c r="F1660">
        <v>2011310</v>
      </c>
      <c r="G1660">
        <v>4309.49</v>
      </c>
    </row>
    <row r="1661" spans="1:7" x14ac:dyDescent="0.3">
      <c r="A1661" s="80">
        <v>45749</v>
      </c>
      <c r="B1661">
        <v>3010212</v>
      </c>
      <c r="C1661">
        <v>879.38</v>
      </c>
      <c r="E1661" s="80">
        <v>45731</v>
      </c>
      <c r="F1661">
        <v>2011310</v>
      </c>
      <c r="G1661">
        <v>1435.54</v>
      </c>
    </row>
    <row r="1662" spans="1:7" x14ac:dyDescent="0.3">
      <c r="A1662" s="80">
        <v>45749</v>
      </c>
      <c r="B1662">
        <v>3010212</v>
      </c>
      <c r="C1662">
        <v>879.38</v>
      </c>
      <c r="E1662" s="80">
        <v>45731</v>
      </c>
      <c r="F1662">
        <v>2011310</v>
      </c>
      <c r="G1662">
        <v>4788.32</v>
      </c>
    </row>
    <row r="1663" spans="1:7" x14ac:dyDescent="0.3">
      <c r="A1663" s="80">
        <v>45749</v>
      </c>
      <c r="B1663">
        <v>3010212</v>
      </c>
      <c r="C1663">
        <v>879.38</v>
      </c>
      <c r="E1663" s="80">
        <v>45730</v>
      </c>
      <c r="F1663">
        <v>2011310</v>
      </c>
      <c r="G1663">
        <v>4788.32</v>
      </c>
    </row>
    <row r="1664" spans="1:7" x14ac:dyDescent="0.3">
      <c r="A1664" s="80">
        <v>45749</v>
      </c>
      <c r="B1664">
        <v>3010212</v>
      </c>
      <c r="C1664">
        <v>879.38</v>
      </c>
      <c r="E1664" s="80">
        <v>45730</v>
      </c>
      <c r="F1664">
        <v>2011310</v>
      </c>
      <c r="G1664">
        <v>4309.49</v>
      </c>
    </row>
    <row r="1665" spans="1:7" x14ac:dyDescent="0.3">
      <c r="A1665" s="80">
        <v>45749</v>
      </c>
      <c r="B1665">
        <v>3010212</v>
      </c>
      <c r="C1665">
        <v>1865.54</v>
      </c>
      <c r="E1665" s="80">
        <v>45730</v>
      </c>
      <c r="F1665">
        <v>2011310</v>
      </c>
      <c r="G1665">
        <v>4788.32</v>
      </c>
    </row>
    <row r="1666" spans="1:7" x14ac:dyDescent="0.3">
      <c r="A1666" s="80">
        <v>45748</v>
      </c>
      <c r="B1666">
        <v>3010212</v>
      </c>
      <c r="C1666">
        <v>970.7</v>
      </c>
      <c r="E1666" s="80">
        <v>45729</v>
      </c>
      <c r="F1666">
        <v>2011310</v>
      </c>
      <c r="G1666">
        <v>5138.32</v>
      </c>
    </row>
    <row r="1667" spans="1:7" x14ac:dyDescent="0.3">
      <c r="A1667" s="80">
        <v>45748</v>
      </c>
      <c r="B1667">
        <v>3010212</v>
      </c>
      <c r="C1667">
        <v>1005.01</v>
      </c>
      <c r="E1667" s="80">
        <v>45728</v>
      </c>
      <c r="F1667">
        <v>2011310</v>
      </c>
      <c r="G1667">
        <v>5106.32</v>
      </c>
    </row>
    <row r="1668" spans="1:7" x14ac:dyDescent="0.3">
      <c r="A1668" s="80">
        <v>45748</v>
      </c>
      <c r="B1668">
        <v>3010212</v>
      </c>
      <c r="C1668">
        <v>772.76</v>
      </c>
      <c r="E1668" s="80">
        <v>45728</v>
      </c>
      <c r="F1668">
        <v>2011310</v>
      </c>
      <c r="G1668">
        <v>5106.32</v>
      </c>
    </row>
    <row r="1669" spans="1:7" x14ac:dyDescent="0.3">
      <c r="A1669" s="80">
        <v>45747</v>
      </c>
      <c r="B1669">
        <v>3010212</v>
      </c>
      <c r="C1669">
        <v>1142.02</v>
      </c>
      <c r="E1669" s="80">
        <v>45727</v>
      </c>
      <c r="F1669">
        <v>2011310</v>
      </c>
      <c r="G1669">
        <v>4754.49</v>
      </c>
    </row>
    <row r="1670" spans="1:7" x14ac:dyDescent="0.3">
      <c r="A1670" s="80">
        <v>45747</v>
      </c>
      <c r="B1670">
        <v>3010212</v>
      </c>
      <c r="C1670">
        <v>879.38</v>
      </c>
      <c r="E1670" s="80">
        <v>45727</v>
      </c>
      <c r="F1670">
        <v>2011310</v>
      </c>
      <c r="G1670">
        <v>4627.49</v>
      </c>
    </row>
    <row r="1671" spans="1:7" x14ac:dyDescent="0.3">
      <c r="A1671" s="80">
        <v>45747</v>
      </c>
      <c r="B1671">
        <v>3010212</v>
      </c>
      <c r="C1671">
        <v>1142.02</v>
      </c>
      <c r="E1671" s="80">
        <v>45727</v>
      </c>
      <c r="F1671">
        <v>2011310</v>
      </c>
      <c r="G1671">
        <v>7671.18</v>
      </c>
    </row>
    <row r="1672" spans="1:7" x14ac:dyDescent="0.3">
      <c r="A1672" s="80">
        <v>45747</v>
      </c>
      <c r="B1672">
        <v>3010212</v>
      </c>
      <c r="C1672">
        <v>1142.02</v>
      </c>
      <c r="E1672" s="80">
        <v>45727</v>
      </c>
      <c r="F1672">
        <v>2011310</v>
      </c>
      <c r="G1672">
        <v>4627.49</v>
      </c>
    </row>
    <row r="1673" spans="1:7" x14ac:dyDescent="0.3">
      <c r="A1673" s="80">
        <v>45747</v>
      </c>
      <c r="B1673">
        <v>3010212</v>
      </c>
      <c r="C1673">
        <v>879.38</v>
      </c>
      <c r="E1673" s="80">
        <v>45727</v>
      </c>
      <c r="F1673">
        <v>2011310</v>
      </c>
      <c r="G1673">
        <v>9576.64</v>
      </c>
    </row>
    <row r="1674" spans="1:7" x14ac:dyDescent="0.3">
      <c r="A1674" s="80">
        <v>45747</v>
      </c>
      <c r="B1674">
        <v>3010212</v>
      </c>
      <c r="C1674">
        <v>1142.02</v>
      </c>
      <c r="E1674" s="80">
        <v>45726</v>
      </c>
      <c r="F1674">
        <v>2011310</v>
      </c>
      <c r="G1674">
        <v>3789.09</v>
      </c>
    </row>
    <row r="1675" spans="1:7" x14ac:dyDescent="0.3">
      <c r="A1675" s="80">
        <v>45747</v>
      </c>
      <c r="B1675">
        <v>3010212</v>
      </c>
      <c r="C1675">
        <v>1005.01</v>
      </c>
      <c r="E1675" s="80">
        <v>45726</v>
      </c>
      <c r="F1675">
        <v>2011310</v>
      </c>
      <c r="G1675">
        <v>4788.32</v>
      </c>
    </row>
    <row r="1676" spans="1:7" x14ac:dyDescent="0.3">
      <c r="A1676" s="80">
        <v>45747</v>
      </c>
      <c r="B1676">
        <v>3010212</v>
      </c>
      <c r="C1676">
        <v>1005.01</v>
      </c>
      <c r="E1676" s="80">
        <v>45726</v>
      </c>
      <c r="F1676">
        <v>2011310</v>
      </c>
      <c r="G1676">
        <v>5106.32</v>
      </c>
    </row>
    <row r="1677" spans="1:7" x14ac:dyDescent="0.3">
      <c r="A1677" s="80">
        <v>45746</v>
      </c>
      <c r="B1677">
        <v>3010212</v>
      </c>
      <c r="C1677">
        <v>1865.54</v>
      </c>
      <c r="E1677" s="80">
        <v>45726</v>
      </c>
      <c r="F1677">
        <v>2011310</v>
      </c>
      <c r="G1677">
        <v>5170.32</v>
      </c>
    </row>
    <row r="1678" spans="1:7" x14ac:dyDescent="0.3">
      <c r="A1678" s="80">
        <v>45746</v>
      </c>
      <c r="B1678">
        <v>3010212</v>
      </c>
      <c r="C1678">
        <v>1005.01</v>
      </c>
      <c r="E1678" s="80">
        <v>45726</v>
      </c>
      <c r="F1678">
        <v>2011310</v>
      </c>
      <c r="G1678">
        <v>4788.32</v>
      </c>
    </row>
    <row r="1679" spans="1:7" x14ac:dyDescent="0.3">
      <c r="A1679" s="80">
        <v>45746</v>
      </c>
      <c r="B1679">
        <v>3010212</v>
      </c>
      <c r="C1679">
        <v>1005.01</v>
      </c>
      <c r="E1679" s="80">
        <v>45725</v>
      </c>
      <c r="F1679">
        <v>2011310</v>
      </c>
      <c r="G1679">
        <v>4788.32</v>
      </c>
    </row>
    <row r="1680" spans="1:7" x14ac:dyDescent="0.3">
      <c r="A1680" s="80">
        <v>45746</v>
      </c>
      <c r="B1680">
        <v>3010212</v>
      </c>
      <c r="C1680">
        <v>1005.01</v>
      </c>
      <c r="E1680" s="80">
        <v>45725</v>
      </c>
      <c r="F1680">
        <v>2011310</v>
      </c>
      <c r="G1680">
        <v>4788.32</v>
      </c>
    </row>
    <row r="1681" spans="1:7" x14ac:dyDescent="0.3">
      <c r="A1681" s="80">
        <v>45746</v>
      </c>
      <c r="B1681">
        <v>3010212</v>
      </c>
      <c r="C1681">
        <v>1865.54</v>
      </c>
      <c r="E1681" s="80">
        <v>45725</v>
      </c>
      <c r="F1681">
        <v>2011310</v>
      </c>
      <c r="G1681">
        <v>4788.32</v>
      </c>
    </row>
    <row r="1682" spans="1:7" x14ac:dyDescent="0.3">
      <c r="A1682" s="80">
        <v>45745</v>
      </c>
      <c r="B1682">
        <v>3010212</v>
      </c>
      <c r="C1682">
        <v>1142.02</v>
      </c>
      <c r="E1682" s="80">
        <v>45725</v>
      </c>
      <c r="F1682">
        <v>2011310</v>
      </c>
      <c r="G1682">
        <v>1595.04</v>
      </c>
    </row>
    <row r="1683" spans="1:7" x14ac:dyDescent="0.3">
      <c r="A1683" s="80">
        <v>45745</v>
      </c>
      <c r="B1683">
        <v>3010212</v>
      </c>
      <c r="C1683">
        <v>1142.02</v>
      </c>
      <c r="E1683" s="80">
        <v>45725</v>
      </c>
      <c r="F1683">
        <v>2011310</v>
      </c>
      <c r="G1683">
        <v>4788.32</v>
      </c>
    </row>
    <row r="1684" spans="1:7" x14ac:dyDescent="0.3">
      <c r="A1684" s="80">
        <v>45744</v>
      </c>
      <c r="B1684">
        <v>3010212</v>
      </c>
      <c r="C1684">
        <v>1142.02</v>
      </c>
      <c r="E1684" s="80">
        <v>45725</v>
      </c>
      <c r="F1684">
        <v>2011310</v>
      </c>
      <c r="G1684">
        <v>4788.32</v>
      </c>
    </row>
    <row r="1685" spans="1:7" x14ac:dyDescent="0.3">
      <c r="A1685" s="80">
        <v>45744</v>
      </c>
      <c r="B1685">
        <v>3010212</v>
      </c>
      <c r="C1685">
        <v>1142.02</v>
      </c>
      <c r="E1685" s="80">
        <v>45725</v>
      </c>
      <c r="F1685">
        <v>2011310</v>
      </c>
      <c r="G1685">
        <v>4788.32</v>
      </c>
    </row>
    <row r="1686" spans="1:7" x14ac:dyDescent="0.3">
      <c r="A1686" s="80">
        <v>45744</v>
      </c>
      <c r="B1686">
        <v>3010212</v>
      </c>
      <c r="C1686">
        <v>1142.02</v>
      </c>
      <c r="E1686" s="80">
        <v>45725</v>
      </c>
      <c r="F1686">
        <v>2011310</v>
      </c>
      <c r="G1686">
        <v>4788.32</v>
      </c>
    </row>
    <row r="1687" spans="1:7" x14ac:dyDescent="0.3">
      <c r="A1687" s="80">
        <v>45743</v>
      </c>
      <c r="B1687">
        <v>3010212</v>
      </c>
      <c r="C1687">
        <v>1142.02</v>
      </c>
      <c r="E1687" s="80">
        <v>45725</v>
      </c>
      <c r="F1687">
        <v>2011310</v>
      </c>
      <c r="G1687">
        <v>5106.32</v>
      </c>
    </row>
    <row r="1688" spans="1:7" x14ac:dyDescent="0.3">
      <c r="A1688" s="80">
        <v>45743</v>
      </c>
      <c r="B1688">
        <v>3010212</v>
      </c>
      <c r="C1688">
        <v>1142.02</v>
      </c>
      <c r="E1688" s="80">
        <v>45725</v>
      </c>
      <c r="F1688">
        <v>2011310</v>
      </c>
      <c r="G1688">
        <v>4788.32</v>
      </c>
    </row>
    <row r="1689" spans="1:7" x14ac:dyDescent="0.3">
      <c r="A1689" s="80">
        <v>45743</v>
      </c>
      <c r="B1689">
        <v>3010212</v>
      </c>
      <c r="C1689">
        <v>380.42</v>
      </c>
      <c r="E1689" s="80">
        <v>45724</v>
      </c>
      <c r="F1689">
        <v>2011310</v>
      </c>
      <c r="G1689">
        <v>4788.32</v>
      </c>
    </row>
    <row r="1690" spans="1:7" x14ac:dyDescent="0.3">
      <c r="A1690" s="80">
        <v>45743</v>
      </c>
      <c r="B1690">
        <v>3010212</v>
      </c>
      <c r="C1690">
        <v>951.62</v>
      </c>
      <c r="E1690" s="80">
        <v>45724</v>
      </c>
      <c r="F1690">
        <v>2011310</v>
      </c>
      <c r="G1690">
        <v>5505.32</v>
      </c>
    </row>
    <row r="1691" spans="1:7" x14ac:dyDescent="0.3">
      <c r="A1691" s="80">
        <v>45743</v>
      </c>
      <c r="B1691">
        <v>3010212</v>
      </c>
      <c r="C1691">
        <v>1142.02</v>
      </c>
      <c r="E1691" s="80">
        <v>45723</v>
      </c>
      <c r="F1691">
        <v>2011310</v>
      </c>
      <c r="G1691">
        <v>4788.32</v>
      </c>
    </row>
    <row r="1692" spans="1:7" x14ac:dyDescent="0.3">
      <c r="A1692" s="80">
        <v>45743</v>
      </c>
      <c r="B1692">
        <v>3010212</v>
      </c>
      <c r="C1692">
        <v>1142.02</v>
      </c>
      <c r="E1692" s="80">
        <v>45723</v>
      </c>
      <c r="F1692">
        <v>2011310</v>
      </c>
      <c r="G1692">
        <v>4946.49</v>
      </c>
    </row>
    <row r="1693" spans="1:7" x14ac:dyDescent="0.3">
      <c r="A1693" s="80">
        <v>45743</v>
      </c>
      <c r="B1693">
        <v>3010212</v>
      </c>
      <c r="C1693">
        <v>1142.02</v>
      </c>
      <c r="E1693" s="80">
        <v>45723</v>
      </c>
      <c r="F1693">
        <v>2011310</v>
      </c>
      <c r="G1693">
        <v>4788.32</v>
      </c>
    </row>
    <row r="1694" spans="1:7" x14ac:dyDescent="0.3">
      <c r="A1694" s="80">
        <v>45740</v>
      </c>
      <c r="B1694">
        <v>3010212</v>
      </c>
      <c r="C1694">
        <v>2284.04</v>
      </c>
      <c r="E1694" s="80">
        <v>45723</v>
      </c>
      <c r="F1694">
        <v>2011310</v>
      </c>
      <c r="G1694">
        <v>4788.32</v>
      </c>
    </row>
    <row r="1695" spans="1:7" x14ac:dyDescent="0.3">
      <c r="A1695" s="80">
        <v>45740</v>
      </c>
      <c r="B1695">
        <v>3010212</v>
      </c>
      <c r="C1695">
        <v>1142.02</v>
      </c>
      <c r="E1695" s="80">
        <v>45722</v>
      </c>
      <c r="F1695">
        <v>2011310</v>
      </c>
      <c r="G1695">
        <v>5776.32</v>
      </c>
    </row>
    <row r="1696" spans="1:7" x14ac:dyDescent="0.3">
      <c r="A1696" s="80">
        <v>45739</v>
      </c>
      <c r="B1696">
        <v>3010212</v>
      </c>
      <c r="C1696">
        <v>1142.02</v>
      </c>
      <c r="E1696" s="80">
        <v>45722</v>
      </c>
      <c r="F1696">
        <v>2011310</v>
      </c>
      <c r="G1696">
        <v>4788.32</v>
      </c>
    </row>
    <row r="1697" spans="1:7" x14ac:dyDescent="0.3">
      <c r="A1697" s="80">
        <v>45739</v>
      </c>
      <c r="B1697">
        <v>3010212</v>
      </c>
      <c r="C1697">
        <v>380.42</v>
      </c>
      <c r="E1697" s="80">
        <v>45722</v>
      </c>
      <c r="F1697">
        <v>2011310</v>
      </c>
      <c r="G1697">
        <v>4788.32</v>
      </c>
    </row>
    <row r="1698" spans="1:7" x14ac:dyDescent="0.3">
      <c r="A1698" s="80">
        <v>45739</v>
      </c>
      <c r="B1698">
        <v>3010212</v>
      </c>
      <c r="C1698">
        <v>1142.02</v>
      </c>
      <c r="E1698" s="80">
        <v>45722</v>
      </c>
      <c r="F1698">
        <v>2011310</v>
      </c>
      <c r="G1698">
        <v>4788.32</v>
      </c>
    </row>
    <row r="1699" spans="1:7" x14ac:dyDescent="0.3">
      <c r="A1699" s="80">
        <v>45738</v>
      </c>
      <c r="B1699">
        <v>3010212</v>
      </c>
      <c r="C1699">
        <v>1142.02</v>
      </c>
      <c r="E1699" s="80">
        <v>45721</v>
      </c>
      <c r="F1699">
        <v>2011310</v>
      </c>
      <c r="G1699">
        <v>5888.32</v>
      </c>
    </row>
    <row r="1700" spans="1:7" x14ac:dyDescent="0.3">
      <c r="A1700" s="80">
        <v>45738</v>
      </c>
      <c r="B1700">
        <v>3010212</v>
      </c>
      <c r="C1700">
        <v>1142.02</v>
      </c>
      <c r="E1700" s="80">
        <v>45721</v>
      </c>
      <c r="F1700">
        <v>2011310</v>
      </c>
      <c r="G1700">
        <v>5106.32</v>
      </c>
    </row>
    <row r="1701" spans="1:7" x14ac:dyDescent="0.3">
      <c r="A1701" s="80">
        <v>45737</v>
      </c>
      <c r="B1701">
        <v>3010212</v>
      </c>
      <c r="C1701">
        <v>1142.02</v>
      </c>
      <c r="E1701" s="80">
        <v>45721</v>
      </c>
      <c r="F1701">
        <v>2011310</v>
      </c>
      <c r="G1701">
        <v>5106.32</v>
      </c>
    </row>
    <row r="1702" spans="1:7" x14ac:dyDescent="0.3">
      <c r="A1702" s="80">
        <v>45737</v>
      </c>
      <c r="B1702">
        <v>3010212</v>
      </c>
      <c r="C1702">
        <v>1865.54</v>
      </c>
      <c r="E1702" s="80">
        <v>45720</v>
      </c>
      <c r="F1702">
        <v>2011310</v>
      </c>
      <c r="G1702">
        <v>5106.32</v>
      </c>
    </row>
    <row r="1703" spans="1:7" x14ac:dyDescent="0.3">
      <c r="A1703" s="80">
        <v>45736</v>
      </c>
      <c r="B1703">
        <v>3010212</v>
      </c>
      <c r="C1703">
        <v>1142.02</v>
      </c>
      <c r="E1703" s="80">
        <v>45720</v>
      </c>
      <c r="F1703">
        <v>2011310</v>
      </c>
      <c r="G1703">
        <v>5106.32</v>
      </c>
    </row>
    <row r="1704" spans="1:7" x14ac:dyDescent="0.3">
      <c r="A1704" s="80">
        <v>45736</v>
      </c>
      <c r="B1704">
        <v>3010212</v>
      </c>
      <c r="C1704">
        <v>1142.02</v>
      </c>
      <c r="E1704" s="80">
        <v>45720</v>
      </c>
      <c r="F1704">
        <v>2011310</v>
      </c>
      <c r="G1704">
        <v>3789.09</v>
      </c>
    </row>
    <row r="1705" spans="1:7" x14ac:dyDescent="0.3">
      <c r="A1705" s="80">
        <v>45736</v>
      </c>
      <c r="B1705">
        <v>3010212</v>
      </c>
      <c r="C1705">
        <v>1142.02</v>
      </c>
      <c r="E1705" s="80">
        <v>45720</v>
      </c>
      <c r="F1705">
        <v>2011310</v>
      </c>
      <c r="G1705">
        <v>5225.32</v>
      </c>
    </row>
    <row r="1706" spans="1:7" x14ac:dyDescent="0.3">
      <c r="A1706" s="80">
        <v>45736</v>
      </c>
      <c r="B1706">
        <v>3010212</v>
      </c>
      <c r="C1706">
        <v>1142.02</v>
      </c>
      <c r="E1706" s="80">
        <v>45719</v>
      </c>
      <c r="F1706">
        <v>2011310</v>
      </c>
      <c r="G1706">
        <v>5225.32</v>
      </c>
    </row>
    <row r="1707" spans="1:7" x14ac:dyDescent="0.3">
      <c r="A1707" s="80">
        <v>45736</v>
      </c>
      <c r="B1707">
        <v>3010212</v>
      </c>
      <c r="C1707">
        <v>1142.02</v>
      </c>
      <c r="E1707" s="80">
        <v>45719</v>
      </c>
      <c r="F1707">
        <v>2011310</v>
      </c>
      <c r="G1707">
        <v>9576.64</v>
      </c>
    </row>
    <row r="1708" spans="1:7" x14ac:dyDescent="0.3">
      <c r="A1708" s="80">
        <v>45735</v>
      </c>
      <c r="B1708">
        <v>3010212</v>
      </c>
      <c r="C1708">
        <v>1142.02</v>
      </c>
      <c r="E1708" s="80">
        <v>45719</v>
      </c>
      <c r="F1708">
        <v>2011310</v>
      </c>
      <c r="G1708">
        <v>5545.32</v>
      </c>
    </row>
    <row r="1709" spans="1:7" x14ac:dyDescent="0.3">
      <c r="A1709" s="80">
        <v>45735</v>
      </c>
      <c r="B1709">
        <v>3010212</v>
      </c>
      <c r="C1709">
        <v>1142.02</v>
      </c>
      <c r="E1709" s="80">
        <v>45719</v>
      </c>
      <c r="F1709">
        <v>2011310</v>
      </c>
      <c r="G1709">
        <v>5425.32</v>
      </c>
    </row>
    <row r="1710" spans="1:7" x14ac:dyDescent="0.3">
      <c r="A1710" s="80">
        <v>45735</v>
      </c>
      <c r="B1710">
        <v>3010212</v>
      </c>
      <c r="C1710">
        <v>1142.02</v>
      </c>
      <c r="E1710" s="80">
        <v>45718</v>
      </c>
      <c r="F1710">
        <v>2011310</v>
      </c>
      <c r="G1710">
        <v>5481.32</v>
      </c>
    </row>
    <row r="1711" spans="1:7" x14ac:dyDescent="0.3">
      <c r="A1711" s="80">
        <v>45734</v>
      </c>
      <c r="B1711">
        <v>3010212</v>
      </c>
      <c r="C1711">
        <v>827.86</v>
      </c>
      <c r="E1711" s="80">
        <v>45718</v>
      </c>
      <c r="F1711">
        <v>2011310</v>
      </c>
      <c r="G1711">
        <v>5225.32</v>
      </c>
    </row>
    <row r="1712" spans="1:7" x14ac:dyDescent="0.3">
      <c r="A1712" s="80">
        <v>45734</v>
      </c>
      <c r="B1712">
        <v>3010212</v>
      </c>
      <c r="C1712">
        <v>1027.82</v>
      </c>
      <c r="E1712" s="80">
        <v>45718</v>
      </c>
      <c r="F1712">
        <v>2011310</v>
      </c>
      <c r="G1712">
        <v>5225.32</v>
      </c>
    </row>
    <row r="1713" spans="1:7" x14ac:dyDescent="0.3">
      <c r="A1713" s="80">
        <v>45734</v>
      </c>
      <c r="B1713">
        <v>3010212</v>
      </c>
      <c r="C1713">
        <v>1142.02</v>
      </c>
      <c r="E1713" s="80">
        <v>45718</v>
      </c>
      <c r="F1713">
        <v>2011310</v>
      </c>
      <c r="G1713">
        <v>3908.09</v>
      </c>
    </row>
    <row r="1714" spans="1:7" x14ac:dyDescent="0.3">
      <c r="A1714" s="80">
        <v>45734</v>
      </c>
      <c r="B1714">
        <v>3010212</v>
      </c>
      <c r="C1714">
        <v>1142.02</v>
      </c>
      <c r="E1714" s="80">
        <v>45718</v>
      </c>
      <c r="F1714">
        <v>2011310</v>
      </c>
      <c r="G1714">
        <v>4788.32</v>
      </c>
    </row>
    <row r="1715" spans="1:7" x14ac:dyDescent="0.3">
      <c r="A1715" s="80">
        <v>45734</v>
      </c>
      <c r="B1715">
        <v>3010212</v>
      </c>
      <c r="C1715">
        <v>1142.02</v>
      </c>
      <c r="E1715" s="80">
        <v>45718</v>
      </c>
      <c r="F1715">
        <v>2011310</v>
      </c>
      <c r="G1715">
        <v>4788.32</v>
      </c>
    </row>
    <row r="1716" spans="1:7" x14ac:dyDescent="0.3">
      <c r="A1716" s="80">
        <v>45733</v>
      </c>
      <c r="B1716">
        <v>3010212</v>
      </c>
      <c r="C1716">
        <v>1142.02</v>
      </c>
      <c r="E1716" s="80">
        <v>45718</v>
      </c>
      <c r="F1716">
        <v>2011310</v>
      </c>
      <c r="G1716">
        <v>3908.09</v>
      </c>
    </row>
    <row r="1717" spans="1:7" x14ac:dyDescent="0.3">
      <c r="A1717" s="80">
        <v>45733</v>
      </c>
      <c r="B1717">
        <v>3010212</v>
      </c>
      <c r="C1717">
        <v>1142.02</v>
      </c>
      <c r="E1717" s="80">
        <v>45718</v>
      </c>
      <c r="F1717">
        <v>2011310</v>
      </c>
      <c r="G1717">
        <v>5225.32</v>
      </c>
    </row>
    <row r="1718" spans="1:7" x14ac:dyDescent="0.3">
      <c r="A1718" s="80">
        <v>45733</v>
      </c>
      <c r="B1718">
        <v>3010212</v>
      </c>
      <c r="C1718">
        <v>1142.02</v>
      </c>
      <c r="E1718" s="80">
        <v>45718</v>
      </c>
      <c r="F1718">
        <v>2011310</v>
      </c>
      <c r="G1718">
        <v>1435.54</v>
      </c>
    </row>
    <row r="1719" spans="1:7" x14ac:dyDescent="0.3">
      <c r="A1719" s="80">
        <v>45733</v>
      </c>
      <c r="B1719">
        <v>3010212</v>
      </c>
      <c r="C1719">
        <v>1142.02</v>
      </c>
      <c r="E1719" s="80">
        <v>45718</v>
      </c>
      <c r="F1719">
        <v>2011310</v>
      </c>
      <c r="G1719">
        <v>4309.49</v>
      </c>
    </row>
    <row r="1720" spans="1:7" x14ac:dyDescent="0.3">
      <c r="A1720" s="80">
        <v>45733</v>
      </c>
      <c r="B1720">
        <v>3010212</v>
      </c>
      <c r="C1720">
        <v>1027.82</v>
      </c>
      <c r="E1720" s="80">
        <v>45717</v>
      </c>
      <c r="F1720">
        <v>2011310</v>
      </c>
      <c r="G1720">
        <v>4788.32</v>
      </c>
    </row>
    <row r="1721" spans="1:7" x14ac:dyDescent="0.3">
      <c r="A1721" s="80">
        <v>45733</v>
      </c>
      <c r="B1721">
        <v>3010212</v>
      </c>
      <c r="C1721">
        <v>1142.02</v>
      </c>
      <c r="E1721" s="80">
        <v>45717</v>
      </c>
      <c r="F1721">
        <v>2011310</v>
      </c>
      <c r="G1721">
        <v>5665.32</v>
      </c>
    </row>
    <row r="1722" spans="1:7" x14ac:dyDescent="0.3">
      <c r="A1722" s="80">
        <v>45733</v>
      </c>
      <c r="B1722">
        <v>3010212</v>
      </c>
      <c r="C1722">
        <v>1142.02</v>
      </c>
      <c r="E1722" s="80">
        <v>45717</v>
      </c>
      <c r="F1722">
        <v>2011310</v>
      </c>
      <c r="G1722">
        <v>4788.32</v>
      </c>
    </row>
    <row r="1723" spans="1:7" x14ac:dyDescent="0.3">
      <c r="A1723" s="80">
        <v>45733</v>
      </c>
      <c r="B1723">
        <v>3010212</v>
      </c>
      <c r="C1723">
        <v>1142.02</v>
      </c>
      <c r="E1723" s="80">
        <v>45717</v>
      </c>
      <c r="F1723">
        <v>2011310</v>
      </c>
      <c r="G1723">
        <v>5225.32</v>
      </c>
    </row>
    <row r="1724" spans="1:7" x14ac:dyDescent="0.3">
      <c r="A1724" s="80">
        <v>45732</v>
      </c>
      <c r="B1724">
        <v>3010212</v>
      </c>
      <c r="C1724">
        <v>1142.02</v>
      </c>
      <c r="E1724" s="80">
        <v>45717</v>
      </c>
      <c r="F1724">
        <v>2011310</v>
      </c>
      <c r="G1724">
        <v>4788.32</v>
      </c>
    </row>
    <row r="1725" spans="1:7" x14ac:dyDescent="0.3">
      <c r="A1725" s="80">
        <v>45732</v>
      </c>
      <c r="B1725">
        <v>3010212</v>
      </c>
      <c r="C1725">
        <v>1142.02</v>
      </c>
      <c r="E1725" s="80">
        <v>45717</v>
      </c>
      <c r="F1725">
        <v>2011310</v>
      </c>
      <c r="G1725">
        <v>4788.32</v>
      </c>
    </row>
    <row r="1726" spans="1:7" x14ac:dyDescent="0.3">
      <c r="A1726" s="80">
        <v>45731</v>
      </c>
      <c r="B1726">
        <v>3010212</v>
      </c>
      <c r="C1726">
        <v>1027.82</v>
      </c>
      <c r="E1726" s="80">
        <v>45717</v>
      </c>
      <c r="F1726">
        <v>2011310</v>
      </c>
      <c r="G1726">
        <v>4788.32</v>
      </c>
    </row>
    <row r="1727" spans="1:7" x14ac:dyDescent="0.3">
      <c r="A1727" s="80">
        <v>45731</v>
      </c>
      <c r="B1727">
        <v>3010212</v>
      </c>
      <c r="C1727">
        <v>342.38</v>
      </c>
      <c r="E1727" s="80">
        <v>45717</v>
      </c>
      <c r="F1727">
        <v>2011310</v>
      </c>
      <c r="G1727">
        <v>5225.32</v>
      </c>
    </row>
    <row r="1728" spans="1:7" x14ac:dyDescent="0.3">
      <c r="A1728" s="80">
        <v>45731</v>
      </c>
      <c r="B1728">
        <v>3010212</v>
      </c>
      <c r="C1728">
        <v>1142.02</v>
      </c>
      <c r="E1728" s="80">
        <v>45716</v>
      </c>
      <c r="F1728">
        <v>2011310</v>
      </c>
      <c r="G1728">
        <v>5505.32</v>
      </c>
    </row>
    <row r="1729" spans="1:7" x14ac:dyDescent="0.3">
      <c r="A1729" s="80">
        <v>45730</v>
      </c>
      <c r="B1729">
        <v>3010212</v>
      </c>
      <c r="C1729">
        <v>1142.02</v>
      </c>
      <c r="E1729" s="80">
        <v>45716</v>
      </c>
      <c r="F1729">
        <v>2011310</v>
      </c>
      <c r="G1729">
        <v>5225.32</v>
      </c>
    </row>
    <row r="1730" spans="1:7" x14ac:dyDescent="0.3">
      <c r="A1730" s="80">
        <v>45730</v>
      </c>
      <c r="B1730">
        <v>3010212</v>
      </c>
      <c r="C1730">
        <v>1027.82</v>
      </c>
      <c r="E1730" s="80">
        <v>45716</v>
      </c>
      <c r="F1730">
        <v>2011310</v>
      </c>
      <c r="G1730">
        <v>3908.09</v>
      </c>
    </row>
    <row r="1731" spans="1:7" x14ac:dyDescent="0.3">
      <c r="A1731" s="80">
        <v>45730</v>
      </c>
      <c r="B1731">
        <v>3010212</v>
      </c>
      <c r="C1731">
        <v>1142.02</v>
      </c>
      <c r="E1731" s="80">
        <v>45716</v>
      </c>
      <c r="F1731">
        <v>2011310</v>
      </c>
      <c r="G1731">
        <v>5225.32</v>
      </c>
    </row>
    <row r="1732" spans="1:7" x14ac:dyDescent="0.3">
      <c r="A1732" s="80">
        <v>45729</v>
      </c>
      <c r="B1732">
        <v>3010212</v>
      </c>
      <c r="C1732">
        <v>1142.02</v>
      </c>
      <c r="E1732" s="80">
        <v>45716</v>
      </c>
      <c r="F1732">
        <v>2011310</v>
      </c>
      <c r="G1732">
        <v>5106.32</v>
      </c>
    </row>
    <row r="1733" spans="1:7" x14ac:dyDescent="0.3">
      <c r="A1733" s="80">
        <v>45728</v>
      </c>
      <c r="B1733">
        <v>3010212</v>
      </c>
      <c r="C1733">
        <v>1142.02</v>
      </c>
      <c r="E1733" s="80">
        <v>45716</v>
      </c>
      <c r="F1733">
        <v>2011310</v>
      </c>
      <c r="G1733">
        <v>1595.04</v>
      </c>
    </row>
    <row r="1734" spans="1:7" x14ac:dyDescent="0.3">
      <c r="A1734" s="80">
        <v>45728</v>
      </c>
      <c r="B1734">
        <v>3010212</v>
      </c>
      <c r="C1734">
        <v>1142.02</v>
      </c>
      <c r="E1734" s="80">
        <v>45716</v>
      </c>
      <c r="F1734">
        <v>2011310</v>
      </c>
      <c r="G1734">
        <v>4788.32</v>
      </c>
    </row>
    <row r="1735" spans="1:7" x14ac:dyDescent="0.3">
      <c r="A1735" s="80">
        <v>45727</v>
      </c>
      <c r="B1735">
        <v>3010212</v>
      </c>
      <c r="C1735">
        <v>1027.82</v>
      </c>
      <c r="E1735" s="80">
        <v>45716</v>
      </c>
      <c r="F1735">
        <v>2011310</v>
      </c>
      <c r="G1735">
        <v>4788.32</v>
      </c>
    </row>
    <row r="1736" spans="1:7" x14ac:dyDescent="0.3">
      <c r="A1736" s="80">
        <v>45727</v>
      </c>
      <c r="B1736">
        <v>3010212</v>
      </c>
      <c r="C1736">
        <v>1027.82</v>
      </c>
      <c r="E1736" s="80">
        <v>45715</v>
      </c>
      <c r="F1736">
        <v>2011310</v>
      </c>
      <c r="G1736">
        <v>3789.09</v>
      </c>
    </row>
    <row r="1737" spans="1:7" x14ac:dyDescent="0.3">
      <c r="A1737" s="80">
        <v>45727</v>
      </c>
      <c r="B1737">
        <v>3010212</v>
      </c>
      <c r="C1737">
        <v>1655.72</v>
      </c>
      <c r="E1737" s="80">
        <v>45715</v>
      </c>
      <c r="F1737">
        <v>2011310</v>
      </c>
      <c r="G1737">
        <v>5510.32</v>
      </c>
    </row>
    <row r="1738" spans="1:7" x14ac:dyDescent="0.3">
      <c r="A1738" s="80">
        <v>45727</v>
      </c>
      <c r="B1738">
        <v>3010212</v>
      </c>
      <c r="C1738">
        <v>1027.82</v>
      </c>
      <c r="E1738" s="80">
        <v>45715</v>
      </c>
      <c r="F1738">
        <v>2011310</v>
      </c>
      <c r="G1738">
        <v>5106.32</v>
      </c>
    </row>
    <row r="1739" spans="1:7" x14ac:dyDescent="0.3">
      <c r="A1739" s="80">
        <v>45727</v>
      </c>
      <c r="B1739">
        <v>3010212</v>
      </c>
      <c r="C1739">
        <v>2284.04</v>
      </c>
      <c r="E1739" s="80">
        <v>45715</v>
      </c>
      <c r="F1739">
        <v>2011310</v>
      </c>
      <c r="G1739">
        <v>4788.32</v>
      </c>
    </row>
    <row r="1740" spans="1:7" x14ac:dyDescent="0.3">
      <c r="A1740" s="80">
        <v>45726</v>
      </c>
      <c r="B1740">
        <v>3010212</v>
      </c>
      <c r="C1740">
        <v>827.86</v>
      </c>
      <c r="E1740" s="80">
        <v>45714</v>
      </c>
      <c r="F1740">
        <v>2011310</v>
      </c>
      <c r="G1740">
        <v>5106.32</v>
      </c>
    </row>
    <row r="1741" spans="1:7" x14ac:dyDescent="0.3">
      <c r="A1741" s="80">
        <v>45726</v>
      </c>
      <c r="B1741">
        <v>3010212</v>
      </c>
      <c r="C1741">
        <v>1142.02</v>
      </c>
      <c r="E1741" s="80">
        <v>45714</v>
      </c>
      <c r="F1741">
        <v>2011310</v>
      </c>
      <c r="G1741">
        <v>1595.04</v>
      </c>
    </row>
    <row r="1742" spans="1:7" x14ac:dyDescent="0.3">
      <c r="A1742" s="80">
        <v>45726</v>
      </c>
      <c r="B1742">
        <v>3010212</v>
      </c>
      <c r="C1742">
        <v>1142.02</v>
      </c>
      <c r="E1742" s="80">
        <v>45714</v>
      </c>
      <c r="F1742">
        <v>2011310</v>
      </c>
      <c r="G1742">
        <v>5106.32</v>
      </c>
    </row>
    <row r="1743" spans="1:7" x14ac:dyDescent="0.3">
      <c r="A1743" s="80">
        <v>45726</v>
      </c>
      <c r="B1743">
        <v>3010212</v>
      </c>
      <c r="C1743">
        <v>1142.02</v>
      </c>
      <c r="E1743" s="80">
        <v>45714</v>
      </c>
      <c r="F1743">
        <v>2011310</v>
      </c>
      <c r="G1743">
        <v>5106.32</v>
      </c>
    </row>
    <row r="1744" spans="1:7" x14ac:dyDescent="0.3">
      <c r="A1744" s="80">
        <v>45726</v>
      </c>
      <c r="B1744">
        <v>3010212</v>
      </c>
      <c r="C1744">
        <v>1142.02</v>
      </c>
      <c r="E1744" s="80">
        <v>45713</v>
      </c>
      <c r="F1744">
        <v>2011310</v>
      </c>
      <c r="G1744">
        <v>5106.32</v>
      </c>
    </row>
    <row r="1745" spans="1:7" x14ac:dyDescent="0.3">
      <c r="A1745" s="80">
        <v>45725</v>
      </c>
      <c r="B1745">
        <v>3010212</v>
      </c>
      <c r="C1745">
        <v>1142.02</v>
      </c>
      <c r="E1745" s="80">
        <v>45713</v>
      </c>
      <c r="F1745">
        <v>2011310</v>
      </c>
      <c r="G1745">
        <v>5106.32</v>
      </c>
    </row>
    <row r="1746" spans="1:7" x14ac:dyDescent="0.3">
      <c r="A1746" s="80">
        <v>45725</v>
      </c>
      <c r="B1746">
        <v>3010212</v>
      </c>
      <c r="C1746">
        <v>1142.02</v>
      </c>
      <c r="E1746" s="80">
        <v>45713</v>
      </c>
      <c r="F1746">
        <v>2011310</v>
      </c>
      <c r="G1746">
        <v>5489.32</v>
      </c>
    </row>
    <row r="1747" spans="1:7" x14ac:dyDescent="0.3">
      <c r="A1747" s="80">
        <v>45725</v>
      </c>
      <c r="B1747">
        <v>3010212</v>
      </c>
      <c r="C1747">
        <v>1142.02</v>
      </c>
      <c r="E1747" s="80">
        <v>45713</v>
      </c>
      <c r="F1747">
        <v>2011310</v>
      </c>
      <c r="G1747">
        <v>5106.32</v>
      </c>
    </row>
    <row r="1748" spans="1:7" x14ac:dyDescent="0.3">
      <c r="A1748" s="80">
        <v>45725</v>
      </c>
      <c r="B1748">
        <v>3010212</v>
      </c>
      <c r="C1748">
        <v>380.42</v>
      </c>
      <c r="E1748" s="80">
        <v>45712</v>
      </c>
      <c r="F1748">
        <v>2011310</v>
      </c>
      <c r="G1748">
        <v>5393.32</v>
      </c>
    </row>
    <row r="1749" spans="1:7" x14ac:dyDescent="0.3">
      <c r="A1749" s="80">
        <v>45725</v>
      </c>
      <c r="B1749">
        <v>3010212</v>
      </c>
      <c r="C1749">
        <v>1142.02</v>
      </c>
      <c r="E1749" s="80">
        <v>45712</v>
      </c>
      <c r="F1749">
        <v>2011310</v>
      </c>
      <c r="G1749">
        <v>5473.32</v>
      </c>
    </row>
    <row r="1750" spans="1:7" x14ac:dyDescent="0.3">
      <c r="A1750" s="80">
        <v>45725</v>
      </c>
      <c r="B1750">
        <v>3010212</v>
      </c>
      <c r="C1750">
        <v>1142.02</v>
      </c>
      <c r="E1750" s="80">
        <v>45712</v>
      </c>
      <c r="F1750">
        <v>2011310</v>
      </c>
      <c r="G1750">
        <v>4627.49</v>
      </c>
    </row>
    <row r="1751" spans="1:7" x14ac:dyDescent="0.3">
      <c r="A1751" s="80">
        <v>45725</v>
      </c>
      <c r="B1751">
        <v>3010212</v>
      </c>
      <c r="C1751">
        <v>1142.02</v>
      </c>
      <c r="E1751" s="80">
        <v>45712</v>
      </c>
      <c r="F1751">
        <v>2011310</v>
      </c>
      <c r="G1751">
        <v>4068.01</v>
      </c>
    </row>
    <row r="1752" spans="1:7" x14ac:dyDescent="0.3">
      <c r="A1752" s="80">
        <v>45725</v>
      </c>
      <c r="B1752">
        <v>3010212</v>
      </c>
      <c r="C1752">
        <v>1142.02</v>
      </c>
      <c r="E1752" s="80">
        <v>45712</v>
      </c>
      <c r="F1752">
        <v>2011310</v>
      </c>
      <c r="G1752">
        <v>5553.32</v>
      </c>
    </row>
    <row r="1753" spans="1:7" x14ac:dyDescent="0.3">
      <c r="A1753" s="80">
        <v>45725</v>
      </c>
      <c r="B1753">
        <v>3010212</v>
      </c>
      <c r="C1753">
        <v>1142.02</v>
      </c>
      <c r="E1753" s="80">
        <v>45711</v>
      </c>
      <c r="F1753">
        <v>2011310</v>
      </c>
      <c r="G1753">
        <v>5106.32</v>
      </c>
    </row>
    <row r="1754" spans="1:7" x14ac:dyDescent="0.3">
      <c r="A1754" s="80">
        <v>45725</v>
      </c>
      <c r="B1754">
        <v>3010212</v>
      </c>
      <c r="C1754">
        <v>1142.02</v>
      </c>
      <c r="E1754" s="80">
        <v>45711</v>
      </c>
      <c r="F1754">
        <v>2011310</v>
      </c>
      <c r="G1754">
        <v>5489.32</v>
      </c>
    </row>
    <row r="1755" spans="1:7" x14ac:dyDescent="0.3">
      <c r="A1755" s="80">
        <v>45724</v>
      </c>
      <c r="B1755">
        <v>3010212</v>
      </c>
      <c r="C1755">
        <v>1142.02</v>
      </c>
      <c r="E1755" s="80">
        <v>45710</v>
      </c>
      <c r="F1755">
        <v>2011310</v>
      </c>
      <c r="G1755">
        <v>5776.32</v>
      </c>
    </row>
    <row r="1756" spans="1:7" x14ac:dyDescent="0.3">
      <c r="A1756" s="80">
        <v>45724</v>
      </c>
      <c r="B1756">
        <v>3010212</v>
      </c>
      <c r="C1756">
        <v>1142.02</v>
      </c>
      <c r="E1756" s="80">
        <v>45710</v>
      </c>
      <c r="F1756">
        <v>2011310</v>
      </c>
      <c r="G1756">
        <v>5106.32</v>
      </c>
    </row>
    <row r="1757" spans="1:7" x14ac:dyDescent="0.3">
      <c r="A1757" s="80">
        <v>45723</v>
      </c>
      <c r="B1757">
        <v>3010212</v>
      </c>
      <c r="C1757">
        <v>1142.02</v>
      </c>
      <c r="E1757" s="80">
        <v>45710</v>
      </c>
      <c r="F1757">
        <v>2011310</v>
      </c>
      <c r="G1757">
        <v>5106.32</v>
      </c>
    </row>
    <row r="1758" spans="1:7" x14ac:dyDescent="0.3">
      <c r="A1758" s="80">
        <v>45723</v>
      </c>
      <c r="B1758">
        <v>3010212</v>
      </c>
      <c r="C1758">
        <v>1027.82</v>
      </c>
      <c r="E1758" s="80">
        <v>45710</v>
      </c>
      <c r="F1758">
        <v>2011310</v>
      </c>
      <c r="G1758">
        <v>5553.32</v>
      </c>
    </row>
    <row r="1759" spans="1:7" x14ac:dyDescent="0.3">
      <c r="A1759" s="80">
        <v>45723</v>
      </c>
      <c r="B1759">
        <v>3010212</v>
      </c>
      <c r="C1759">
        <v>1142.02</v>
      </c>
      <c r="E1759" s="80">
        <v>45710</v>
      </c>
      <c r="F1759">
        <v>2011310</v>
      </c>
      <c r="G1759">
        <v>5425.32</v>
      </c>
    </row>
    <row r="1760" spans="1:7" x14ac:dyDescent="0.3">
      <c r="A1760" s="80">
        <v>45723</v>
      </c>
      <c r="B1760">
        <v>3010212</v>
      </c>
      <c r="C1760">
        <v>1142.02</v>
      </c>
      <c r="E1760" s="80">
        <v>45710</v>
      </c>
      <c r="F1760">
        <v>2011310</v>
      </c>
      <c r="G1760">
        <v>5489.32</v>
      </c>
    </row>
    <row r="1761" spans="1:7" x14ac:dyDescent="0.3">
      <c r="A1761" s="80">
        <v>45722</v>
      </c>
      <c r="B1761">
        <v>3010212</v>
      </c>
      <c r="C1761">
        <v>1142.02</v>
      </c>
      <c r="E1761" s="80">
        <v>45710</v>
      </c>
      <c r="F1761">
        <v>2011310</v>
      </c>
      <c r="G1761">
        <v>5569.32</v>
      </c>
    </row>
    <row r="1762" spans="1:7" x14ac:dyDescent="0.3">
      <c r="A1762" s="80">
        <v>45722</v>
      </c>
      <c r="B1762">
        <v>3010212</v>
      </c>
      <c r="C1762">
        <v>1142.02</v>
      </c>
      <c r="E1762" s="80">
        <v>45710</v>
      </c>
      <c r="F1762">
        <v>2011310</v>
      </c>
      <c r="G1762">
        <v>4788.32</v>
      </c>
    </row>
    <row r="1763" spans="1:7" x14ac:dyDescent="0.3">
      <c r="A1763" s="80">
        <v>45722</v>
      </c>
      <c r="B1763">
        <v>3010212</v>
      </c>
      <c r="C1763">
        <v>1142.02</v>
      </c>
      <c r="E1763" s="80">
        <v>45710</v>
      </c>
      <c r="F1763">
        <v>2011310</v>
      </c>
      <c r="G1763">
        <v>4627.49</v>
      </c>
    </row>
    <row r="1764" spans="1:7" x14ac:dyDescent="0.3">
      <c r="A1764" s="80">
        <v>45722</v>
      </c>
      <c r="B1764">
        <v>3010212</v>
      </c>
      <c r="C1764">
        <v>1142.02</v>
      </c>
      <c r="E1764" s="80">
        <v>45710</v>
      </c>
      <c r="F1764">
        <v>2011310</v>
      </c>
      <c r="G1764">
        <v>5106.32</v>
      </c>
    </row>
    <row r="1765" spans="1:7" x14ac:dyDescent="0.3">
      <c r="A1765" s="80">
        <v>45721</v>
      </c>
      <c r="B1765">
        <v>3010212</v>
      </c>
      <c r="C1765">
        <v>1142.02</v>
      </c>
      <c r="E1765" s="80">
        <v>45709</v>
      </c>
      <c r="F1765">
        <v>2011310</v>
      </c>
      <c r="G1765">
        <v>5409.32</v>
      </c>
    </row>
    <row r="1766" spans="1:7" x14ac:dyDescent="0.3">
      <c r="A1766" s="80">
        <v>45721</v>
      </c>
      <c r="B1766">
        <v>3010212</v>
      </c>
      <c r="C1766">
        <v>1142.02</v>
      </c>
      <c r="E1766" s="80">
        <v>45709</v>
      </c>
      <c r="F1766">
        <v>2011310</v>
      </c>
      <c r="G1766">
        <v>4788.32</v>
      </c>
    </row>
    <row r="1767" spans="1:7" x14ac:dyDescent="0.3">
      <c r="A1767" s="80">
        <v>45721</v>
      </c>
      <c r="B1767">
        <v>3010212</v>
      </c>
      <c r="C1767">
        <v>1142.02</v>
      </c>
      <c r="E1767" s="80">
        <v>45709</v>
      </c>
      <c r="F1767">
        <v>2011310</v>
      </c>
      <c r="G1767">
        <v>1595.04</v>
      </c>
    </row>
    <row r="1768" spans="1:7" x14ac:dyDescent="0.3">
      <c r="A1768" s="80">
        <v>45720</v>
      </c>
      <c r="B1768">
        <v>3010212</v>
      </c>
      <c r="C1768">
        <v>1142.02</v>
      </c>
      <c r="E1768" s="80">
        <v>45709</v>
      </c>
      <c r="F1768">
        <v>2011310</v>
      </c>
      <c r="G1768">
        <v>5106.32</v>
      </c>
    </row>
    <row r="1769" spans="1:7" x14ac:dyDescent="0.3">
      <c r="A1769" s="80">
        <v>45720</v>
      </c>
      <c r="B1769">
        <v>3010212</v>
      </c>
      <c r="C1769">
        <v>1142.02</v>
      </c>
      <c r="E1769" s="80">
        <v>45709</v>
      </c>
      <c r="F1769">
        <v>2011310</v>
      </c>
      <c r="G1769">
        <v>5106.32</v>
      </c>
    </row>
    <row r="1770" spans="1:7" x14ac:dyDescent="0.3">
      <c r="A1770" s="80">
        <v>45720</v>
      </c>
      <c r="B1770">
        <v>3010212</v>
      </c>
      <c r="C1770">
        <v>827.86</v>
      </c>
      <c r="E1770" s="80">
        <v>45709</v>
      </c>
      <c r="F1770">
        <v>2011310</v>
      </c>
      <c r="G1770">
        <v>5106.32</v>
      </c>
    </row>
    <row r="1771" spans="1:7" x14ac:dyDescent="0.3">
      <c r="A1771" s="80">
        <v>45720</v>
      </c>
      <c r="B1771">
        <v>3010212</v>
      </c>
      <c r="C1771">
        <v>1142.02</v>
      </c>
      <c r="E1771" s="80">
        <v>45709</v>
      </c>
      <c r="F1771">
        <v>2011310</v>
      </c>
      <c r="G1771">
        <v>5744.32</v>
      </c>
    </row>
    <row r="1772" spans="1:7" x14ac:dyDescent="0.3">
      <c r="A1772" s="80">
        <v>45719</v>
      </c>
      <c r="B1772">
        <v>3010212</v>
      </c>
      <c r="C1772">
        <v>1142.02</v>
      </c>
      <c r="E1772" s="80">
        <v>45709</v>
      </c>
      <c r="F1772">
        <v>2011310</v>
      </c>
      <c r="G1772">
        <v>4788.32</v>
      </c>
    </row>
    <row r="1773" spans="1:7" x14ac:dyDescent="0.3">
      <c r="A1773" s="80">
        <v>45719</v>
      </c>
      <c r="B1773">
        <v>3010212</v>
      </c>
      <c r="C1773">
        <v>2284.04</v>
      </c>
      <c r="E1773" s="80">
        <v>45709</v>
      </c>
      <c r="F1773">
        <v>2011310</v>
      </c>
      <c r="G1773">
        <v>4788.32</v>
      </c>
    </row>
    <row r="1774" spans="1:7" x14ac:dyDescent="0.3">
      <c r="A1774" s="80">
        <v>45719</v>
      </c>
      <c r="B1774">
        <v>3010212</v>
      </c>
      <c r="C1774">
        <v>1142.02</v>
      </c>
      <c r="E1774" s="80">
        <v>45709</v>
      </c>
      <c r="F1774">
        <v>2011310</v>
      </c>
      <c r="G1774">
        <v>5106.32</v>
      </c>
    </row>
    <row r="1775" spans="1:7" x14ac:dyDescent="0.3">
      <c r="A1775" s="80">
        <v>45719</v>
      </c>
      <c r="B1775">
        <v>3010212</v>
      </c>
      <c r="C1775">
        <v>1142.02</v>
      </c>
      <c r="E1775" s="80">
        <v>45709</v>
      </c>
      <c r="F1775">
        <v>2011310</v>
      </c>
      <c r="G1775">
        <v>5425.32</v>
      </c>
    </row>
    <row r="1776" spans="1:7" x14ac:dyDescent="0.3">
      <c r="A1776" s="80">
        <v>45718</v>
      </c>
      <c r="B1776">
        <v>3010212</v>
      </c>
      <c r="C1776">
        <v>1142.02</v>
      </c>
      <c r="E1776" s="80">
        <v>45709</v>
      </c>
      <c r="F1776">
        <v>2011310</v>
      </c>
      <c r="G1776">
        <v>5106.32</v>
      </c>
    </row>
    <row r="1777" spans="1:7" x14ac:dyDescent="0.3">
      <c r="A1777" s="80">
        <v>45718</v>
      </c>
      <c r="B1777">
        <v>3010212</v>
      </c>
      <c r="C1777">
        <v>1142.02</v>
      </c>
      <c r="E1777" s="80">
        <v>45708</v>
      </c>
      <c r="F1777">
        <v>2011310</v>
      </c>
      <c r="G1777">
        <v>5425.32</v>
      </c>
    </row>
    <row r="1778" spans="1:7" x14ac:dyDescent="0.3">
      <c r="A1778" s="80">
        <v>45718</v>
      </c>
      <c r="B1778">
        <v>3010212</v>
      </c>
      <c r="C1778">
        <v>1142.02</v>
      </c>
      <c r="E1778" s="80">
        <v>45708</v>
      </c>
      <c r="F1778">
        <v>2011310</v>
      </c>
      <c r="G1778">
        <v>5106.32</v>
      </c>
    </row>
    <row r="1779" spans="1:7" x14ac:dyDescent="0.3">
      <c r="A1779" s="80">
        <v>45718</v>
      </c>
      <c r="B1779">
        <v>3010212</v>
      </c>
      <c r="C1779">
        <v>827.86</v>
      </c>
      <c r="E1779" s="80">
        <v>45708</v>
      </c>
      <c r="F1779">
        <v>2011310</v>
      </c>
      <c r="G1779">
        <v>5569.32</v>
      </c>
    </row>
    <row r="1780" spans="1:7" x14ac:dyDescent="0.3">
      <c r="A1780" s="80">
        <v>45718</v>
      </c>
      <c r="B1780">
        <v>3010212</v>
      </c>
      <c r="C1780">
        <v>1142.02</v>
      </c>
      <c r="E1780" s="80">
        <v>45708</v>
      </c>
      <c r="F1780">
        <v>2011310</v>
      </c>
      <c r="G1780">
        <v>3829.01</v>
      </c>
    </row>
    <row r="1781" spans="1:7" x14ac:dyDescent="0.3">
      <c r="A1781" s="80">
        <v>45718</v>
      </c>
      <c r="B1781">
        <v>3010212</v>
      </c>
      <c r="C1781">
        <v>1142.02</v>
      </c>
      <c r="E1781" s="80">
        <v>45708</v>
      </c>
      <c r="F1781">
        <v>2011310</v>
      </c>
      <c r="G1781">
        <v>5106.32</v>
      </c>
    </row>
    <row r="1782" spans="1:7" x14ac:dyDescent="0.3">
      <c r="A1782" s="80">
        <v>45718</v>
      </c>
      <c r="B1782">
        <v>3010212</v>
      </c>
      <c r="C1782">
        <v>827.86</v>
      </c>
      <c r="E1782" s="80">
        <v>45708</v>
      </c>
      <c r="F1782">
        <v>2011310</v>
      </c>
      <c r="G1782">
        <v>3990</v>
      </c>
    </row>
    <row r="1783" spans="1:7" x14ac:dyDescent="0.3">
      <c r="A1783" s="80">
        <v>45718</v>
      </c>
      <c r="B1783">
        <v>3010212</v>
      </c>
      <c r="C1783">
        <v>1142.02</v>
      </c>
      <c r="E1783" s="80">
        <v>45708</v>
      </c>
      <c r="F1783">
        <v>2011310</v>
      </c>
      <c r="G1783">
        <v>4788.32</v>
      </c>
    </row>
    <row r="1784" spans="1:7" x14ac:dyDescent="0.3">
      <c r="A1784" s="80">
        <v>45718</v>
      </c>
      <c r="B1784">
        <v>3010212</v>
      </c>
      <c r="C1784">
        <v>342.38</v>
      </c>
      <c r="E1784" s="80">
        <v>45707</v>
      </c>
      <c r="F1784">
        <v>2011310</v>
      </c>
      <c r="G1784">
        <v>3829.01</v>
      </c>
    </row>
    <row r="1785" spans="1:7" x14ac:dyDescent="0.3">
      <c r="A1785" s="80">
        <v>45718</v>
      </c>
      <c r="B1785">
        <v>3010212</v>
      </c>
      <c r="C1785">
        <v>1027.82</v>
      </c>
      <c r="E1785" s="80">
        <v>45705</v>
      </c>
      <c r="F1785">
        <v>2011310</v>
      </c>
      <c r="G1785">
        <v>3511.01</v>
      </c>
    </row>
    <row r="1786" spans="1:7" x14ac:dyDescent="0.3">
      <c r="A1786" s="80">
        <v>45717</v>
      </c>
      <c r="B1786">
        <v>3010212</v>
      </c>
      <c r="C1786">
        <v>1142.02</v>
      </c>
      <c r="E1786" s="80">
        <v>45705</v>
      </c>
      <c r="F1786">
        <v>2011310</v>
      </c>
      <c r="G1786">
        <v>5473.32</v>
      </c>
    </row>
    <row r="1787" spans="1:7" x14ac:dyDescent="0.3">
      <c r="A1787" s="80">
        <v>45717</v>
      </c>
      <c r="B1787">
        <v>3010212</v>
      </c>
      <c r="C1787">
        <v>1142.02</v>
      </c>
      <c r="E1787" s="80">
        <v>45705</v>
      </c>
      <c r="F1787">
        <v>2011310</v>
      </c>
      <c r="G1787">
        <v>3511.01</v>
      </c>
    </row>
    <row r="1788" spans="1:7" x14ac:dyDescent="0.3">
      <c r="A1788" s="80">
        <v>45717</v>
      </c>
      <c r="B1788">
        <v>3010212</v>
      </c>
      <c r="C1788">
        <v>1142.02</v>
      </c>
      <c r="E1788" s="80">
        <v>45704</v>
      </c>
      <c r="F1788">
        <v>2011310</v>
      </c>
      <c r="G1788">
        <v>4148.01</v>
      </c>
    </row>
    <row r="1789" spans="1:7" x14ac:dyDescent="0.3">
      <c r="A1789" s="80">
        <v>45717</v>
      </c>
      <c r="B1789">
        <v>3010212</v>
      </c>
      <c r="C1789">
        <v>1142.02</v>
      </c>
      <c r="E1789" s="80">
        <v>45704</v>
      </c>
      <c r="F1789">
        <v>2011310</v>
      </c>
      <c r="G1789">
        <v>3990</v>
      </c>
    </row>
    <row r="1790" spans="1:7" x14ac:dyDescent="0.3">
      <c r="A1790" s="80">
        <v>45717</v>
      </c>
      <c r="B1790">
        <v>3010212</v>
      </c>
      <c r="C1790">
        <v>1142.02</v>
      </c>
      <c r="E1790" s="80">
        <v>45704</v>
      </c>
      <c r="F1790">
        <v>2011310</v>
      </c>
      <c r="G1790">
        <v>5377.32</v>
      </c>
    </row>
    <row r="1791" spans="1:7" x14ac:dyDescent="0.3">
      <c r="A1791" s="80">
        <v>45717</v>
      </c>
      <c r="B1791">
        <v>3010212</v>
      </c>
      <c r="C1791">
        <v>1142.02</v>
      </c>
      <c r="E1791" s="80">
        <v>45703</v>
      </c>
      <c r="F1791">
        <v>2011310</v>
      </c>
      <c r="G1791">
        <v>3829.01</v>
      </c>
    </row>
    <row r="1792" spans="1:7" x14ac:dyDescent="0.3">
      <c r="A1792" s="80">
        <v>45717</v>
      </c>
      <c r="B1792">
        <v>3010212</v>
      </c>
      <c r="C1792">
        <v>1142.02</v>
      </c>
      <c r="E1792" s="80">
        <v>45703</v>
      </c>
      <c r="F1792">
        <v>2011310</v>
      </c>
      <c r="G1792">
        <v>5425.32</v>
      </c>
    </row>
    <row r="1793" spans="1:7" x14ac:dyDescent="0.3">
      <c r="A1793" s="80">
        <v>45717</v>
      </c>
      <c r="B1793">
        <v>3010212</v>
      </c>
      <c r="C1793">
        <v>1142.02</v>
      </c>
      <c r="E1793" s="80">
        <v>45703</v>
      </c>
      <c r="F1793">
        <v>2011310</v>
      </c>
      <c r="G1793">
        <v>5106.32</v>
      </c>
    </row>
    <row r="1794" spans="1:7" x14ac:dyDescent="0.3">
      <c r="A1794" s="80">
        <v>45716</v>
      </c>
      <c r="B1794">
        <v>3010212</v>
      </c>
      <c r="C1794">
        <v>1142.02</v>
      </c>
      <c r="E1794" s="80">
        <v>45703</v>
      </c>
      <c r="F1794">
        <v>2011310</v>
      </c>
      <c r="G1794">
        <v>5106.32</v>
      </c>
    </row>
    <row r="1795" spans="1:7" x14ac:dyDescent="0.3">
      <c r="A1795" s="80">
        <v>45716</v>
      </c>
      <c r="B1795">
        <v>3010212</v>
      </c>
      <c r="C1795">
        <v>1142.02</v>
      </c>
      <c r="E1795" s="80">
        <v>45702</v>
      </c>
      <c r="F1795">
        <v>2011310</v>
      </c>
      <c r="G1795">
        <v>4788.32</v>
      </c>
    </row>
    <row r="1796" spans="1:7" x14ac:dyDescent="0.3">
      <c r="A1796" s="80">
        <v>45716</v>
      </c>
      <c r="B1796">
        <v>3010212</v>
      </c>
      <c r="C1796">
        <v>827.86</v>
      </c>
      <c r="E1796" s="80">
        <v>45702</v>
      </c>
      <c r="F1796">
        <v>2011310</v>
      </c>
      <c r="G1796">
        <v>3990</v>
      </c>
    </row>
    <row r="1797" spans="1:7" x14ac:dyDescent="0.3">
      <c r="A1797" s="80">
        <v>45716</v>
      </c>
      <c r="B1797">
        <v>3010212</v>
      </c>
      <c r="C1797">
        <v>1142.02</v>
      </c>
      <c r="E1797" s="80">
        <v>45701</v>
      </c>
      <c r="F1797">
        <v>2011310</v>
      </c>
      <c r="G1797">
        <v>4172.09</v>
      </c>
    </row>
    <row r="1798" spans="1:7" x14ac:dyDescent="0.3">
      <c r="A1798" s="80">
        <v>45716</v>
      </c>
      <c r="B1798">
        <v>3010212</v>
      </c>
      <c r="C1798">
        <v>1142.02</v>
      </c>
      <c r="E1798" s="80">
        <v>45701</v>
      </c>
      <c r="F1798">
        <v>2011310</v>
      </c>
      <c r="G1798">
        <v>4156.09</v>
      </c>
    </row>
    <row r="1799" spans="1:7" x14ac:dyDescent="0.3">
      <c r="A1799" s="80">
        <v>45716</v>
      </c>
      <c r="B1799">
        <v>3010212</v>
      </c>
      <c r="C1799">
        <v>380.42</v>
      </c>
      <c r="E1799" s="80">
        <v>45701</v>
      </c>
      <c r="F1799">
        <v>2011310</v>
      </c>
      <c r="G1799">
        <v>3789.09</v>
      </c>
    </row>
    <row r="1800" spans="1:7" x14ac:dyDescent="0.3">
      <c r="A1800" s="80">
        <v>45716</v>
      </c>
      <c r="B1800">
        <v>3010212</v>
      </c>
      <c r="C1800">
        <v>1142.02</v>
      </c>
      <c r="E1800" s="80">
        <v>45699</v>
      </c>
      <c r="F1800">
        <v>2011310</v>
      </c>
      <c r="G1800">
        <v>4788.32</v>
      </c>
    </row>
    <row r="1801" spans="1:7" x14ac:dyDescent="0.3">
      <c r="A1801" s="80">
        <v>45716</v>
      </c>
      <c r="B1801">
        <v>3010212</v>
      </c>
      <c r="C1801">
        <v>1142.02</v>
      </c>
      <c r="E1801" s="80">
        <v>45699</v>
      </c>
      <c r="F1801">
        <v>2011310</v>
      </c>
      <c r="G1801">
        <v>4028.09</v>
      </c>
    </row>
    <row r="1802" spans="1:7" x14ac:dyDescent="0.3">
      <c r="A1802" s="80">
        <v>45715</v>
      </c>
      <c r="B1802">
        <v>3010212</v>
      </c>
      <c r="C1802">
        <v>827.86</v>
      </c>
      <c r="E1802" s="80">
        <v>45699</v>
      </c>
      <c r="F1802">
        <v>2011310</v>
      </c>
      <c r="G1802">
        <v>3471.09</v>
      </c>
    </row>
    <row r="1803" spans="1:7" x14ac:dyDescent="0.3">
      <c r="A1803" s="80">
        <v>45715</v>
      </c>
      <c r="B1803">
        <v>3010212</v>
      </c>
      <c r="C1803">
        <v>1142.02</v>
      </c>
      <c r="E1803" s="80">
        <v>45699</v>
      </c>
      <c r="F1803">
        <v>2011310</v>
      </c>
      <c r="G1803">
        <v>2312.04</v>
      </c>
    </row>
    <row r="1804" spans="1:7" x14ac:dyDescent="0.3">
      <c r="A1804" s="80">
        <v>45715</v>
      </c>
      <c r="B1804">
        <v>3010212</v>
      </c>
      <c r="C1804">
        <v>1142.02</v>
      </c>
      <c r="E1804" s="80">
        <v>45698</v>
      </c>
      <c r="F1804">
        <v>2011310</v>
      </c>
      <c r="G1804">
        <v>3471.09</v>
      </c>
    </row>
    <row r="1805" spans="1:7" x14ac:dyDescent="0.3">
      <c r="A1805" s="80">
        <v>45715</v>
      </c>
      <c r="B1805">
        <v>3010212</v>
      </c>
      <c r="C1805">
        <v>1142.02</v>
      </c>
      <c r="E1805" s="80">
        <v>45698</v>
      </c>
      <c r="F1805">
        <v>2011310</v>
      </c>
      <c r="G1805">
        <v>3350.02</v>
      </c>
    </row>
    <row r="1806" spans="1:7" x14ac:dyDescent="0.3">
      <c r="A1806" s="80">
        <v>45714</v>
      </c>
      <c r="B1806">
        <v>3010212</v>
      </c>
      <c r="C1806">
        <v>1142.02</v>
      </c>
      <c r="E1806" s="80">
        <v>45698</v>
      </c>
      <c r="F1806">
        <v>2011310</v>
      </c>
      <c r="G1806">
        <v>3789.09</v>
      </c>
    </row>
    <row r="1807" spans="1:7" x14ac:dyDescent="0.3">
      <c r="A1807" s="80">
        <v>45714</v>
      </c>
      <c r="B1807">
        <v>3010212</v>
      </c>
      <c r="C1807">
        <v>380.42</v>
      </c>
      <c r="E1807" s="80">
        <v>45698</v>
      </c>
      <c r="F1807">
        <v>2011310</v>
      </c>
      <c r="G1807">
        <v>4220.09</v>
      </c>
    </row>
    <row r="1808" spans="1:7" x14ac:dyDescent="0.3">
      <c r="A1808" s="80">
        <v>45714</v>
      </c>
      <c r="B1808">
        <v>3010212</v>
      </c>
      <c r="C1808">
        <v>1142.02</v>
      </c>
      <c r="E1808" s="80">
        <v>45698</v>
      </c>
      <c r="F1808">
        <v>2011310</v>
      </c>
      <c r="G1808">
        <v>3471.09</v>
      </c>
    </row>
    <row r="1809" spans="1:7" x14ac:dyDescent="0.3">
      <c r="A1809" s="80">
        <v>45714</v>
      </c>
      <c r="B1809">
        <v>3010212</v>
      </c>
      <c r="C1809">
        <v>1142.02</v>
      </c>
      <c r="E1809" s="80">
        <v>45698</v>
      </c>
      <c r="F1809">
        <v>2011310</v>
      </c>
      <c r="G1809">
        <v>3032.02</v>
      </c>
    </row>
    <row r="1810" spans="1:7" x14ac:dyDescent="0.3">
      <c r="A1810" s="80">
        <v>45713</v>
      </c>
      <c r="B1810">
        <v>3010212</v>
      </c>
      <c r="C1810">
        <v>1142.02</v>
      </c>
      <c r="E1810" s="80">
        <v>45697</v>
      </c>
      <c r="F1810">
        <v>2011310</v>
      </c>
      <c r="G1810">
        <v>3471.09</v>
      </c>
    </row>
    <row r="1811" spans="1:7" x14ac:dyDescent="0.3">
      <c r="A1811" s="80">
        <v>45713</v>
      </c>
      <c r="B1811">
        <v>3010212</v>
      </c>
      <c r="C1811">
        <v>1142.02</v>
      </c>
      <c r="E1811" s="80">
        <v>45697</v>
      </c>
      <c r="F1811">
        <v>2011310</v>
      </c>
      <c r="G1811">
        <v>4788.32</v>
      </c>
    </row>
    <row r="1812" spans="1:7" x14ac:dyDescent="0.3">
      <c r="A1812" s="80">
        <v>45713</v>
      </c>
      <c r="B1812">
        <v>3010212</v>
      </c>
      <c r="C1812">
        <v>1142.02</v>
      </c>
      <c r="E1812" s="80">
        <v>45696</v>
      </c>
      <c r="F1812">
        <v>2011310</v>
      </c>
      <c r="G1812">
        <v>3032.02</v>
      </c>
    </row>
    <row r="1813" spans="1:7" x14ac:dyDescent="0.3">
      <c r="A1813" s="80">
        <v>45713</v>
      </c>
      <c r="B1813">
        <v>3010212</v>
      </c>
      <c r="C1813">
        <v>1142.02</v>
      </c>
      <c r="E1813" s="80">
        <v>45696</v>
      </c>
      <c r="F1813">
        <v>2011310</v>
      </c>
      <c r="G1813">
        <v>4788.32</v>
      </c>
    </row>
    <row r="1814" spans="1:7" x14ac:dyDescent="0.3">
      <c r="A1814" s="80">
        <v>45712</v>
      </c>
      <c r="B1814">
        <v>3010212</v>
      </c>
      <c r="C1814">
        <v>1142.02</v>
      </c>
      <c r="E1814" s="80">
        <v>45696</v>
      </c>
      <c r="F1814">
        <v>2011310</v>
      </c>
      <c r="G1814">
        <v>5425.32</v>
      </c>
    </row>
    <row r="1815" spans="1:7" x14ac:dyDescent="0.3">
      <c r="A1815" s="80">
        <v>45712</v>
      </c>
      <c r="B1815">
        <v>3010212</v>
      </c>
      <c r="C1815">
        <v>1142.02</v>
      </c>
      <c r="E1815" s="80">
        <v>45696</v>
      </c>
      <c r="F1815">
        <v>2011310</v>
      </c>
      <c r="G1815">
        <v>3789.09</v>
      </c>
    </row>
    <row r="1816" spans="1:7" x14ac:dyDescent="0.3">
      <c r="A1816" s="80">
        <v>45712</v>
      </c>
      <c r="B1816">
        <v>3010212</v>
      </c>
      <c r="C1816">
        <v>1027.82</v>
      </c>
      <c r="E1816" s="80">
        <v>45696</v>
      </c>
      <c r="F1816">
        <v>2011310</v>
      </c>
      <c r="G1816">
        <v>5569.32</v>
      </c>
    </row>
    <row r="1817" spans="1:7" x14ac:dyDescent="0.3">
      <c r="A1817" s="80">
        <v>45712</v>
      </c>
      <c r="B1817">
        <v>3010212</v>
      </c>
      <c r="C1817">
        <v>837.38</v>
      </c>
      <c r="E1817" s="80">
        <v>45695</v>
      </c>
      <c r="F1817">
        <v>2011310</v>
      </c>
      <c r="G1817">
        <v>5744.32</v>
      </c>
    </row>
    <row r="1818" spans="1:7" x14ac:dyDescent="0.3">
      <c r="A1818" s="80">
        <v>45712</v>
      </c>
      <c r="B1818">
        <v>3010212</v>
      </c>
      <c r="C1818">
        <v>1142.02</v>
      </c>
      <c r="E1818" s="80">
        <v>45695</v>
      </c>
      <c r="F1818">
        <v>2011310</v>
      </c>
      <c r="G1818">
        <v>5106.32</v>
      </c>
    </row>
    <row r="1819" spans="1:7" x14ac:dyDescent="0.3">
      <c r="A1819" s="80">
        <v>45711</v>
      </c>
      <c r="B1819">
        <v>3010212</v>
      </c>
      <c r="C1819">
        <v>1142.02</v>
      </c>
      <c r="E1819" s="80">
        <v>45695</v>
      </c>
      <c r="F1819">
        <v>2011310</v>
      </c>
      <c r="G1819">
        <v>4788.32</v>
      </c>
    </row>
    <row r="1820" spans="1:7" x14ac:dyDescent="0.3">
      <c r="A1820" s="80">
        <v>45711</v>
      </c>
      <c r="B1820">
        <v>3010212</v>
      </c>
      <c r="C1820">
        <v>1142.02</v>
      </c>
      <c r="E1820" s="80">
        <v>45695</v>
      </c>
      <c r="F1820">
        <v>2011310</v>
      </c>
      <c r="G1820">
        <v>5361.32</v>
      </c>
    </row>
    <row r="1821" spans="1:7" x14ac:dyDescent="0.3">
      <c r="A1821" s="80">
        <v>45710</v>
      </c>
      <c r="B1821">
        <v>3010212</v>
      </c>
      <c r="C1821">
        <v>1142.02</v>
      </c>
      <c r="E1821" s="80">
        <v>45695</v>
      </c>
      <c r="F1821">
        <v>2011310</v>
      </c>
      <c r="G1821">
        <v>5106.32</v>
      </c>
    </row>
    <row r="1822" spans="1:7" x14ac:dyDescent="0.3">
      <c r="A1822" s="80">
        <v>45710</v>
      </c>
      <c r="B1822">
        <v>3010212</v>
      </c>
      <c r="C1822">
        <v>1142.02</v>
      </c>
      <c r="E1822" s="80">
        <v>45695</v>
      </c>
      <c r="F1822">
        <v>2011310</v>
      </c>
      <c r="G1822">
        <v>4788.32</v>
      </c>
    </row>
    <row r="1823" spans="1:7" x14ac:dyDescent="0.3">
      <c r="A1823" s="80">
        <v>45710</v>
      </c>
      <c r="B1823">
        <v>3010212</v>
      </c>
      <c r="C1823">
        <v>1142.02</v>
      </c>
      <c r="E1823" s="80">
        <v>45694</v>
      </c>
      <c r="F1823">
        <v>2011310</v>
      </c>
      <c r="G1823">
        <v>5377.32</v>
      </c>
    </row>
    <row r="1824" spans="1:7" x14ac:dyDescent="0.3">
      <c r="A1824" s="80">
        <v>45710</v>
      </c>
      <c r="B1824">
        <v>3010212</v>
      </c>
      <c r="C1824">
        <v>1142.02</v>
      </c>
      <c r="E1824" s="80">
        <v>45694</v>
      </c>
      <c r="F1824">
        <v>2011310</v>
      </c>
      <c r="G1824">
        <v>5473.32</v>
      </c>
    </row>
    <row r="1825" spans="1:7" x14ac:dyDescent="0.3">
      <c r="A1825" s="80">
        <v>45710</v>
      </c>
      <c r="B1825">
        <v>3010212</v>
      </c>
      <c r="C1825">
        <v>1142.02</v>
      </c>
      <c r="E1825" s="80">
        <v>45694</v>
      </c>
      <c r="F1825">
        <v>2011310</v>
      </c>
      <c r="G1825">
        <v>5106.32</v>
      </c>
    </row>
    <row r="1826" spans="1:7" x14ac:dyDescent="0.3">
      <c r="A1826" s="80">
        <v>45710</v>
      </c>
      <c r="B1826">
        <v>3010212</v>
      </c>
      <c r="C1826">
        <v>1142.02</v>
      </c>
      <c r="E1826" s="80">
        <v>45694</v>
      </c>
      <c r="F1826">
        <v>2011310</v>
      </c>
      <c r="G1826">
        <v>3789.09</v>
      </c>
    </row>
    <row r="1827" spans="1:7" x14ac:dyDescent="0.3">
      <c r="A1827" s="80">
        <v>45710</v>
      </c>
      <c r="B1827">
        <v>3010212</v>
      </c>
      <c r="C1827">
        <v>1142.02</v>
      </c>
      <c r="E1827" s="80">
        <v>45694</v>
      </c>
      <c r="F1827">
        <v>2011310</v>
      </c>
      <c r="G1827">
        <v>5106.32</v>
      </c>
    </row>
    <row r="1828" spans="1:7" x14ac:dyDescent="0.3">
      <c r="A1828" s="80">
        <v>45710</v>
      </c>
      <c r="B1828">
        <v>3010212</v>
      </c>
      <c r="C1828">
        <v>1142.02</v>
      </c>
      <c r="E1828" s="80">
        <v>45694</v>
      </c>
      <c r="F1828">
        <v>2011310</v>
      </c>
      <c r="G1828">
        <v>1595.04</v>
      </c>
    </row>
    <row r="1829" spans="1:7" x14ac:dyDescent="0.3">
      <c r="A1829" s="80">
        <v>45710</v>
      </c>
      <c r="B1829">
        <v>3010212</v>
      </c>
      <c r="C1829">
        <v>1027.82</v>
      </c>
      <c r="E1829" s="80">
        <v>45694</v>
      </c>
      <c r="F1829">
        <v>2011310</v>
      </c>
      <c r="G1829">
        <v>5473.32</v>
      </c>
    </row>
    <row r="1830" spans="1:7" x14ac:dyDescent="0.3">
      <c r="A1830" s="80">
        <v>45710</v>
      </c>
      <c r="B1830">
        <v>3010212</v>
      </c>
      <c r="C1830">
        <v>1142.02</v>
      </c>
      <c r="E1830" s="80">
        <v>45694</v>
      </c>
      <c r="F1830">
        <v>2011310</v>
      </c>
      <c r="G1830">
        <v>6942.18</v>
      </c>
    </row>
    <row r="1831" spans="1:7" x14ac:dyDescent="0.3">
      <c r="A1831" s="80">
        <v>45709</v>
      </c>
      <c r="B1831">
        <v>3010212</v>
      </c>
      <c r="C1831">
        <v>1142.02</v>
      </c>
      <c r="E1831" s="80">
        <v>45694</v>
      </c>
      <c r="F1831">
        <v>2011310</v>
      </c>
      <c r="G1831">
        <v>4788.32</v>
      </c>
    </row>
    <row r="1832" spans="1:7" x14ac:dyDescent="0.3">
      <c r="A1832" s="80">
        <v>45709</v>
      </c>
      <c r="B1832">
        <v>3010212</v>
      </c>
      <c r="C1832">
        <v>1142.02</v>
      </c>
      <c r="E1832" s="80">
        <v>45694</v>
      </c>
      <c r="F1832">
        <v>2011310</v>
      </c>
      <c r="G1832">
        <v>4788.32</v>
      </c>
    </row>
    <row r="1833" spans="1:7" x14ac:dyDescent="0.3">
      <c r="A1833" s="80">
        <v>45709</v>
      </c>
      <c r="B1833">
        <v>3010212</v>
      </c>
      <c r="C1833">
        <v>380.42</v>
      </c>
      <c r="E1833" s="80">
        <v>45694</v>
      </c>
      <c r="F1833">
        <v>2011310</v>
      </c>
      <c r="G1833">
        <v>5106.32</v>
      </c>
    </row>
    <row r="1834" spans="1:7" x14ac:dyDescent="0.3">
      <c r="A1834" s="80">
        <v>45709</v>
      </c>
      <c r="B1834">
        <v>3010212</v>
      </c>
      <c r="C1834">
        <v>1142.02</v>
      </c>
      <c r="E1834" s="80">
        <v>45693</v>
      </c>
      <c r="F1834">
        <v>2011310</v>
      </c>
      <c r="G1834">
        <v>5425.32</v>
      </c>
    </row>
    <row r="1835" spans="1:7" x14ac:dyDescent="0.3">
      <c r="A1835" s="80">
        <v>45709</v>
      </c>
      <c r="B1835">
        <v>3010212</v>
      </c>
      <c r="C1835">
        <v>1142.02</v>
      </c>
      <c r="E1835" s="80">
        <v>45693</v>
      </c>
      <c r="F1835">
        <v>2011310</v>
      </c>
      <c r="G1835">
        <v>5377.32</v>
      </c>
    </row>
    <row r="1836" spans="1:7" x14ac:dyDescent="0.3">
      <c r="A1836" s="80">
        <v>45709</v>
      </c>
      <c r="B1836">
        <v>3010212</v>
      </c>
      <c r="C1836">
        <v>1142.02</v>
      </c>
      <c r="E1836" s="80">
        <v>45693</v>
      </c>
      <c r="F1836">
        <v>2011310</v>
      </c>
      <c r="G1836">
        <v>5824.32</v>
      </c>
    </row>
    <row r="1837" spans="1:7" x14ac:dyDescent="0.3">
      <c r="A1837" s="80">
        <v>45709</v>
      </c>
      <c r="B1837">
        <v>3010212</v>
      </c>
      <c r="C1837">
        <v>1142.02</v>
      </c>
      <c r="E1837" s="80">
        <v>45693</v>
      </c>
      <c r="F1837">
        <v>2011310</v>
      </c>
      <c r="G1837">
        <v>3471.09</v>
      </c>
    </row>
    <row r="1838" spans="1:7" x14ac:dyDescent="0.3">
      <c r="A1838" s="80">
        <v>45709</v>
      </c>
      <c r="B1838">
        <v>3010212</v>
      </c>
      <c r="C1838">
        <v>1142.02</v>
      </c>
      <c r="E1838" s="80">
        <v>45693</v>
      </c>
      <c r="F1838">
        <v>2011310</v>
      </c>
      <c r="G1838">
        <v>4060.09</v>
      </c>
    </row>
    <row r="1839" spans="1:7" x14ac:dyDescent="0.3">
      <c r="A1839" s="80">
        <v>45709</v>
      </c>
      <c r="B1839">
        <v>3010212</v>
      </c>
      <c r="C1839">
        <v>1142.02</v>
      </c>
      <c r="E1839" s="80">
        <v>45693</v>
      </c>
      <c r="F1839">
        <v>2011310</v>
      </c>
      <c r="G1839">
        <v>3471.09</v>
      </c>
    </row>
    <row r="1840" spans="1:7" x14ac:dyDescent="0.3">
      <c r="A1840" s="80">
        <v>45709</v>
      </c>
      <c r="B1840">
        <v>3010212</v>
      </c>
      <c r="C1840">
        <v>1142.02</v>
      </c>
      <c r="E1840" s="80">
        <v>45693</v>
      </c>
      <c r="F1840">
        <v>2011310</v>
      </c>
      <c r="G1840">
        <v>5553.32</v>
      </c>
    </row>
    <row r="1841" spans="1:7" x14ac:dyDescent="0.3">
      <c r="A1841" s="80">
        <v>45709</v>
      </c>
      <c r="B1841">
        <v>3010212</v>
      </c>
      <c r="C1841">
        <v>1142.02</v>
      </c>
      <c r="E1841" s="80">
        <v>45693</v>
      </c>
      <c r="F1841">
        <v>2011310</v>
      </c>
      <c r="G1841">
        <v>5473.32</v>
      </c>
    </row>
    <row r="1842" spans="1:7" x14ac:dyDescent="0.3">
      <c r="A1842" s="80">
        <v>45709</v>
      </c>
      <c r="B1842">
        <v>3010212</v>
      </c>
      <c r="C1842">
        <v>1142.02</v>
      </c>
      <c r="E1842" s="80">
        <v>45693</v>
      </c>
      <c r="F1842">
        <v>2011310</v>
      </c>
      <c r="G1842">
        <v>5106.32</v>
      </c>
    </row>
    <row r="1843" spans="1:7" x14ac:dyDescent="0.3">
      <c r="A1843" s="80">
        <v>45708</v>
      </c>
      <c r="B1843">
        <v>3010212</v>
      </c>
      <c r="C1843">
        <v>1142.02</v>
      </c>
      <c r="E1843" s="80">
        <v>45693</v>
      </c>
      <c r="F1843">
        <v>2011310</v>
      </c>
      <c r="G1843">
        <v>5473.32</v>
      </c>
    </row>
    <row r="1844" spans="1:7" x14ac:dyDescent="0.3">
      <c r="A1844" s="80">
        <v>45708</v>
      </c>
      <c r="B1844">
        <v>3010212</v>
      </c>
      <c r="C1844">
        <v>1142.02</v>
      </c>
      <c r="E1844" s="80">
        <v>45693</v>
      </c>
      <c r="F1844">
        <v>2011310</v>
      </c>
      <c r="G1844">
        <v>3471.09</v>
      </c>
    </row>
    <row r="1845" spans="1:7" x14ac:dyDescent="0.3">
      <c r="A1845" s="80">
        <v>45708</v>
      </c>
      <c r="B1845">
        <v>3010212</v>
      </c>
      <c r="C1845">
        <v>1142.02</v>
      </c>
      <c r="E1845" s="80">
        <v>45692</v>
      </c>
      <c r="F1845">
        <v>2011310</v>
      </c>
      <c r="G1845">
        <v>3789.09</v>
      </c>
    </row>
    <row r="1846" spans="1:7" x14ac:dyDescent="0.3">
      <c r="A1846" s="80">
        <v>45708</v>
      </c>
      <c r="B1846">
        <v>3010212</v>
      </c>
      <c r="C1846">
        <v>837.38</v>
      </c>
      <c r="E1846" s="80">
        <v>45692</v>
      </c>
      <c r="F1846">
        <v>2011310</v>
      </c>
      <c r="G1846">
        <v>3471.09</v>
      </c>
    </row>
    <row r="1847" spans="1:7" x14ac:dyDescent="0.3">
      <c r="A1847" s="80">
        <v>45708</v>
      </c>
      <c r="B1847">
        <v>3010212</v>
      </c>
      <c r="C1847">
        <v>1142.02</v>
      </c>
      <c r="E1847" s="80">
        <v>45692</v>
      </c>
      <c r="F1847">
        <v>2011310</v>
      </c>
      <c r="G1847">
        <v>3789.09</v>
      </c>
    </row>
    <row r="1848" spans="1:7" x14ac:dyDescent="0.3">
      <c r="A1848" s="80">
        <v>45708</v>
      </c>
      <c r="B1848">
        <v>3010212</v>
      </c>
      <c r="C1848">
        <v>951.62</v>
      </c>
      <c r="E1848" s="80">
        <v>45692</v>
      </c>
      <c r="F1848">
        <v>2011310</v>
      </c>
      <c r="G1848">
        <v>6399.32</v>
      </c>
    </row>
    <row r="1849" spans="1:7" x14ac:dyDescent="0.3">
      <c r="A1849" s="80">
        <v>45708</v>
      </c>
      <c r="B1849">
        <v>3010212</v>
      </c>
      <c r="C1849">
        <v>1142.02</v>
      </c>
      <c r="E1849" s="80">
        <v>45692</v>
      </c>
      <c r="F1849">
        <v>2011310</v>
      </c>
      <c r="G1849">
        <v>4627.49</v>
      </c>
    </row>
    <row r="1850" spans="1:7" x14ac:dyDescent="0.3">
      <c r="A1850" s="80">
        <v>45707</v>
      </c>
      <c r="B1850">
        <v>3010212</v>
      </c>
      <c r="C1850">
        <v>837.38</v>
      </c>
      <c r="E1850" s="80">
        <v>45692</v>
      </c>
      <c r="F1850">
        <v>2011310</v>
      </c>
      <c r="G1850">
        <v>5106.32</v>
      </c>
    </row>
    <row r="1851" spans="1:7" x14ac:dyDescent="0.3">
      <c r="A1851" s="80">
        <v>45705</v>
      </c>
      <c r="B1851">
        <v>3010212</v>
      </c>
      <c r="C1851">
        <v>837.38</v>
      </c>
      <c r="E1851" s="80">
        <v>45692</v>
      </c>
      <c r="F1851">
        <v>2011310</v>
      </c>
      <c r="G1851">
        <v>5361.32</v>
      </c>
    </row>
    <row r="1852" spans="1:7" x14ac:dyDescent="0.3">
      <c r="A1852" s="80">
        <v>45705</v>
      </c>
      <c r="B1852">
        <v>3010212</v>
      </c>
      <c r="C1852">
        <v>1142.02</v>
      </c>
      <c r="E1852" s="80">
        <v>45692</v>
      </c>
      <c r="F1852">
        <v>2011310</v>
      </c>
      <c r="G1852">
        <v>5473.32</v>
      </c>
    </row>
    <row r="1853" spans="1:7" x14ac:dyDescent="0.3">
      <c r="A1853" s="80">
        <v>45705</v>
      </c>
      <c r="B1853">
        <v>3010212</v>
      </c>
      <c r="C1853">
        <v>837.38</v>
      </c>
      <c r="E1853" s="80">
        <v>45691</v>
      </c>
      <c r="F1853">
        <v>2011310</v>
      </c>
      <c r="G1853">
        <v>4044.09</v>
      </c>
    </row>
    <row r="1854" spans="1:7" x14ac:dyDescent="0.3">
      <c r="A1854" s="80">
        <v>45704</v>
      </c>
      <c r="B1854">
        <v>3010212</v>
      </c>
      <c r="C1854">
        <v>837.38</v>
      </c>
      <c r="E1854" s="80">
        <v>45691</v>
      </c>
      <c r="F1854">
        <v>2011310</v>
      </c>
      <c r="G1854">
        <v>5106.32</v>
      </c>
    </row>
    <row r="1855" spans="1:7" x14ac:dyDescent="0.3">
      <c r="A1855" s="80">
        <v>45704</v>
      </c>
      <c r="B1855">
        <v>3010212</v>
      </c>
      <c r="C1855">
        <v>951.62</v>
      </c>
      <c r="E1855" s="80">
        <v>45691</v>
      </c>
      <c r="F1855">
        <v>2011310</v>
      </c>
      <c r="G1855">
        <v>3471.09</v>
      </c>
    </row>
    <row r="1856" spans="1:7" x14ac:dyDescent="0.3">
      <c r="A1856" s="80">
        <v>45704</v>
      </c>
      <c r="B1856">
        <v>3010212</v>
      </c>
      <c r="C1856">
        <v>1142.02</v>
      </c>
      <c r="E1856" s="80">
        <v>45691</v>
      </c>
      <c r="F1856">
        <v>2011310</v>
      </c>
      <c r="G1856">
        <v>4788.32</v>
      </c>
    </row>
    <row r="1857" spans="1:7" x14ac:dyDescent="0.3">
      <c r="A1857" s="80">
        <v>45703</v>
      </c>
      <c r="B1857">
        <v>3010212</v>
      </c>
      <c r="C1857">
        <v>837.38</v>
      </c>
      <c r="E1857" s="80">
        <v>45691</v>
      </c>
      <c r="F1857">
        <v>2011310</v>
      </c>
      <c r="G1857">
        <v>3789.09</v>
      </c>
    </row>
    <row r="1858" spans="1:7" x14ac:dyDescent="0.3">
      <c r="A1858" s="80">
        <v>45703</v>
      </c>
      <c r="B1858">
        <v>3010212</v>
      </c>
      <c r="C1858">
        <v>1142.02</v>
      </c>
      <c r="E1858" s="80">
        <v>45691</v>
      </c>
      <c r="F1858">
        <v>2011310</v>
      </c>
      <c r="G1858">
        <v>5473.32</v>
      </c>
    </row>
    <row r="1859" spans="1:7" x14ac:dyDescent="0.3">
      <c r="A1859" s="80">
        <v>45703</v>
      </c>
      <c r="B1859">
        <v>3010212</v>
      </c>
      <c r="C1859">
        <v>1142.02</v>
      </c>
      <c r="E1859" s="80">
        <v>45690</v>
      </c>
      <c r="F1859">
        <v>2011310</v>
      </c>
      <c r="G1859">
        <v>5537.32</v>
      </c>
    </row>
    <row r="1860" spans="1:7" x14ac:dyDescent="0.3">
      <c r="A1860" s="80">
        <v>45703</v>
      </c>
      <c r="B1860">
        <v>3010212</v>
      </c>
      <c r="C1860">
        <v>1142.02</v>
      </c>
      <c r="E1860" s="80">
        <v>45690</v>
      </c>
      <c r="F1860">
        <v>2011310</v>
      </c>
      <c r="G1860">
        <v>5267.31</v>
      </c>
    </row>
    <row r="1861" spans="1:7" x14ac:dyDescent="0.3">
      <c r="A1861" s="80">
        <v>45702</v>
      </c>
      <c r="B1861">
        <v>3010212</v>
      </c>
      <c r="C1861">
        <v>1142.02</v>
      </c>
      <c r="E1861" s="80">
        <v>45690</v>
      </c>
      <c r="F1861">
        <v>2011310</v>
      </c>
      <c r="G1861">
        <v>3789.09</v>
      </c>
    </row>
    <row r="1862" spans="1:7" x14ac:dyDescent="0.3">
      <c r="A1862" s="80">
        <v>45702</v>
      </c>
      <c r="B1862">
        <v>3010212</v>
      </c>
      <c r="C1862">
        <v>951.62</v>
      </c>
      <c r="E1862" s="80">
        <v>45690</v>
      </c>
      <c r="F1862">
        <v>2011310</v>
      </c>
      <c r="G1862">
        <v>5505.32</v>
      </c>
    </row>
    <row r="1863" spans="1:7" x14ac:dyDescent="0.3">
      <c r="A1863" s="80">
        <v>45701</v>
      </c>
      <c r="B1863">
        <v>3010212</v>
      </c>
      <c r="C1863">
        <v>827.86</v>
      </c>
      <c r="E1863" s="80">
        <v>45690</v>
      </c>
      <c r="F1863">
        <v>2011310</v>
      </c>
      <c r="G1863">
        <v>5425.32</v>
      </c>
    </row>
    <row r="1864" spans="1:7" x14ac:dyDescent="0.3">
      <c r="A1864" s="80">
        <v>45701</v>
      </c>
      <c r="B1864">
        <v>3010212</v>
      </c>
      <c r="C1864">
        <v>827.86</v>
      </c>
      <c r="E1864" s="80">
        <v>45690</v>
      </c>
      <c r="F1864">
        <v>2011310</v>
      </c>
      <c r="G1864">
        <v>5106.32</v>
      </c>
    </row>
    <row r="1865" spans="1:7" x14ac:dyDescent="0.3">
      <c r="A1865" s="80">
        <v>45701</v>
      </c>
      <c r="B1865">
        <v>3010212</v>
      </c>
      <c r="C1865">
        <v>827.86</v>
      </c>
      <c r="E1865" s="80">
        <v>45690</v>
      </c>
      <c r="F1865">
        <v>2011310</v>
      </c>
      <c r="G1865">
        <v>5361.32</v>
      </c>
    </row>
    <row r="1866" spans="1:7" x14ac:dyDescent="0.3">
      <c r="A1866" s="80">
        <v>45699</v>
      </c>
      <c r="B1866">
        <v>3010212</v>
      </c>
      <c r="C1866">
        <v>1142.02</v>
      </c>
      <c r="E1866" s="80">
        <v>45690</v>
      </c>
      <c r="F1866">
        <v>2011310</v>
      </c>
      <c r="G1866">
        <v>5106.32</v>
      </c>
    </row>
    <row r="1867" spans="1:7" x14ac:dyDescent="0.3">
      <c r="A1867" s="80">
        <v>45699</v>
      </c>
      <c r="B1867">
        <v>3010212</v>
      </c>
      <c r="C1867">
        <v>827.86</v>
      </c>
      <c r="E1867" s="80">
        <v>45690</v>
      </c>
      <c r="F1867">
        <v>2011310</v>
      </c>
      <c r="G1867">
        <v>5106.32</v>
      </c>
    </row>
    <row r="1868" spans="1:7" x14ac:dyDescent="0.3">
      <c r="A1868" s="80">
        <v>45699</v>
      </c>
      <c r="B1868">
        <v>3010212</v>
      </c>
      <c r="C1868">
        <v>827.86</v>
      </c>
      <c r="E1868" s="80">
        <v>45690</v>
      </c>
      <c r="F1868">
        <v>2011310</v>
      </c>
      <c r="G1868">
        <v>5267.31</v>
      </c>
    </row>
    <row r="1869" spans="1:7" x14ac:dyDescent="0.3">
      <c r="A1869" s="80">
        <v>45699</v>
      </c>
      <c r="B1869">
        <v>3010212</v>
      </c>
      <c r="C1869">
        <v>380.42</v>
      </c>
      <c r="E1869" s="80">
        <v>45690</v>
      </c>
      <c r="F1869">
        <v>2011310</v>
      </c>
      <c r="G1869">
        <v>5106.32</v>
      </c>
    </row>
    <row r="1870" spans="1:7" x14ac:dyDescent="0.3">
      <c r="A1870" s="80">
        <v>45698</v>
      </c>
      <c r="B1870">
        <v>3010212</v>
      </c>
      <c r="C1870">
        <v>827.86</v>
      </c>
      <c r="E1870" s="80">
        <v>45690</v>
      </c>
      <c r="F1870">
        <v>2011310</v>
      </c>
      <c r="G1870">
        <v>5393.32</v>
      </c>
    </row>
    <row r="1871" spans="1:7" x14ac:dyDescent="0.3">
      <c r="A1871" s="80">
        <v>45698</v>
      </c>
      <c r="B1871">
        <v>3010212</v>
      </c>
      <c r="C1871">
        <v>723.14</v>
      </c>
      <c r="E1871" s="80">
        <v>45690</v>
      </c>
      <c r="F1871">
        <v>2011310</v>
      </c>
      <c r="G1871">
        <v>5473.32</v>
      </c>
    </row>
    <row r="1872" spans="1:7" x14ac:dyDescent="0.3">
      <c r="A1872" s="80">
        <v>45698</v>
      </c>
      <c r="B1872">
        <v>3010212</v>
      </c>
      <c r="C1872">
        <v>827.86</v>
      </c>
      <c r="E1872" s="80">
        <v>45690</v>
      </c>
      <c r="F1872">
        <v>2011310</v>
      </c>
      <c r="G1872">
        <v>5106.32</v>
      </c>
    </row>
    <row r="1873" spans="1:7" x14ac:dyDescent="0.3">
      <c r="A1873" s="80">
        <v>45698</v>
      </c>
      <c r="B1873">
        <v>3010212</v>
      </c>
      <c r="C1873">
        <v>827.86</v>
      </c>
      <c r="E1873" s="80">
        <v>45690</v>
      </c>
      <c r="F1873">
        <v>2011310</v>
      </c>
      <c r="G1873">
        <v>5665.32</v>
      </c>
    </row>
    <row r="1874" spans="1:7" x14ac:dyDescent="0.3">
      <c r="A1874" s="80">
        <v>45698</v>
      </c>
      <c r="B1874">
        <v>3010212</v>
      </c>
      <c r="C1874">
        <v>827.86</v>
      </c>
      <c r="E1874" s="80">
        <v>45690</v>
      </c>
      <c r="F1874">
        <v>2011310</v>
      </c>
      <c r="G1874">
        <v>3471.09</v>
      </c>
    </row>
    <row r="1875" spans="1:7" x14ac:dyDescent="0.3">
      <c r="A1875" s="80">
        <v>45698</v>
      </c>
      <c r="B1875">
        <v>3010212</v>
      </c>
      <c r="C1875">
        <v>723.14</v>
      </c>
      <c r="E1875" s="80">
        <v>45690</v>
      </c>
      <c r="F1875">
        <v>2011310</v>
      </c>
      <c r="G1875">
        <v>4788.32</v>
      </c>
    </row>
    <row r="1876" spans="1:7" x14ac:dyDescent="0.3">
      <c r="A1876" s="80">
        <v>45697</v>
      </c>
      <c r="B1876">
        <v>3010212</v>
      </c>
      <c r="C1876">
        <v>827.86</v>
      </c>
      <c r="E1876" s="80">
        <v>45690</v>
      </c>
      <c r="F1876">
        <v>2011310</v>
      </c>
      <c r="G1876">
        <v>1595.04</v>
      </c>
    </row>
    <row r="1877" spans="1:7" x14ac:dyDescent="0.3">
      <c r="A1877" s="80">
        <v>45697</v>
      </c>
      <c r="B1877">
        <v>3010212</v>
      </c>
      <c r="C1877">
        <v>1142.02</v>
      </c>
      <c r="E1877" s="80">
        <v>45690</v>
      </c>
      <c r="F1877">
        <v>2011310</v>
      </c>
      <c r="G1877">
        <v>9576.64</v>
      </c>
    </row>
    <row r="1878" spans="1:7" x14ac:dyDescent="0.3">
      <c r="A1878" s="80">
        <v>45696</v>
      </c>
      <c r="B1878">
        <v>3010212</v>
      </c>
      <c r="C1878">
        <v>723.14</v>
      </c>
      <c r="E1878" s="80">
        <v>45690</v>
      </c>
      <c r="F1878">
        <v>2011310</v>
      </c>
      <c r="G1878">
        <v>4788.32</v>
      </c>
    </row>
    <row r="1879" spans="1:7" x14ac:dyDescent="0.3">
      <c r="A1879" s="80">
        <v>45696</v>
      </c>
      <c r="B1879">
        <v>3010212</v>
      </c>
      <c r="C1879">
        <v>1142.02</v>
      </c>
      <c r="E1879" s="80">
        <v>45690</v>
      </c>
      <c r="F1879">
        <v>2011310</v>
      </c>
      <c r="G1879">
        <v>4788.32</v>
      </c>
    </row>
    <row r="1880" spans="1:7" x14ac:dyDescent="0.3">
      <c r="A1880" s="80">
        <v>45696</v>
      </c>
      <c r="B1880">
        <v>3010212</v>
      </c>
      <c r="C1880">
        <v>1142.02</v>
      </c>
      <c r="E1880" s="80">
        <v>45690</v>
      </c>
      <c r="F1880">
        <v>2011310</v>
      </c>
      <c r="G1880">
        <v>5267.31</v>
      </c>
    </row>
    <row r="1881" spans="1:7" x14ac:dyDescent="0.3">
      <c r="A1881" s="80">
        <v>45696</v>
      </c>
      <c r="B1881">
        <v>3010212</v>
      </c>
      <c r="C1881">
        <v>827.86</v>
      </c>
      <c r="E1881" s="80">
        <v>45689</v>
      </c>
      <c r="F1881">
        <v>2011310</v>
      </c>
      <c r="G1881">
        <v>5267.31</v>
      </c>
    </row>
    <row r="1882" spans="1:7" x14ac:dyDescent="0.3">
      <c r="A1882" s="80">
        <v>45696</v>
      </c>
      <c r="B1882">
        <v>3010212</v>
      </c>
      <c r="C1882">
        <v>1142.02</v>
      </c>
      <c r="E1882" s="80">
        <v>45689</v>
      </c>
      <c r="F1882">
        <v>2011310</v>
      </c>
      <c r="G1882">
        <v>5425.32</v>
      </c>
    </row>
    <row r="1883" spans="1:7" x14ac:dyDescent="0.3">
      <c r="A1883" s="80">
        <v>45695</v>
      </c>
      <c r="B1883">
        <v>3010212</v>
      </c>
      <c r="C1883">
        <v>1142.02</v>
      </c>
      <c r="E1883" s="80">
        <v>45689</v>
      </c>
      <c r="F1883">
        <v>2011310</v>
      </c>
      <c r="G1883">
        <v>5267.31</v>
      </c>
    </row>
    <row r="1884" spans="1:7" x14ac:dyDescent="0.3">
      <c r="A1884" s="80">
        <v>45695</v>
      </c>
      <c r="B1884">
        <v>3010212</v>
      </c>
      <c r="C1884">
        <v>1142.02</v>
      </c>
      <c r="E1884" s="80">
        <v>45689</v>
      </c>
      <c r="F1884">
        <v>2011310</v>
      </c>
      <c r="G1884">
        <v>3789.09</v>
      </c>
    </row>
    <row r="1885" spans="1:7" x14ac:dyDescent="0.3">
      <c r="A1885" s="80">
        <v>45695</v>
      </c>
      <c r="B1885">
        <v>3010212</v>
      </c>
      <c r="C1885">
        <v>1142.02</v>
      </c>
      <c r="E1885" s="80">
        <v>45689</v>
      </c>
      <c r="F1885">
        <v>2011310</v>
      </c>
      <c r="G1885">
        <v>5106.32</v>
      </c>
    </row>
    <row r="1886" spans="1:7" x14ac:dyDescent="0.3">
      <c r="A1886" s="80">
        <v>45695</v>
      </c>
      <c r="B1886">
        <v>3010212</v>
      </c>
      <c r="C1886">
        <v>1142.02</v>
      </c>
      <c r="E1886" s="80">
        <v>45689</v>
      </c>
      <c r="F1886">
        <v>2011310</v>
      </c>
      <c r="G1886">
        <v>5106.32</v>
      </c>
    </row>
    <row r="1887" spans="1:7" x14ac:dyDescent="0.3">
      <c r="A1887" s="80">
        <v>45695</v>
      </c>
      <c r="B1887">
        <v>3010212</v>
      </c>
      <c r="C1887">
        <v>1142.02</v>
      </c>
      <c r="E1887" s="80">
        <v>45688</v>
      </c>
      <c r="F1887">
        <v>2011310</v>
      </c>
      <c r="G1887">
        <v>9576.64</v>
      </c>
    </row>
    <row r="1888" spans="1:7" x14ac:dyDescent="0.3">
      <c r="A1888" s="80">
        <v>45695</v>
      </c>
      <c r="B1888">
        <v>3010212</v>
      </c>
      <c r="C1888">
        <v>1142.02</v>
      </c>
      <c r="E1888" s="80">
        <v>45688</v>
      </c>
      <c r="F1888">
        <v>2011310</v>
      </c>
      <c r="G1888">
        <v>5106.32</v>
      </c>
    </row>
    <row r="1889" spans="1:7" x14ac:dyDescent="0.3">
      <c r="A1889" s="80">
        <v>45694</v>
      </c>
      <c r="B1889">
        <v>3010212</v>
      </c>
      <c r="C1889">
        <v>1142.02</v>
      </c>
      <c r="E1889" s="80">
        <v>45688</v>
      </c>
      <c r="F1889">
        <v>2011310</v>
      </c>
      <c r="G1889">
        <v>5510.32</v>
      </c>
    </row>
    <row r="1890" spans="1:7" x14ac:dyDescent="0.3">
      <c r="A1890" s="80">
        <v>45694</v>
      </c>
      <c r="B1890">
        <v>3010212</v>
      </c>
      <c r="C1890">
        <v>1142.02</v>
      </c>
      <c r="E1890" s="80">
        <v>45688</v>
      </c>
      <c r="F1890">
        <v>2011310</v>
      </c>
      <c r="G1890">
        <v>3471.09</v>
      </c>
    </row>
    <row r="1891" spans="1:7" x14ac:dyDescent="0.3">
      <c r="A1891" s="80">
        <v>45694</v>
      </c>
      <c r="B1891">
        <v>3010212</v>
      </c>
      <c r="C1891">
        <v>1142.02</v>
      </c>
      <c r="E1891" s="80">
        <v>45688</v>
      </c>
      <c r="F1891">
        <v>2011310</v>
      </c>
      <c r="G1891">
        <v>4788.32</v>
      </c>
    </row>
    <row r="1892" spans="1:7" x14ac:dyDescent="0.3">
      <c r="A1892" s="80">
        <v>45694</v>
      </c>
      <c r="B1892">
        <v>3010212</v>
      </c>
      <c r="C1892">
        <v>827.86</v>
      </c>
      <c r="E1892" s="80">
        <v>45688</v>
      </c>
      <c r="F1892">
        <v>2011310</v>
      </c>
      <c r="G1892">
        <v>5106.32</v>
      </c>
    </row>
    <row r="1893" spans="1:7" x14ac:dyDescent="0.3">
      <c r="A1893" s="80">
        <v>45694</v>
      </c>
      <c r="B1893">
        <v>3010212</v>
      </c>
      <c r="C1893">
        <v>1142.02</v>
      </c>
      <c r="E1893" s="80">
        <v>45687</v>
      </c>
      <c r="F1893">
        <v>2011310</v>
      </c>
      <c r="G1893">
        <v>5106.32</v>
      </c>
    </row>
    <row r="1894" spans="1:7" x14ac:dyDescent="0.3">
      <c r="A1894" s="80">
        <v>45694</v>
      </c>
      <c r="B1894">
        <v>3010212</v>
      </c>
      <c r="C1894">
        <v>380.42</v>
      </c>
      <c r="E1894" s="80">
        <v>45687</v>
      </c>
      <c r="F1894">
        <v>2011310</v>
      </c>
      <c r="G1894">
        <v>4044.09</v>
      </c>
    </row>
    <row r="1895" spans="1:7" x14ac:dyDescent="0.3">
      <c r="A1895" s="80">
        <v>45694</v>
      </c>
      <c r="B1895">
        <v>3010212</v>
      </c>
      <c r="C1895">
        <v>1142.02</v>
      </c>
      <c r="E1895" s="80">
        <v>45687</v>
      </c>
      <c r="F1895">
        <v>2011310</v>
      </c>
      <c r="G1895">
        <v>5106.32</v>
      </c>
    </row>
    <row r="1896" spans="1:7" x14ac:dyDescent="0.3">
      <c r="A1896" s="80">
        <v>45694</v>
      </c>
      <c r="B1896">
        <v>3010212</v>
      </c>
      <c r="C1896">
        <v>1655.72</v>
      </c>
      <c r="E1896" s="80">
        <v>45687</v>
      </c>
      <c r="F1896">
        <v>2011310</v>
      </c>
      <c r="G1896">
        <v>5106.32</v>
      </c>
    </row>
    <row r="1897" spans="1:7" x14ac:dyDescent="0.3">
      <c r="A1897" s="80">
        <v>45694</v>
      </c>
      <c r="B1897">
        <v>3010212</v>
      </c>
      <c r="C1897">
        <v>1142.02</v>
      </c>
      <c r="E1897" s="80">
        <v>45687</v>
      </c>
      <c r="F1897">
        <v>2011310</v>
      </c>
      <c r="G1897">
        <v>3885.09</v>
      </c>
    </row>
    <row r="1898" spans="1:7" x14ac:dyDescent="0.3">
      <c r="A1898" s="80">
        <v>45694</v>
      </c>
      <c r="B1898">
        <v>3010212</v>
      </c>
      <c r="C1898">
        <v>1142.02</v>
      </c>
      <c r="E1898" s="80">
        <v>45687</v>
      </c>
      <c r="F1898">
        <v>2011310</v>
      </c>
      <c r="G1898">
        <v>3789.09</v>
      </c>
    </row>
    <row r="1899" spans="1:7" x14ac:dyDescent="0.3">
      <c r="A1899" s="80">
        <v>45694</v>
      </c>
      <c r="B1899">
        <v>3010212</v>
      </c>
      <c r="C1899">
        <v>1142.02</v>
      </c>
      <c r="E1899" s="80">
        <v>45687</v>
      </c>
      <c r="F1899">
        <v>2011310</v>
      </c>
      <c r="G1899">
        <v>5267.31</v>
      </c>
    </row>
    <row r="1900" spans="1:7" x14ac:dyDescent="0.3">
      <c r="A1900" s="80">
        <v>45693</v>
      </c>
      <c r="B1900">
        <v>3010212</v>
      </c>
      <c r="C1900">
        <v>1142.02</v>
      </c>
      <c r="E1900" s="80">
        <v>45687</v>
      </c>
      <c r="F1900">
        <v>2011310</v>
      </c>
      <c r="G1900">
        <v>3471.09</v>
      </c>
    </row>
    <row r="1901" spans="1:7" x14ac:dyDescent="0.3">
      <c r="A1901" s="80">
        <v>45693</v>
      </c>
      <c r="B1901">
        <v>3010212</v>
      </c>
      <c r="C1901">
        <v>1142.02</v>
      </c>
      <c r="E1901" s="80">
        <v>45687</v>
      </c>
      <c r="F1901">
        <v>2011310</v>
      </c>
      <c r="G1901">
        <v>4788.32</v>
      </c>
    </row>
    <row r="1902" spans="1:7" x14ac:dyDescent="0.3">
      <c r="A1902" s="80">
        <v>45693</v>
      </c>
      <c r="B1902">
        <v>3010212</v>
      </c>
      <c r="C1902">
        <v>1142.02</v>
      </c>
      <c r="E1902" s="80">
        <v>45687</v>
      </c>
      <c r="F1902">
        <v>2011310</v>
      </c>
      <c r="G1902">
        <v>4788.32</v>
      </c>
    </row>
    <row r="1903" spans="1:7" x14ac:dyDescent="0.3">
      <c r="A1903" s="80">
        <v>45693</v>
      </c>
      <c r="B1903">
        <v>3010212</v>
      </c>
      <c r="C1903">
        <v>827.86</v>
      </c>
      <c r="E1903" s="80">
        <v>45687</v>
      </c>
      <c r="F1903">
        <v>2011310</v>
      </c>
      <c r="G1903">
        <v>4076.09</v>
      </c>
    </row>
    <row r="1904" spans="1:7" x14ac:dyDescent="0.3">
      <c r="A1904" s="80">
        <v>45693</v>
      </c>
      <c r="B1904">
        <v>3010212</v>
      </c>
      <c r="C1904">
        <v>827.86</v>
      </c>
      <c r="E1904" s="80">
        <v>45687</v>
      </c>
      <c r="F1904">
        <v>2011310</v>
      </c>
      <c r="G1904">
        <v>3789.09</v>
      </c>
    </row>
    <row r="1905" spans="1:7" x14ac:dyDescent="0.3">
      <c r="A1905" s="80">
        <v>45693</v>
      </c>
      <c r="B1905">
        <v>3010212</v>
      </c>
      <c r="C1905">
        <v>827.86</v>
      </c>
      <c r="E1905" s="80">
        <v>45687</v>
      </c>
      <c r="F1905">
        <v>2011310</v>
      </c>
      <c r="G1905">
        <v>5106.32</v>
      </c>
    </row>
    <row r="1906" spans="1:7" x14ac:dyDescent="0.3">
      <c r="A1906" s="80">
        <v>45693</v>
      </c>
      <c r="B1906">
        <v>3010212</v>
      </c>
      <c r="C1906">
        <v>1142.02</v>
      </c>
      <c r="E1906" s="80">
        <v>45687</v>
      </c>
      <c r="F1906">
        <v>2011310</v>
      </c>
      <c r="G1906">
        <v>5106.32</v>
      </c>
    </row>
    <row r="1907" spans="1:7" x14ac:dyDescent="0.3">
      <c r="A1907" s="80">
        <v>45693</v>
      </c>
      <c r="B1907">
        <v>3010212</v>
      </c>
      <c r="C1907">
        <v>1142.02</v>
      </c>
      <c r="E1907" s="80">
        <v>45687</v>
      </c>
      <c r="F1907">
        <v>2011310</v>
      </c>
      <c r="G1907">
        <v>5267.31</v>
      </c>
    </row>
    <row r="1908" spans="1:7" x14ac:dyDescent="0.3">
      <c r="A1908" s="80">
        <v>45693</v>
      </c>
      <c r="B1908">
        <v>3010212</v>
      </c>
      <c r="C1908">
        <v>1142.02</v>
      </c>
      <c r="E1908" s="80">
        <v>45687</v>
      </c>
      <c r="F1908">
        <v>2011310</v>
      </c>
      <c r="G1908">
        <v>5106.32</v>
      </c>
    </row>
    <row r="1909" spans="1:7" x14ac:dyDescent="0.3">
      <c r="A1909" s="80">
        <v>45693</v>
      </c>
      <c r="B1909">
        <v>3010212</v>
      </c>
      <c r="C1909">
        <v>1142.02</v>
      </c>
      <c r="E1909" s="80">
        <v>45687</v>
      </c>
      <c r="F1909">
        <v>2011310</v>
      </c>
      <c r="G1909">
        <v>4788.32</v>
      </c>
    </row>
    <row r="1910" spans="1:7" x14ac:dyDescent="0.3">
      <c r="A1910" s="80">
        <v>45693</v>
      </c>
      <c r="B1910">
        <v>3010212</v>
      </c>
      <c r="C1910">
        <v>827.86</v>
      </c>
      <c r="E1910" s="80">
        <v>45686</v>
      </c>
      <c r="F1910">
        <v>2011310</v>
      </c>
      <c r="G1910">
        <v>8618.9699999999993</v>
      </c>
    </row>
    <row r="1911" spans="1:7" x14ac:dyDescent="0.3">
      <c r="A1911" s="80">
        <v>45692</v>
      </c>
      <c r="B1911">
        <v>3010212</v>
      </c>
      <c r="C1911">
        <v>827.86</v>
      </c>
      <c r="E1911" s="80">
        <v>45686</v>
      </c>
      <c r="F1911">
        <v>2011310</v>
      </c>
      <c r="G1911">
        <v>5106.32</v>
      </c>
    </row>
    <row r="1912" spans="1:7" x14ac:dyDescent="0.3">
      <c r="A1912" s="80">
        <v>45692</v>
      </c>
      <c r="B1912">
        <v>3010212</v>
      </c>
      <c r="C1912">
        <v>827.86</v>
      </c>
      <c r="E1912" s="80">
        <v>45686</v>
      </c>
      <c r="F1912">
        <v>2011310</v>
      </c>
      <c r="G1912">
        <v>5425.32</v>
      </c>
    </row>
    <row r="1913" spans="1:7" x14ac:dyDescent="0.3">
      <c r="A1913" s="80">
        <v>45692</v>
      </c>
      <c r="B1913">
        <v>3010212</v>
      </c>
      <c r="C1913">
        <v>827.86</v>
      </c>
      <c r="E1913" s="80">
        <v>45686</v>
      </c>
      <c r="F1913">
        <v>2011310</v>
      </c>
      <c r="G1913">
        <v>4627.49</v>
      </c>
    </row>
    <row r="1914" spans="1:7" x14ac:dyDescent="0.3">
      <c r="A1914" s="80">
        <v>45692</v>
      </c>
      <c r="B1914">
        <v>3010212</v>
      </c>
      <c r="C1914">
        <v>1142.02</v>
      </c>
      <c r="E1914" s="80">
        <v>45686</v>
      </c>
      <c r="F1914">
        <v>2011310</v>
      </c>
      <c r="G1914">
        <v>5489.32</v>
      </c>
    </row>
    <row r="1915" spans="1:7" x14ac:dyDescent="0.3">
      <c r="A1915" s="80">
        <v>45692</v>
      </c>
      <c r="B1915">
        <v>3010212</v>
      </c>
      <c r="C1915">
        <v>1027.82</v>
      </c>
      <c r="E1915" s="80">
        <v>45686</v>
      </c>
      <c r="F1915">
        <v>2011310</v>
      </c>
      <c r="G1915">
        <v>5361.32</v>
      </c>
    </row>
    <row r="1916" spans="1:7" x14ac:dyDescent="0.3">
      <c r="A1916" s="80">
        <v>45692</v>
      </c>
      <c r="B1916">
        <v>3010212</v>
      </c>
      <c r="C1916">
        <v>1142.02</v>
      </c>
      <c r="E1916" s="80">
        <v>45686</v>
      </c>
      <c r="F1916">
        <v>2011310</v>
      </c>
      <c r="G1916">
        <v>4788.32</v>
      </c>
    </row>
    <row r="1917" spans="1:7" x14ac:dyDescent="0.3">
      <c r="A1917" s="80">
        <v>45692</v>
      </c>
      <c r="B1917">
        <v>3010212</v>
      </c>
      <c r="C1917">
        <v>1142.02</v>
      </c>
      <c r="E1917" s="80">
        <v>45686</v>
      </c>
      <c r="F1917">
        <v>2011310</v>
      </c>
      <c r="G1917">
        <v>5106.32</v>
      </c>
    </row>
    <row r="1918" spans="1:7" x14ac:dyDescent="0.3">
      <c r="A1918" s="80">
        <v>45692</v>
      </c>
      <c r="B1918">
        <v>3010212</v>
      </c>
      <c r="C1918">
        <v>1142.02</v>
      </c>
      <c r="E1918" s="80">
        <v>45686</v>
      </c>
      <c r="F1918">
        <v>2011310</v>
      </c>
      <c r="G1918">
        <v>5633.32</v>
      </c>
    </row>
    <row r="1919" spans="1:7" x14ac:dyDescent="0.3">
      <c r="A1919" s="80">
        <v>45691</v>
      </c>
      <c r="B1919">
        <v>3010212</v>
      </c>
      <c r="C1919">
        <v>827.86</v>
      </c>
      <c r="E1919" s="80">
        <v>45686</v>
      </c>
      <c r="F1919">
        <v>2011310</v>
      </c>
      <c r="G1919">
        <v>5553.32</v>
      </c>
    </row>
    <row r="1920" spans="1:7" x14ac:dyDescent="0.3">
      <c r="A1920" s="80">
        <v>45691</v>
      </c>
      <c r="B1920">
        <v>3010212</v>
      </c>
      <c r="C1920">
        <v>1142.02</v>
      </c>
      <c r="E1920" s="80">
        <v>45686</v>
      </c>
      <c r="F1920">
        <v>2011310</v>
      </c>
      <c r="G1920">
        <v>5106.32</v>
      </c>
    </row>
    <row r="1921" spans="1:7" x14ac:dyDescent="0.3">
      <c r="A1921" s="80">
        <v>45691</v>
      </c>
      <c r="B1921">
        <v>3010212</v>
      </c>
      <c r="C1921">
        <v>827.86</v>
      </c>
      <c r="E1921" s="80">
        <v>45686</v>
      </c>
      <c r="F1921">
        <v>2011310</v>
      </c>
      <c r="G1921">
        <v>4627.49</v>
      </c>
    </row>
    <row r="1922" spans="1:7" x14ac:dyDescent="0.3">
      <c r="A1922" s="80">
        <v>45691</v>
      </c>
      <c r="B1922">
        <v>3010212</v>
      </c>
      <c r="C1922">
        <v>1142.02</v>
      </c>
      <c r="E1922" s="80">
        <v>45685</v>
      </c>
      <c r="F1922">
        <v>2011310</v>
      </c>
      <c r="G1922">
        <v>5267.31</v>
      </c>
    </row>
    <row r="1923" spans="1:7" x14ac:dyDescent="0.3">
      <c r="A1923" s="80">
        <v>45691</v>
      </c>
      <c r="B1923">
        <v>3010212</v>
      </c>
      <c r="C1923">
        <v>827.86</v>
      </c>
      <c r="E1923" s="80">
        <v>45685</v>
      </c>
      <c r="F1923">
        <v>2011310</v>
      </c>
      <c r="G1923">
        <v>5106.32</v>
      </c>
    </row>
    <row r="1924" spans="1:7" x14ac:dyDescent="0.3">
      <c r="A1924" s="80">
        <v>45691</v>
      </c>
      <c r="B1924">
        <v>3010212</v>
      </c>
      <c r="C1924">
        <v>1142.02</v>
      </c>
      <c r="E1924" s="80">
        <v>45685</v>
      </c>
      <c r="F1924">
        <v>2011310</v>
      </c>
      <c r="G1924">
        <v>5106.32</v>
      </c>
    </row>
    <row r="1925" spans="1:7" x14ac:dyDescent="0.3">
      <c r="A1925" s="80">
        <v>45690</v>
      </c>
      <c r="B1925">
        <v>3010212</v>
      </c>
      <c r="C1925">
        <v>1142.02</v>
      </c>
      <c r="E1925" s="80">
        <v>45685</v>
      </c>
      <c r="F1925">
        <v>2011310</v>
      </c>
      <c r="G1925">
        <v>5393.32</v>
      </c>
    </row>
    <row r="1926" spans="1:7" x14ac:dyDescent="0.3">
      <c r="A1926" s="80">
        <v>45690</v>
      </c>
      <c r="B1926">
        <v>3010212</v>
      </c>
      <c r="C1926">
        <v>1256.26</v>
      </c>
      <c r="E1926" s="80">
        <v>45685</v>
      </c>
      <c r="F1926">
        <v>2011310</v>
      </c>
      <c r="G1926">
        <v>5106.32</v>
      </c>
    </row>
    <row r="1927" spans="1:7" x14ac:dyDescent="0.3">
      <c r="A1927" s="80">
        <v>45690</v>
      </c>
      <c r="B1927">
        <v>3010212</v>
      </c>
      <c r="C1927">
        <v>827.86</v>
      </c>
      <c r="E1927" s="80">
        <v>45685</v>
      </c>
      <c r="F1927">
        <v>2011310</v>
      </c>
      <c r="G1927">
        <v>5106.32</v>
      </c>
    </row>
    <row r="1928" spans="1:7" x14ac:dyDescent="0.3">
      <c r="A1928" s="80">
        <v>45690</v>
      </c>
      <c r="B1928">
        <v>3010212</v>
      </c>
      <c r="C1928">
        <v>1142.02</v>
      </c>
      <c r="E1928" s="80">
        <v>45685</v>
      </c>
      <c r="F1928">
        <v>2011310</v>
      </c>
      <c r="G1928">
        <v>5425.32</v>
      </c>
    </row>
    <row r="1929" spans="1:7" x14ac:dyDescent="0.3">
      <c r="A1929" s="80">
        <v>45690</v>
      </c>
      <c r="B1929">
        <v>3010212</v>
      </c>
      <c r="C1929">
        <v>1142.02</v>
      </c>
      <c r="E1929" s="80">
        <v>45685</v>
      </c>
      <c r="F1929">
        <v>2011310</v>
      </c>
      <c r="G1929">
        <v>5106.32</v>
      </c>
    </row>
    <row r="1930" spans="1:7" x14ac:dyDescent="0.3">
      <c r="A1930" s="80">
        <v>45690</v>
      </c>
      <c r="B1930">
        <v>3010212</v>
      </c>
      <c r="C1930">
        <v>1142.02</v>
      </c>
      <c r="E1930" s="80">
        <v>45684</v>
      </c>
      <c r="F1930">
        <v>2011310</v>
      </c>
      <c r="G1930">
        <v>5106.32</v>
      </c>
    </row>
    <row r="1931" spans="1:7" x14ac:dyDescent="0.3">
      <c r="A1931" s="80">
        <v>45690</v>
      </c>
      <c r="B1931">
        <v>3010212</v>
      </c>
      <c r="C1931">
        <v>1142.02</v>
      </c>
      <c r="E1931" s="80">
        <v>45684</v>
      </c>
      <c r="F1931">
        <v>2011310</v>
      </c>
      <c r="G1931">
        <v>5106.32</v>
      </c>
    </row>
    <row r="1932" spans="1:7" x14ac:dyDescent="0.3">
      <c r="A1932" s="80">
        <v>45690</v>
      </c>
      <c r="B1932">
        <v>3010212</v>
      </c>
      <c r="C1932">
        <v>1142.02</v>
      </c>
      <c r="E1932" s="80">
        <v>45684</v>
      </c>
      <c r="F1932">
        <v>2011310</v>
      </c>
      <c r="G1932">
        <v>5267.31</v>
      </c>
    </row>
    <row r="1933" spans="1:7" x14ac:dyDescent="0.3">
      <c r="A1933" s="80">
        <v>45690</v>
      </c>
      <c r="B1933">
        <v>3010212</v>
      </c>
      <c r="C1933">
        <v>1142.02</v>
      </c>
      <c r="E1933" s="80">
        <v>45684</v>
      </c>
      <c r="F1933">
        <v>2011310</v>
      </c>
      <c r="G1933">
        <v>5106.32</v>
      </c>
    </row>
    <row r="1934" spans="1:7" x14ac:dyDescent="0.3">
      <c r="A1934" s="80">
        <v>45690</v>
      </c>
      <c r="B1934">
        <v>3010212</v>
      </c>
      <c r="C1934">
        <v>1256.26</v>
      </c>
      <c r="E1934" s="80">
        <v>45684</v>
      </c>
      <c r="F1934">
        <v>2011310</v>
      </c>
      <c r="G1934">
        <v>5457.32</v>
      </c>
    </row>
    <row r="1935" spans="1:7" x14ac:dyDescent="0.3">
      <c r="A1935" s="80">
        <v>45690</v>
      </c>
      <c r="B1935">
        <v>3010212</v>
      </c>
      <c r="C1935">
        <v>1142.02</v>
      </c>
      <c r="E1935" s="80">
        <v>45684</v>
      </c>
      <c r="F1935">
        <v>2011310</v>
      </c>
      <c r="G1935">
        <v>5457.32</v>
      </c>
    </row>
    <row r="1936" spans="1:7" x14ac:dyDescent="0.3">
      <c r="A1936" s="80">
        <v>45690</v>
      </c>
      <c r="B1936">
        <v>3010212</v>
      </c>
      <c r="C1936">
        <v>1142.02</v>
      </c>
      <c r="E1936" s="80">
        <v>45684</v>
      </c>
      <c r="F1936">
        <v>2011310</v>
      </c>
      <c r="G1936">
        <v>9576.64</v>
      </c>
    </row>
    <row r="1937" spans="1:7" x14ac:dyDescent="0.3">
      <c r="A1937" s="80">
        <v>45690</v>
      </c>
      <c r="B1937">
        <v>3010212</v>
      </c>
      <c r="C1937">
        <v>1142.02</v>
      </c>
      <c r="E1937" s="80">
        <v>45684</v>
      </c>
      <c r="F1937">
        <v>2011310</v>
      </c>
      <c r="G1937">
        <v>4788.32</v>
      </c>
    </row>
    <row r="1938" spans="1:7" x14ac:dyDescent="0.3">
      <c r="A1938" s="80">
        <v>45690</v>
      </c>
      <c r="B1938">
        <v>3010212</v>
      </c>
      <c r="C1938">
        <v>1142.02</v>
      </c>
      <c r="E1938" s="80">
        <v>45683</v>
      </c>
      <c r="F1938">
        <v>2011310</v>
      </c>
      <c r="G1938">
        <v>5361.32</v>
      </c>
    </row>
    <row r="1939" spans="1:7" x14ac:dyDescent="0.3">
      <c r="A1939" s="80">
        <v>45690</v>
      </c>
      <c r="B1939">
        <v>3010212</v>
      </c>
      <c r="C1939">
        <v>1142.02</v>
      </c>
      <c r="E1939" s="80">
        <v>45683</v>
      </c>
      <c r="F1939">
        <v>2011310</v>
      </c>
      <c r="G1939">
        <v>5393.32</v>
      </c>
    </row>
    <row r="1940" spans="1:7" x14ac:dyDescent="0.3">
      <c r="A1940" s="80">
        <v>45690</v>
      </c>
      <c r="B1940">
        <v>3010212</v>
      </c>
      <c r="C1940">
        <v>827.86</v>
      </c>
      <c r="E1940" s="80">
        <v>45683</v>
      </c>
      <c r="F1940">
        <v>2011310</v>
      </c>
      <c r="G1940">
        <v>5106.32</v>
      </c>
    </row>
    <row r="1941" spans="1:7" x14ac:dyDescent="0.3">
      <c r="A1941" s="80">
        <v>45690</v>
      </c>
      <c r="B1941">
        <v>3010212</v>
      </c>
      <c r="C1941">
        <v>1142.02</v>
      </c>
      <c r="E1941" s="80">
        <v>45683</v>
      </c>
      <c r="F1941">
        <v>2011310</v>
      </c>
      <c r="G1941">
        <v>5267.31</v>
      </c>
    </row>
    <row r="1942" spans="1:7" x14ac:dyDescent="0.3">
      <c r="A1942" s="80">
        <v>45690</v>
      </c>
      <c r="B1942">
        <v>3010212</v>
      </c>
      <c r="C1942">
        <v>380.42</v>
      </c>
      <c r="E1942" s="80">
        <v>45683</v>
      </c>
      <c r="F1942">
        <v>2011310</v>
      </c>
      <c r="G1942">
        <v>5361.32</v>
      </c>
    </row>
    <row r="1943" spans="1:7" x14ac:dyDescent="0.3">
      <c r="A1943" s="80">
        <v>45690</v>
      </c>
      <c r="B1943">
        <v>3010212</v>
      </c>
      <c r="C1943">
        <v>2284.04</v>
      </c>
      <c r="E1943" s="80">
        <v>45683</v>
      </c>
      <c r="F1943">
        <v>2011310</v>
      </c>
      <c r="G1943">
        <v>5106.32</v>
      </c>
    </row>
    <row r="1944" spans="1:7" x14ac:dyDescent="0.3">
      <c r="A1944" s="80">
        <v>45690</v>
      </c>
      <c r="B1944">
        <v>3010212</v>
      </c>
      <c r="C1944">
        <v>1142.02</v>
      </c>
      <c r="E1944" s="80">
        <v>45683</v>
      </c>
      <c r="F1944">
        <v>2011310</v>
      </c>
      <c r="G1944">
        <v>5106.32</v>
      </c>
    </row>
    <row r="1945" spans="1:7" x14ac:dyDescent="0.3">
      <c r="A1945" s="80">
        <v>45690</v>
      </c>
      <c r="B1945">
        <v>3010212</v>
      </c>
      <c r="C1945">
        <v>1142.02</v>
      </c>
      <c r="E1945" s="80">
        <v>45683</v>
      </c>
      <c r="F1945">
        <v>2011310</v>
      </c>
      <c r="G1945">
        <v>5106.32</v>
      </c>
    </row>
    <row r="1946" spans="1:7" x14ac:dyDescent="0.3">
      <c r="A1946" s="80">
        <v>45690</v>
      </c>
      <c r="B1946">
        <v>3010212</v>
      </c>
      <c r="C1946">
        <v>1256.26</v>
      </c>
      <c r="E1946" s="80">
        <v>45682</v>
      </c>
      <c r="F1946">
        <v>2011310</v>
      </c>
      <c r="G1946">
        <v>5345.32</v>
      </c>
    </row>
    <row r="1947" spans="1:7" x14ac:dyDescent="0.3">
      <c r="A1947" s="80">
        <v>45689</v>
      </c>
      <c r="B1947">
        <v>3010212</v>
      </c>
      <c r="C1947">
        <v>1256.26</v>
      </c>
      <c r="E1947" s="80">
        <v>45682</v>
      </c>
      <c r="F1947">
        <v>2011310</v>
      </c>
      <c r="G1947">
        <v>5744.32</v>
      </c>
    </row>
    <row r="1948" spans="1:7" x14ac:dyDescent="0.3">
      <c r="A1948" s="80">
        <v>45689</v>
      </c>
      <c r="B1948">
        <v>3010212</v>
      </c>
      <c r="C1948">
        <v>1142.02</v>
      </c>
      <c r="E1948" s="80">
        <v>45682</v>
      </c>
      <c r="F1948">
        <v>2011310</v>
      </c>
      <c r="G1948">
        <v>5267.31</v>
      </c>
    </row>
    <row r="1949" spans="1:7" x14ac:dyDescent="0.3">
      <c r="A1949" s="80">
        <v>45689</v>
      </c>
      <c r="B1949">
        <v>3010212</v>
      </c>
      <c r="C1949">
        <v>1256.26</v>
      </c>
      <c r="E1949" s="80">
        <v>45682</v>
      </c>
      <c r="F1949">
        <v>2011310</v>
      </c>
      <c r="G1949">
        <v>5473.32</v>
      </c>
    </row>
    <row r="1950" spans="1:7" x14ac:dyDescent="0.3">
      <c r="A1950" s="80">
        <v>45689</v>
      </c>
      <c r="B1950">
        <v>3010212</v>
      </c>
      <c r="C1950">
        <v>827.86</v>
      </c>
      <c r="E1950" s="80">
        <v>45682</v>
      </c>
      <c r="F1950">
        <v>2011310</v>
      </c>
      <c r="G1950">
        <v>5106.32</v>
      </c>
    </row>
    <row r="1951" spans="1:7" x14ac:dyDescent="0.3">
      <c r="A1951" s="80">
        <v>45689</v>
      </c>
      <c r="B1951">
        <v>3010212</v>
      </c>
      <c r="C1951">
        <v>1142.02</v>
      </c>
      <c r="E1951" s="80">
        <v>45682</v>
      </c>
      <c r="F1951">
        <v>2011310</v>
      </c>
      <c r="G1951">
        <v>5267.31</v>
      </c>
    </row>
    <row r="1952" spans="1:7" x14ac:dyDescent="0.3">
      <c r="A1952" s="80">
        <v>45689</v>
      </c>
      <c r="B1952">
        <v>3010212</v>
      </c>
      <c r="C1952">
        <v>1142.02</v>
      </c>
      <c r="E1952" s="80">
        <v>45682</v>
      </c>
      <c r="F1952">
        <v>2011310</v>
      </c>
      <c r="G1952">
        <v>5489.32</v>
      </c>
    </row>
    <row r="1953" spans="1:7" x14ac:dyDescent="0.3">
      <c r="A1953" s="80">
        <v>45688</v>
      </c>
      <c r="B1953">
        <v>3010212</v>
      </c>
      <c r="C1953">
        <v>2284.04</v>
      </c>
      <c r="E1953" s="80">
        <v>45682</v>
      </c>
      <c r="F1953">
        <v>2011310</v>
      </c>
      <c r="G1953">
        <v>5537.32</v>
      </c>
    </row>
    <row r="1954" spans="1:7" x14ac:dyDescent="0.3">
      <c r="A1954" s="80">
        <v>45688</v>
      </c>
      <c r="B1954">
        <v>3010212</v>
      </c>
      <c r="C1954">
        <v>1142.02</v>
      </c>
      <c r="E1954" s="80">
        <v>45682</v>
      </c>
      <c r="F1954">
        <v>2011310</v>
      </c>
      <c r="G1954">
        <v>5489.32</v>
      </c>
    </row>
    <row r="1955" spans="1:7" x14ac:dyDescent="0.3">
      <c r="A1955" s="80">
        <v>45688</v>
      </c>
      <c r="B1955">
        <v>3010212</v>
      </c>
      <c r="C1955">
        <v>1142.02</v>
      </c>
      <c r="E1955" s="80">
        <v>45682</v>
      </c>
      <c r="F1955">
        <v>2011310</v>
      </c>
      <c r="G1955">
        <v>4788.32</v>
      </c>
    </row>
    <row r="1956" spans="1:7" x14ac:dyDescent="0.3">
      <c r="A1956" s="80">
        <v>45688</v>
      </c>
      <c r="B1956">
        <v>3010212</v>
      </c>
      <c r="C1956">
        <v>827.86</v>
      </c>
      <c r="E1956" s="80">
        <v>45682</v>
      </c>
      <c r="F1956">
        <v>2011310</v>
      </c>
      <c r="G1956">
        <v>5267.31</v>
      </c>
    </row>
    <row r="1957" spans="1:7" x14ac:dyDescent="0.3">
      <c r="A1957" s="80">
        <v>45688</v>
      </c>
      <c r="B1957">
        <v>3010212</v>
      </c>
      <c r="C1957">
        <v>1142.02</v>
      </c>
      <c r="E1957" s="80">
        <v>45682</v>
      </c>
      <c r="F1957">
        <v>2011310</v>
      </c>
      <c r="G1957">
        <v>4788.32</v>
      </c>
    </row>
    <row r="1958" spans="1:7" x14ac:dyDescent="0.3">
      <c r="A1958" s="80">
        <v>45688</v>
      </c>
      <c r="B1958">
        <v>3010212</v>
      </c>
      <c r="C1958">
        <v>1142.02</v>
      </c>
      <c r="E1958" s="80">
        <v>45682</v>
      </c>
      <c r="F1958">
        <v>2011310</v>
      </c>
      <c r="G1958">
        <v>5106.32</v>
      </c>
    </row>
    <row r="1959" spans="1:7" x14ac:dyDescent="0.3">
      <c r="A1959" s="80">
        <v>45687</v>
      </c>
      <c r="B1959">
        <v>3010212</v>
      </c>
      <c r="C1959">
        <v>1142.02</v>
      </c>
      <c r="E1959" s="80">
        <v>45682</v>
      </c>
      <c r="F1959">
        <v>2011310</v>
      </c>
      <c r="G1959">
        <v>5473.32</v>
      </c>
    </row>
    <row r="1960" spans="1:7" x14ac:dyDescent="0.3">
      <c r="A1960" s="80">
        <v>45687</v>
      </c>
      <c r="B1960">
        <v>3010212</v>
      </c>
      <c r="C1960">
        <v>827.86</v>
      </c>
      <c r="E1960" s="80">
        <v>45682</v>
      </c>
      <c r="F1960">
        <v>2011310</v>
      </c>
      <c r="G1960">
        <v>5106.32</v>
      </c>
    </row>
    <row r="1961" spans="1:7" x14ac:dyDescent="0.3">
      <c r="A1961" s="80">
        <v>45687</v>
      </c>
      <c r="B1961">
        <v>3010212</v>
      </c>
      <c r="C1961">
        <v>1142.02</v>
      </c>
      <c r="E1961" s="80">
        <v>45681</v>
      </c>
      <c r="F1961">
        <v>2011310</v>
      </c>
      <c r="G1961">
        <v>5106.32</v>
      </c>
    </row>
    <row r="1962" spans="1:7" x14ac:dyDescent="0.3">
      <c r="A1962" s="80">
        <v>45687</v>
      </c>
      <c r="B1962">
        <v>3010212</v>
      </c>
      <c r="C1962">
        <v>1142.02</v>
      </c>
      <c r="E1962" s="80">
        <v>45681</v>
      </c>
      <c r="F1962">
        <v>2011310</v>
      </c>
      <c r="G1962">
        <v>4788.32</v>
      </c>
    </row>
    <row r="1963" spans="1:7" x14ac:dyDescent="0.3">
      <c r="A1963" s="80">
        <v>45687</v>
      </c>
      <c r="B1963">
        <v>3010212</v>
      </c>
      <c r="C1963">
        <v>827.86</v>
      </c>
      <c r="E1963" s="80">
        <v>45681</v>
      </c>
      <c r="F1963">
        <v>2011310</v>
      </c>
      <c r="G1963">
        <v>5393.32</v>
      </c>
    </row>
    <row r="1964" spans="1:7" x14ac:dyDescent="0.3">
      <c r="A1964" s="80">
        <v>45687</v>
      </c>
      <c r="B1964">
        <v>3010212</v>
      </c>
      <c r="C1964">
        <v>827.86</v>
      </c>
      <c r="E1964" s="80">
        <v>45681</v>
      </c>
      <c r="F1964">
        <v>2011310</v>
      </c>
      <c r="G1964">
        <v>5457.32</v>
      </c>
    </row>
    <row r="1965" spans="1:7" x14ac:dyDescent="0.3">
      <c r="A1965" s="80">
        <v>45687</v>
      </c>
      <c r="B1965">
        <v>3010212</v>
      </c>
      <c r="C1965">
        <v>1256.26</v>
      </c>
      <c r="E1965" s="80">
        <v>45681</v>
      </c>
      <c r="F1965">
        <v>2011310</v>
      </c>
      <c r="G1965">
        <v>4788.32</v>
      </c>
    </row>
    <row r="1966" spans="1:7" x14ac:dyDescent="0.3">
      <c r="A1966" s="80">
        <v>45687</v>
      </c>
      <c r="B1966">
        <v>3010212</v>
      </c>
      <c r="C1966">
        <v>827.86</v>
      </c>
      <c r="E1966" s="80">
        <v>45681</v>
      </c>
      <c r="F1966">
        <v>2011310</v>
      </c>
      <c r="G1966">
        <v>5744.32</v>
      </c>
    </row>
    <row r="1967" spans="1:7" x14ac:dyDescent="0.3">
      <c r="A1967" s="80">
        <v>45687</v>
      </c>
      <c r="B1967">
        <v>3010212</v>
      </c>
      <c r="C1967">
        <v>1142.02</v>
      </c>
      <c r="E1967" s="80">
        <v>45681</v>
      </c>
      <c r="F1967">
        <v>2011310</v>
      </c>
      <c r="G1967">
        <v>5106.32</v>
      </c>
    </row>
    <row r="1968" spans="1:7" x14ac:dyDescent="0.3">
      <c r="A1968" s="80">
        <v>45687</v>
      </c>
      <c r="B1968">
        <v>3010212</v>
      </c>
      <c r="C1968">
        <v>1142.02</v>
      </c>
      <c r="E1968" s="80">
        <v>45681</v>
      </c>
      <c r="F1968">
        <v>2011310</v>
      </c>
      <c r="G1968">
        <v>4788.32</v>
      </c>
    </row>
    <row r="1969" spans="1:7" x14ac:dyDescent="0.3">
      <c r="A1969" s="80">
        <v>45687</v>
      </c>
      <c r="B1969">
        <v>3010212</v>
      </c>
      <c r="C1969">
        <v>827.86</v>
      </c>
      <c r="E1969" s="80">
        <v>45680</v>
      </c>
      <c r="F1969">
        <v>2011310</v>
      </c>
      <c r="G1969">
        <v>5361.32</v>
      </c>
    </row>
    <row r="1970" spans="1:7" x14ac:dyDescent="0.3">
      <c r="A1970" s="80">
        <v>45687</v>
      </c>
      <c r="B1970">
        <v>3010212</v>
      </c>
      <c r="C1970">
        <v>827.86</v>
      </c>
      <c r="E1970" s="80">
        <v>45680</v>
      </c>
      <c r="F1970">
        <v>2011310</v>
      </c>
      <c r="G1970">
        <v>4788.32</v>
      </c>
    </row>
    <row r="1971" spans="1:7" x14ac:dyDescent="0.3">
      <c r="A1971" s="80">
        <v>45687</v>
      </c>
      <c r="B1971">
        <v>3010212</v>
      </c>
      <c r="C1971">
        <v>1142.02</v>
      </c>
      <c r="E1971" s="80">
        <v>45680</v>
      </c>
      <c r="F1971">
        <v>2011310</v>
      </c>
      <c r="G1971">
        <v>5106.32</v>
      </c>
    </row>
    <row r="1972" spans="1:7" x14ac:dyDescent="0.3">
      <c r="A1972" s="80">
        <v>45687</v>
      </c>
      <c r="B1972">
        <v>3010212</v>
      </c>
      <c r="C1972">
        <v>1142.02</v>
      </c>
      <c r="E1972" s="80">
        <v>45680</v>
      </c>
      <c r="F1972">
        <v>2011310</v>
      </c>
      <c r="G1972">
        <v>5505.32</v>
      </c>
    </row>
    <row r="1973" spans="1:7" x14ac:dyDescent="0.3">
      <c r="A1973" s="80">
        <v>45687</v>
      </c>
      <c r="B1973">
        <v>3010212</v>
      </c>
      <c r="C1973">
        <v>1256.26</v>
      </c>
      <c r="E1973" s="80">
        <v>45680</v>
      </c>
      <c r="F1973">
        <v>2011310</v>
      </c>
      <c r="G1973">
        <v>5457.32</v>
      </c>
    </row>
    <row r="1974" spans="1:7" x14ac:dyDescent="0.3">
      <c r="A1974" s="80">
        <v>45687</v>
      </c>
      <c r="B1974">
        <v>3010212</v>
      </c>
      <c r="C1974">
        <v>1142.02</v>
      </c>
      <c r="E1974" s="80">
        <v>45680</v>
      </c>
      <c r="F1974">
        <v>2011310</v>
      </c>
      <c r="G1974">
        <v>5106.32</v>
      </c>
    </row>
    <row r="1975" spans="1:7" x14ac:dyDescent="0.3">
      <c r="A1975" s="80">
        <v>45687</v>
      </c>
      <c r="B1975">
        <v>3010212</v>
      </c>
      <c r="C1975">
        <v>1142.02</v>
      </c>
      <c r="E1975" s="80">
        <v>45680</v>
      </c>
      <c r="F1975">
        <v>2011310</v>
      </c>
      <c r="G1975">
        <v>4788.32</v>
      </c>
    </row>
    <row r="1976" spans="1:7" x14ac:dyDescent="0.3">
      <c r="A1976" s="80">
        <v>45686</v>
      </c>
      <c r="B1976">
        <v>3010212</v>
      </c>
      <c r="C1976">
        <v>2055.64</v>
      </c>
      <c r="E1976" s="80">
        <v>45679</v>
      </c>
      <c r="F1976">
        <v>2011310</v>
      </c>
      <c r="G1976">
        <v>5760.32</v>
      </c>
    </row>
    <row r="1977" spans="1:7" x14ac:dyDescent="0.3">
      <c r="A1977" s="80">
        <v>45686</v>
      </c>
      <c r="B1977">
        <v>3010212</v>
      </c>
      <c r="C1977">
        <v>1142.02</v>
      </c>
      <c r="E1977" s="80">
        <v>45679</v>
      </c>
      <c r="F1977">
        <v>2011310</v>
      </c>
      <c r="G1977">
        <v>5106.32</v>
      </c>
    </row>
    <row r="1978" spans="1:7" x14ac:dyDescent="0.3">
      <c r="A1978" s="80">
        <v>45686</v>
      </c>
      <c r="B1978">
        <v>3010212</v>
      </c>
      <c r="C1978">
        <v>1142.02</v>
      </c>
      <c r="E1978" s="80">
        <v>45679</v>
      </c>
      <c r="F1978">
        <v>2011310</v>
      </c>
      <c r="G1978">
        <v>5106.32</v>
      </c>
    </row>
    <row r="1979" spans="1:7" x14ac:dyDescent="0.3">
      <c r="A1979" s="80">
        <v>45686</v>
      </c>
      <c r="B1979">
        <v>3010212</v>
      </c>
      <c r="C1979">
        <v>1027.82</v>
      </c>
      <c r="E1979" s="80">
        <v>45679</v>
      </c>
      <c r="F1979">
        <v>2011310</v>
      </c>
      <c r="G1979">
        <v>4788.32</v>
      </c>
    </row>
    <row r="1980" spans="1:7" x14ac:dyDescent="0.3">
      <c r="A1980" s="80">
        <v>45686</v>
      </c>
      <c r="B1980">
        <v>3010212</v>
      </c>
      <c r="C1980">
        <v>1142.02</v>
      </c>
      <c r="E1980" s="80">
        <v>45679</v>
      </c>
      <c r="F1980">
        <v>2011310</v>
      </c>
      <c r="G1980">
        <v>4788.32</v>
      </c>
    </row>
    <row r="1981" spans="1:7" x14ac:dyDescent="0.3">
      <c r="A1981" s="80">
        <v>45686</v>
      </c>
      <c r="B1981">
        <v>3010212</v>
      </c>
      <c r="C1981">
        <v>1142.02</v>
      </c>
      <c r="E1981" s="80">
        <v>45679</v>
      </c>
      <c r="F1981">
        <v>2011310</v>
      </c>
      <c r="G1981">
        <v>5106.32</v>
      </c>
    </row>
    <row r="1982" spans="1:7" x14ac:dyDescent="0.3">
      <c r="A1982" s="80">
        <v>45686</v>
      </c>
      <c r="B1982">
        <v>3010212</v>
      </c>
      <c r="C1982">
        <v>1142.02</v>
      </c>
      <c r="E1982" s="80">
        <v>45679</v>
      </c>
      <c r="F1982">
        <v>2011310</v>
      </c>
      <c r="G1982">
        <v>8618.9699999999993</v>
      </c>
    </row>
    <row r="1983" spans="1:7" x14ac:dyDescent="0.3">
      <c r="A1983" s="80">
        <v>45686</v>
      </c>
      <c r="B1983">
        <v>3010212</v>
      </c>
      <c r="C1983">
        <v>1142.02</v>
      </c>
      <c r="E1983" s="80">
        <v>45679</v>
      </c>
      <c r="F1983">
        <v>2011310</v>
      </c>
      <c r="G1983">
        <v>4627.49</v>
      </c>
    </row>
    <row r="1984" spans="1:7" x14ac:dyDescent="0.3">
      <c r="A1984" s="80">
        <v>45686</v>
      </c>
      <c r="B1984">
        <v>3010212</v>
      </c>
      <c r="C1984">
        <v>1142.02</v>
      </c>
      <c r="E1984" s="80">
        <v>45679</v>
      </c>
      <c r="F1984">
        <v>2011310</v>
      </c>
      <c r="G1984">
        <v>5106.32</v>
      </c>
    </row>
    <row r="1985" spans="1:7" x14ac:dyDescent="0.3">
      <c r="A1985" s="80">
        <v>45686</v>
      </c>
      <c r="B1985">
        <v>3010212</v>
      </c>
      <c r="C1985">
        <v>1142.02</v>
      </c>
      <c r="E1985" s="80">
        <v>45678</v>
      </c>
      <c r="F1985">
        <v>2011310</v>
      </c>
      <c r="G1985">
        <v>5106.32</v>
      </c>
    </row>
    <row r="1986" spans="1:7" x14ac:dyDescent="0.3">
      <c r="A1986" s="80">
        <v>45686</v>
      </c>
      <c r="B1986">
        <v>3010212</v>
      </c>
      <c r="C1986">
        <v>1142.02</v>
      </c>
      <c r="E1986" s="80">
        <v>45678</v>
      </c>
      <c r="F1986">
        <v>2011310</v>
      </c>
      <c r="G1986">
        <v>5425.32</v>
      </c>
    </row>
    <row r="1987" spans="1:7" x14ac:dyDescent="0.3">
      <c r="A1987" s="80">
        <v>45686</v>
      </c>
      <c r="B1987">
        <v>3010212</v>
      </c>
      <c r="C1987">
        <v>1027.82</v>
      </c>
      <c r="E1987" s="80">
        <v>45678</v>
      </c>
      <c r="F1987">
        <v>2011310</v>
      </c>
      <c r="G1987">
        <v>4788.32</v>
      </c>
    </row>
    <row r="1988" spans="1:7" x14ac:dyDescent="0.3">
      <c r="A1988" s="80">
        <v>45685</v>
      </c>
      <c r="B1988">
        <v>3010212</v>
      </c>
      <c r="C1988">
        <v>1256.26</v>
      </c>
      <c r="E1988" s="80">
        <v>45678</v>
      </c>
      <c r="F1988">
        <v>2011310</v>
      </c>
      <c r="G1988">
        <v>5537.32</v>
      </c>
    </row>
    <row r="1989" spans="1:7" x14ac:dyDescent="0.3">
      <c r="A1989" s="80">
        <v>45685</v>
      </c>
      <c r="B1989">
        <v>3010212</v>
      </c>
      <c r="C1989">
        <v>1142.02</v>
      </c>
      <c r="E1989" s="80">
        <v>45678</v>
      </c>
      <c r="F1989">
        <v>2011310</v>
      </c>
      <c r="G1989">
        <v>5106.32</v>
      </c>
    </row>
    <row r="1990" spans="1:7" x14ac:dyDescent="0.3">
      <c r="A1990" s="80">
        <v>45685</v>
      </c>
      <c r="B1990">
        <v>3010212</v>
      </c>
      <c r="C1990">
        <v>1142.02</v>
      </c>
      <c r="E1990" s="80">
        <v>45678</v>
      </c>
      <c r="F1990">
        <v>2011310</v>
      </c>
      <c r="G1990">
        <v>5106.32</v>
      </c>
    </row>
    <row r="1991" spans="1:7" x14ac:dyDescent="0.3">
      <c r="A1991" s="80">
        <v>45685</v>
      </c>
      <c r="B1991">
        <v>3010212</v>
      </c>
      <c r="C1991">
        <v>1142.02</v>
      </c>
      <c r="E1991" s="80">
        <v>45678</v>
      </c>
      <c r="F1991">
        <v>2011310</v>
      </c>
      <c r="G1991">
        <v>5106.32</v>
      </c>
    </row>
    <row r="1992" spans="1:7" x14ac:dyDescent="0.3">
      <c r="A1992" s="80">
        <v>45685</v>
      </c>
      <c r="B1992">
        <v>3010212</v>
      </c>
      <c r="C1992">
        <v>1142.02</v>
      </c>
      <c r="E1992" s="80">
        <v>45678</v>
      </c>
      <c r="F1992">
        <v>2011310</v>
      </c>
      <c r="G1992">
        <v>5106.32</v>
      </c>
    </row>
    <row r="1993" spans="1:7" x14ac:dyDescent="0.3">
      <c r="A1993" s="80">
        <v>45685</v>
      </c>
      <c r="B1993">
        <v>3010212</v>
      </c>
      <c r="C1993">
        <v>1142.02</v>
      </c>
      <c r="E1993" s="80">
        <v>45678</v>
      </c>
      <c r="F1993">
        <v>2011310</v>
      </c>
      <c r="G1993">
        <v>5106.32</v>
      </c>
    </row>
    <row r="1994" spans="1:7" x14ac:dyDescent="0.3">
      <c r="A1994" s="80">
        <v>45685</v>
      </c>
      <c r="B1994">
        <v>3010212</v>
      </c>
      <c r="C1994">
        <v>1142.02</v>
      </c>
      <c r="E1994" s="80">
        <v>45678</v>
      </c>
      <c r="F1994">
        <v>2011310</v>
      </c>
      <c r="G1994">
        <v>5457.32</v>
      </c>
    </row>
    <row r="1995" spans="1:7" x14ac:dyDescent="0.3">
      <c r="A1995" s="80">
        <v>45685</v>
      </c>
      <c r="B1995">
        <v>3010212</v>
      </c>
      <c r="C1995">
        <v>1142.02</v>
      </c>
      <c r="E1995" s="80">
        <v>45678</v>
      </c>
      <c r="F1995">
        <v>2011310</v>
      </c>
      <c r="G1995">
        <v>4627.49</v>
      </c>
    </row>
    <row r="1996" spans="1:7" x14ac:dyDescent="0.3">
      <c r="A1996" s="80">
        <v>45684</v>
      </c>
      <c r="B1996">
        <v>3010212</v>
      </c>
      <c r="C1996">
        <v>1142.02</v>
      </c>
      <c r="E1996" s="80">
        <v>45678</v>
      </c>
      <c r="F1996">
        <v>2011310</v>
      </c>
      <c r="G1996">
        <v>5106.32</v>
      </c>
    </row>
    <row r="1997" spans="1:7" x14ac:dyDescent="0.3">
      <c r="A1997" s="80">
        <v>45684</v>
      </c>
      <c r="B1997">
        <v>3010212</v>
      </c>
      <c r="C1997">
        <v>1142.02</v>
      </c>
      <c r="E1997" s="80">
        <v>45678</v>
      </c>
      <c r="F1997">
        <v>2011310</v>
      </c>
      <c r="G1997">
        <v>5106.32</v>
      </c>
    </row>
    <row r="1998" spans="1:7" x14ac:dyDescent="0.3">
      <c r="A1998" s="80">
        <v>45684</v>
      </c>
      <c r="B1998">
        <v>3010212</v>
      </c>
      <c r="C1998">
        <v>1256.26</v>
      </c>
      <c r="E1998" s="80">
        <v>45678</v>
      </c>
      <c r="F1998">
        <v>2011310</v>
      </c>
      <c r="G1998">
        <v>5393.32</v>
      </c>
    </row>
    <row r="1999" spans="1:7" x14ac:dyDescent="0.3">
      <c r="A1999" s="80">
        <v>45684</v>
      </c>
      <c r="B1999">
        <v>3010212</v>
      </c>
      <c r="C1999">
        <v>1142.02</v>
      </c>
      <c r="E1999" s="80">
        <v>45677</v>
      </c>
      <c r="F1999">
        <v>2011310</v>
      </c>
      <c r="G1999">
        <v>5106.32</v>
      </c>
    </row>
    <row r="2000" spans="1:7" x14ac:dyDescent="0.3">
      <c r="A2000" s="80">
        <v>45684</v>
      </c>
      <c r="B2000">
        <v>3010212</v>
      </c>
      <c r="C2000">
        <v>1142.02</v>
      </c>
      <c r="E2000" s="80">
        <v>45677</v>
      </c>
      <c r="F2000">
        <v>2011310</v>
      </c>
      <c r="G2000">
        <v>5553.32</v>
      </c>
    </row>
    <row r="2001" spans="1:7" x14ac:dyDescent="0.3">
      <c r="A2001" s="80">
        <v>45684</v>
      </c>
      <c r="B2001">
        <v>3010212</v>
      </c>
      <c r="C2001">
        <v>1142.02</v>
      </c>
      <c r="E2001" s="80">
        <v>45677</v>
      </c>
      <c r="F2001">
        <v>2011310</v>
      </c>
      <c r="G2001">
        <v>5106.32</v>
      </c>
    </row>
    <row r="2002" spans="1:7" x14ac:dyDescent="0.3">
      <c r="A2002" s="80">
        <v>45684</v>
      </c>
      <c r="B2002">
        <v>3010212</v>
      </c>
      <c r="C2002">
        <v>2284.04</v>
      </c>
      <c r="E2002" s="80">
        <v>45677</v>
      </c>
      <c r="F2002">
        <v>2011310</v>
      </c>
      <c r="G2002">
        <v>5267.31</v>
      </c>
    </row>
    <row r="2003" spans="1:7" x14ac:dyDescent="0.3">
      <c r="A2003" s="80">
        <v>45684</v>
      </c>
      <c r="B2003">
        <v>3010212</v>
      </c>
      <c r="C2003">
        <v>1142.02</v>
      </c>
      <c r="E2003" s="80">
        <v>45677</v>
      </c>
      <c r="F2003">
        <v>2011310</v>
      </c>
      <c r="G2003">
        <v>5106.32</v>
      </c>
    </row>
    <row r="2004" spans="1:7" x14ac:dyDescent="0.3">
      <c r="A2004" s="80">
        <v>45683</v>
      </c>
      <c r="B2004">
        <v>3010212</v>
      </c>
      <c r="C2004">
        <v>1142.02</v>
      </c>
      <c r="E2004" s="80">
        <v>45677</v>
      </c>
      <c r="F2004">
        <v>2011310</v>
      </c>
      <c r="G2004">
        <v>5106.32</v>
      </c>
    </row>
    <row r="2005" spans="1:7" x14ac:dyDescent="0.3">
      <c r="A2005" s="80">
        <v>45683</v>
      </c>
      <c r="B2005">
        <v>3010212</v>
      </c>
      <c r="C2005">
        <v>1142.02</v>
      </c>
      <c r="E2005" s="80">
        <v>45676</v>
      </c>
      <c r="F2005">
        <v>2011310</v>
      </c>
      <c r="G2005">
        <v>5106.32</v>
      </c>
    </row>
    <row r="2006" spans="1:7" x14ac:dyDescent="0.3">
      <c r="A2006" s="80">
        <v>45683</v>
      </c>
      <c r="B2006">
        <v>3010212</v>
      </c>
      <c r="C2006">
        <v>1142.02</v>
      </c>
      <c r="E2006" s="80">
        <v>45676</v>
      </c>
      <c r="F2006">
        <v>2011310</v>
      </c>
      <c r="G2006">
        <v>5888.32</v>
      </c>
    </row>
    <row r="2007" spans="1:7" x14ac:dyDescent="0.3">
      <c r="A2007" s="80">
        <v>45683</v>
      </c>
      <c r="B2007">
        <v>3010212</v>
      </c>
      <c r="C2007">
        <v>1256.26</v>
      </c>
      <c r="E2007" s="80">
        <v>45676</v>
      </c>
      <c r="F2007">
        <v>2011310</v>
      </c>
      <c r="G2007">
        <v>5267.31</v>
      </c>
    </row>
    <row r="2008" spans="1:7" x14ac:dyDescent="0.3">
      <c r="A2008" s="80">
        <v>45683</v>
      </c>
      <c r="B2008">
        <v>3010212</v>
      </c>
      <c r="C2008">
        <v>1142.02</v>
      </c>
      <c r="E2008" s="80">
        <v>45676</v>
      </c>
      <c r="F2008">
        <v>2011310</v>
      </c>
      <c r="G2008">
        <v>5106.32</v>
      </c>
    </row>
    <row r="2009" spans="1:7" x14ac:dyDescent="0.3">
      <c r="A2009" s="80">
        <v>45683</v>
      </c>
      <c r="B2009">
        <v>3010212</v>
      </c>
      <c r="C2009">
        <v>1142.02</v>
      </c>
      <c r="E2009" s="80">
        <v>45676</v>
      </c>
      <c r="F2009">
        <v>2011310</v>
      </c>
      <c r="G2009">
        <v>5106.32</v>
      </c>
    </row>
    <row r="2010" spans="1:7" x14ac:dyDescent="0.3">
      <c r="A2010" s="80">
        <v>45683</v>
      </c>
      <c r="B2010">
        <v>3010212</v>
      </c>
      <c r="C2010">
        <v>1142.02</v>
      </c>
      <c r="E2010" s="80">
        <v>45676</v>
      </c>
      <c r="F2010">
        <v>2011310</v>
      </c>
      <c r="G2010">
        <v>5489.32</v>
      </c>
    </row>
    <row r="2011" spans="1:7" x14ac:dyDescent="0.3">
      <c r="A2011" s="80">
        <v>45683</v>
      </c>
      <c r="B2011">
        <v>3010212</v>
      </c>
      <c r="C2011">
        <v>1142.02</v>
      </c>
      <c r="E2011" s="80">
        <v>45676</v>
      </c>
      <c r="F2011">
        <v>2011310</v>
      </c>
      <c r="G2011">
        <v>5457.32</v>
      </c>
    </row>
    <row r="2012" spans="1:7" x14ac:dyDescent="0.3">
      <c r="A2012" s="80">
        <v>45682</v>
      </c>
      <c r="B2012">
        <v>3010212</v>
      </c>
      <c r="C2012">
        <v>1142.02</v>
      </c>
      <c r="E2012" s="80">
        <v>45676</v>
      </c>
      <c r="F2012">
        <v>2011310</v>
      </c>
      <c r="G2012">
        <v>5106.32</v>
      </c>
    </row>
    <row r="2013" spans="1:7" x14ac:dyDescent="0.3">
      <c r="A2013" s="80">
        <v>45682</v>
      </c>
      <c r="B2013">
        <v>3010212</v>
      </c>
      <c r="C2013">
        <v>1142.02</v>
      </c>
      <c r="E2013" s="80">
        <v>45676</v>
      </c>
      <c r="F2013">
        <v>2011310</v>
      </c>
      <c r="G2013">
        <v>4788.32</v>
      </c>
    </row>
    <row r="2014" spans="1:7" x14ac:dyDescent="0.3">
      <c r="A2014" s="80">
        <v>45682</v>
      </c>
      <c r="B2014">
        <v>3010212</v>
      </c>
      <c r="C2014">
        <v>1256.26</v>
      </c>
      <c r="E2014" s="80">
        <v>45676</v>
      </c>
      <c r="F2014">
        <v>2011310</v>
      </c>
      <c r="G2014">
        <v>5106.32</v>
      </c>
    </row>
    <row r="2015" spans="1:7" x14ac:dyDescent="0.3">
      <c r="A2015" s="80">
        <v>45682</v>
      </c>
      <c r="B2015">
        <v>3010212</v>
      </c>
      <c r="C2015">
        <v>1142.02</v>
      </c>
      <c r="E2015" s="80">
        <v>45676</v>
      </c>
      <c r="F2015">
        <v>2011310</v>
      </c>
      <c r="G2015">
        <v>4788.32</v>
      </c>
    </row>
    <row r="2016" spans="1:7" x14ac:dyDescent="0.3">
      <c r="A2016" s="80">
        <v>45682</v>
      </c>
      <c r="B2016">
        <v>3010212</v>
      </c>
      <c r="C2016">
        <v>1142.02</v>
      </c>
      <c r="E2016" s="80">
        <v>45676</v>
      </c>
      <c r="F2016">
        <v>2011310</v>
      </c>
      <c r="G2016">
        <v>1595.04</v>
      </c>
    </row>
    <row r="2017" spans="1:7" x14ac:dyDescent="0.3">
      <c r="A2017" s="80">
        <v>45682</v>
      </c>
      <c r="B2017">
        <v>3010212</v>
      </c>
      <c r="C2017">
        <v>1256.26</v>
      </c>
      <c r="E2017" s="80">
        <v>45676</v>
      </c>
      <c r="F2017">
        <v>2011310</v>
      </c>
      <c r="G2017">
        <v>4788.32</v>
      </c>
    </row>
    <row r="2018" spans="1:7" x14ac:dyDescent="0.3">
      <c r="A2018" s="80">
        <v>45682</v>
      </c>
      <c r="B2018">
        <v>3010212</v>
      </c>
      <c r="C2018">
        <v>1142.02</v>
      </c>
      <c r="E2018" s="80">
        <v>45676</v>
      </c>
      <c r="F2018">
        <v>2011310</v>
      </c>
      <c r="G2018">
        <v>5106.32</v>
      </c>
    </row>
    <row r="2019" spans="1:7" x14ac:dyDescent="0.3">
      <c r="A2019" s="80">
        <v>45682</v>
      </c>
      <c r="B2019">
        <v>3010212</v>
      </c>
      <c r="C2019">
        <v>1142.02</v>
      </c>
      <c r="E2019" s="80">
        <v>45676</v>
      </c>
      <c r="F2019">
        <v>2011310</v>
      </c>
      <c r="G2019">
        <v>5537.32</v>
      </c>
    </row>
    <row r="2020" spans="1:7" x14ac:dyDescent="0.3">
      <c r="A2020" s="80">
        <v>45682</v>
      </c>
      <c r="B2020">
        <v>3010212</v>
      </c>
      <c r="C2020">
        <v>1142.02</v>
      </c>
      <c r="E2020" s="80">
        <v>45676</v>
      </c>
      <c r="F2020">
        <v>2011310</v>
      </c>
      <c r="G2020">
        <v>5106.32</v>
      </c>
    </row>
    <row r="2021" spans="1:7" x14ac:dyDescent="0.3">
      <c r="A2021" s="80">
        <v>45682</v>
      </c>
      <c r="B2021">
        <v>3010212</v>
      </c>
      <c r="C2021">
        <v>1142.02</v>
      </c>
      <c r="E2021" s="80">
        <v>45676</v>
      </c>
      <c r="F2021">
        <v>2011310</v>
      </c>
      <c r="G2021">
        <v>5425.32</v>
      </c>
    </row>
    <row r="2022" spans="1:7" x14ac:dyDescent="0.3">
      <c r="A2022" s="80">
        <v>45682</v>
      </c>
      <c r="B2022">
        <v>3010212</v>
      </c>
      <c r="C2022">
        <v>1256.26</v>
      </c>
      <c r="E2022" s="80">
        <v>45676</v>
      </c>
      <c r="F2022">
        <v>2011310</v>
      </c>
      <c r="G2022">
        <v>1913.04</v>
      </c>
    </row>
    <row r="2023" spans="1:7" x14ac:dyDescent="0.3">
      <c r="A2023" s="80">
        <v>45682</v>
      </c>
      <c r="B2023">
        <v>3010212</v>
      </c>
      <c r="C2023">
        <v>1142.02</v>
      </c>
      <c r="E2023" s="80">
        <v>45675</v>
      </c>
      <c r="F2023">
        <v>2011310</v>
      </c>
      <c r="G2023">
        <v>5106.32</v>
      </c>
    </row>
    <row r="2024" spans="1:7" x14ac:dyDescent="0.3">
      <c r="A2024" s="80">
        <v>45682</v>
      </c>
      <c r="B2024">
        <v>3010212</v>
      </c>
      <c r="C2024">
        <v>1142.02</v>
      </c>
      <c r="E2024" s="80">
        <v>45675</v>
      </c>
      <c r="F2024">
        <v>2011310</v>
      </c>
      <c r="G2024">
        <v>4788.32</v>
      </c>
    </row>
    <row r="2025" spans="1:7" x14ac:dyDescent="0.3">
      <c r="A2025" s="80">
        <v>45682</v>
      </c>
      <c r="B2025">
        <v>3010212</v>
      </c>
      <c r="C2025">
        <v>1142.02</v>
      </c>
      <c r="E2025" s="80">
        <v>45675</v>
      </c>
      <c r="F2025">
        <v>2011310</v>
      </c>
      <c r="G2025">
        <v>5361.32</v>
      </c>
    </row>
    <row r="2026" spans="1:7" x14ac:dyDescent="0.3">
      <c r="A2026" s="80">
        <v>45682</v>
      </c>
      <c r="B2026">
        <v>3010212</v>
      </c>
      <c r="C2026">
        <v>1142.02</v>
      </c>
      <c r="E2026" s="80">
        <v>45675</v>
      </c>
      <c r="F2026">
        <v>2011310</v>
      </c>
      <c r="G2026">
        <v>5267.31</v>
      </c>
    </row>
    <row r="2027" spans="1:7" x14ac:dyDescent="0.3">
      <c r="A2027" s="80">
        <v>45681</v>
      </c>
      <c r="B2027">
        <v>3010212</v>
      </c>
      <c r="C2027">
        <v>1142.02</v>
      </c>
      <c r="E2027" s="80">
        <v>45675</v>
      </c>
      <c r="F2027">
        <v>2011310</v>
      </c>
      <c r="G2027">
        <v>4978.49</v>
      </c>
    </row>
    <row r="2028" spans="1:7" x14ac:dyDescent="0.3">
      <c r="A2028" s="80">
        <v>45681</v>
      </c>
      <c r="B2028">
        <v>3010212</v>
      </c>
      <c r="C2028">
        <v>1142.02</v>
      </c>
      <c r="E2028" s="80">
        <v>45675</v>
      </c>
      <c r="F2028">
        <v>2011310</v>
      </c>
      <c r="G2028">
        <v>4788.32</v>
      </c>
    </row>
    <row r="2029" spans="1:7" x14ac:dyDescent="0.3">
      <c r="A2029" s="80">
        <v>45681</v>
      </c>
      <c r="B2029">
        <v>3010212</v>
      </c>
      <c r="C2029">
        <v>1142.02</v>
      </c>
      <c r="E2029" s="80">
        <v>45675</v>
      </c>
      <c r="F2029">
        <v>2011310</v>
      </c>
      <c r="G2029">
        <v>5106.32</v>
      </c>
    </row>
    <row r="2030" spans="1:7" x14ac:dyDescent="0.3">
      <c r="A2030" s="80">
        <v>45681</v>
      </c>
      <c r="B2030">
        <v>3010212</v>
      </c>
      <c r="C2030">
        <v>1142.02</v>
      </c>
      <c r="E2030" s="80">
        <v>45675</v>
      </c>
      <c r="F2030">
        <v>2011310</v>
      </c>
      <c r="G2030">
        <v>5106.32</v>
      </c>
    </row>
    <row r="2031" spans="1:7" x14ac:dyDescent="0.3">
      <c r="A2031" s="80">
        <v>45681</v>
      </c>
      <c r="B2031">
        <v>3010212</v>
      </c>
      <c r="C2031">
        <v>1142.02</v>
      </c>
      <c r="E2031" s="80">
        <v>45675</v>
      </c>
      <c r="F2031">
        <v>2011310</v>
      </c>
      <c r="G2031">
        <v>4627.49</v>
      </c>
    </row>
    <row r="2032" spans="1:7" x14ac:dyDescent="0.3">
      <c r="A2032" s="80">
        <v>45681</v>
      </c>
      <c r="B2032">
        <v>3010212</v>
      </c>
      <c r="C2032">
        <v>1142.02</v>
      </c>
      <c r="E2032" s="80">
        <v>45675</v>
      </c>
      <c r="F2032">
        <v>2011310</v>
      </c>
      <c r="G2032">
        <v>5106.32</v>
      </c>
    </row>
    <row r="2033" spans="1:7" x14ac:dyDescent="0.3">
      <c r="A2033" s="80">
        <v>45681</v>
      </c>
      <c r="B2033">
        <v>3010212</v>
      </c>
      <c r="C2033">
        <v>1142.02</v>
      </c>
      <c r="E2033" s="80">
        <v>45675</v>
      </c>
      <c r="F2033">
        <v>2011310</v>
      </c>
      <c r="G2033">
        <v>5808.32</v>
      </c>
    </row>
    <row r="2034" spans="1:7" x14ac:dyDescent="0.3">
      <c r="A2034" s="80">
        <v>45681</v>
      </c>
      <c r="B2034">
        <v>3010212</v>
      </c>
      <c r="C2034">
        <v>1142.02</v>
      </c>
      <c r="E2034" s="80">
        <v>45674</v>
      </c>
      <c r="F2034">
        <v>2011310</v>
      </c>
      <c r="G2034">
        <v>5393.49</v>
      </c>
    </row>
    <row r="2035" spans="1:7" x14ac:dyDescent="0.3">
      <c r="A2035" s="80">
        <v>45680</v>
      </c>
      <c r="B2035">
        <v>3010212</v>
      </c>
      <c r="C2035">
        <v>1142.02</v>
      </c>
      <c r="E2035" s="80">
        <v>45674</v>
      </c>
      <c r="F2035">
        <v>2011310</v>
      </c>
      <c r="G2035">
        <v>5267.31</v>
      </c>
    </row>
    <row r="2036" spans="1:7" x14ac:dyDescent="0.3">
      <c r="A2036" s="80">
        <v>45680</v>
      </c>
      <c r="B2036">
        <v>3010212</v>
      </c>
      <c r="C2036">
        <v>1142.02</v>
      </c>
      <c r="E2036" s="80">
        <v>45674</v>
      </c>
      <c r="F2036">
        <v>2011310</v>
      </c>
      <c r="G2036">
        <v>4788.32</v>
      </c>
    </row>
    <row r="2037" spans="1:7" x14ac:dyDescent="0.3">
      <c r="A2037" s="80">
        <v>45680</v>
      </c>
      <c r="B2037">
        <v>3010212</v>
      </c>
      <c r="C2037">
        <v>1142.02</v>
      </c>
      <c r="E2037" s="80">
        <v>45674</v>
      </c>
      <c r="F2037">
        <v>2011310</v>
      </c>
      <c r="G2037">
        <v>5106.32</v>
      </c>
    </row>
    <row r="2038" spans="1:7" x14ac:dyDescent="0.3">
      <c r="A2038" s="80">
        <v>45680</v>
      </c>
      <c r="B2038">
        <v>3010212</v>
      </c>
      <c r="C2038">
        <v>1142.02</v>
      </c>
      <c r="E2038" s="80">
        <v>45674</v>
      </c>
      <c r="F2038">
        <v>2011310</v>
      </c>
      <c r="G2038">
        <v>4882.49</v>
      </c>
    </row>
    <row r="2039" spans="1:7" x14ac:dyDescent="0.3">
      <c r="A2039" s="80">
        <v>45680</v>
      </c>
      <c r="B2039">
        <v>3010212</v>
      </c>
      <c r="C2039">
        <v>1142.02</v>
      </c>
      <c r="E2039" s="80">
        <v>45674</v>
      </c>
      <c r="F2039">
        <v>2011310</v>
      </c>
      <c r="G2039">
        <v>4788.32</v>
      </c>
    </row>
    <row r="2040" spans="1:7" x14ac:dyDescent="0.3">
      <c r="A2040" s="80">
        <v>45680</v>
      </c>
      <c r="B2040">
        <v>3010212</v>
      </c>
      <c r="C2040">
        <v>1142.02</v>
      </c>
      <c r="E2040" s="80">
        <v>45674</v>
      </c>
      <c r="F2040">
        <v>2011310</v>
      </c>
      <c r="G2040">
        <v>4627.49</v>
      </c>
    </row>
    <row r="2041" spans="1:7" x14ac:dyDescent="0.3">
      <c r="A2041" s="80">
        <v>45680</v>
      </c>
      <c r="B2041">
        <v>3010212</v>
      </c>
      <c r="C2041">
        <v>1142.02</v>
      </c>
      <c r="E2041" s="80">
        <v>45674</v>
      </c>
      <c r="F2041">
        <v>2011310</v>
      </c>
      <c r="G2041">
        <v>5585.32</v>
      </c>
    </row>
    <row r="2042" spans="1:7" x14ac:dyDescent="0.3">
      <c r="A2042" s="80">
        <v>45679</v>
      </c>
      <c r="B2042">
        <v>3010212</v>
      </c>
      <c r="C2042">
        <v>1142.02</v>
      </c>
      <c r="E2042" s="80">
        <v>45674</v>
      </c>
      <c r="F2042">
        <v>2011310</v>
      </c>
      <c r="G2042">
        <v>4788.32</v>
      </c>
    </row>
    <row r="2043" spans="1:7" x14ac:dyDescent="0.3">
      <c r="A2043" s="80">
        <v>45679</v>
      </c>
      <c r="B2043">
        <v>3010212</v>
      </c>
      <c r="C2043">
        <v>1142.02</v>
      </c>
      <c r="E2043" s="80">
        <v>45674</v>
      </c>
      <c r="F2043">
        <v>2011310</v>
      </c>
      <c r="G2043">
        <v>1595.04</v>
      </c>
    </row>
    <row r="2044" spans="1:7" x14ac:dyDescent="0.3">
      <c r="A2044" s="80">
        <v>45679</v>
      </c>
      <c r="B2044">
        <v>3010212</v>
      </c>
      <c r="C2044">
        <v>1142.02</v>
      </c>
      <c r="E2044" s="80">
        <v>45674</v>
      </c>
      <c r="F2044">
        <v>2011310</v>
      </c>
      <c r="G2044">
        <v>5106.32</v>
      </c>
    </row>
    <row r="2045" spans="1:7" x14ac:dyDescent="0.3">
      <c r="A2045" s="80">
        <v>45679</v>
      </c>
      <c r="B2045">
        <v>3010212</v>
      </c>
      <c r="C2045">
        <v>1142.02</v>
      </c>
      <c r="E2045" s="80">
        <v>45673</v>
      </c>
      <c r="F2045">
        <v>2011310</v>
      </c>
      <c r="G2045">
        <v>5106.32</v>
      </c>
    </row>
    <row r="2046" spans="1:7" x14ac:dyDescent="0.3">
      <c r="A2046" s="80">
        <v>45679</v>
      </c>
      <c r="B2046">
        <v>3010212</v>
      </c>
      <c r="C2046">
        <v>1142.02</v>
      </c>
      <c r="E2046" s="80">
        <v>45673</v>
      </c>
      <c r="F2046">
        <v>2011310</v>
      </c>
      <c r="G2046">
        <v>5106.32</v>
      </c>
    </row>
    <row r="2047" spans="1:7" x14ac:dyDescent="0.3">
      <c r="A2047" s="80">
        <v>45679</v>
      </c>
      <c r="B2047">
        <v>3010212</v>
      </c>
      <c r="C2047">
        <v>1142.02</v>
      </c>
      <c r="E2047" s="80">
        <v>45673</v>
      </c>
      <c r="F2047">
        <v>2011310</v>
      </c>
      <c r="G2047">
        <v>5106.32</v>
      </c>
    </row>
    <row r="2048" spans="1:7" x14ac:dyDescent="0.3">
      <c r="A2048" s="80">
        <v>45679</v>
      </c>
      <c r="B2048">
        <v>3010212</v>
      </c>
      <c r="C2048">
        <v>2055.64</v>
      </c>
      <c r="E2048" s="80">
        <v>45673</v>
      </c>
      <c r="F2048">
        <v>2011310</v>
      </c>
      <c r="G2048">
        <v>5106.32</v>
      </c>
    </row>
    <row r="2049" spans="1:7" x14ac:dyDescent="0.3">
      <c r="A2049" s="80">
        <v>45679</v>
      </c>
      <c r="B2049">
        <v>3010212</v>
      </c>
      <c r="C2049">
        <v>1027.82</v>
      </c>
      <c r="E2049" s="80">
        <v>45673</v>
      </c>
      <c r="F2049">
        <v>2011310</v>
      </c>
      <c r="G2049">
        <v>5106.32</v>
      </c>
    </row>
    <row r="2050" spans="1:7" x14ac:dyDescent="0.3">
      <c r="A2050" s="80">
        <v>45679</v>
      </c>
      <c r="B2050">
        <v>3010212</v>
      </c>
      <c r="C2050">
        <v>1142.02</v>
      </c>
      <c r="E2050" s="80">
        <v>45673</v>
      </c>
      <c r="F2050">
        <v>2011310</v>
      </c>
      <c r="G2050">
        <v>5267.31</v>
      </c>
    </row>
    <row r="2051" spans="1:7" x14ac:dyDescent="0.3">
      <c r="A2051" s="80">
        <v>45678</v>
      </c>
      <c r="B2051">
        <v>3010212</v>
      </c>
      <c r="C2051">
        <v>1142.02</v>
      </c>
      <c r="E2051" s="80">
        <v>45672</v>
      </c>
      <c r="F2051">
        <v>2011310</v>
      </c>
      <c r="G2051">
        <v>4627.49</v>
      </c>
    </row>
    <row r="2052" spans="1:7" x14ac:dyDescent="0.3">
      <c r="A2052" s="80">
        <v>45678</v>
      </c>
      <c r="B2052">
        <v>3010212</v>
      </c>
      <c r="C2052">
        <v>1142.02</v>
      </c>
      <c r="E2052" s="80">
        <v>45672</v>
      </c>
      <c r="F2052">
        <v>2011310</v>
      </c>
      <c r="G2052">
        <v>5537.32</v>
      </c>
    </row>
    <row r="2053" spans="1:7" x14ac:dyDescent="0.3">
      <c r="A2053" s="80">
        <v>45678</v>
      </c>
      <c r="B2053">
        <v>3010212</v>
      </c>
      <c r="C2053">
        <v>1142.02</v>
      </c>
      <c r="E2053" s="80">
        <v>45672</v>
      </c>
      <c r="F2053">
        <v>2011310</v>
      </c>
      <c r="G2053">
        <v>5473.32</v>
      </c>
    </row>
    <row r="2054" spans="1:7" x14ac:dyDescent="0.3">
      <c r="A2054" s="80">
        <v>45678</v>
      </c>
      <c r="B2054">
        <v>3010212</v>
      </c>
      <c r="C2054">
        <v>1142.02</v>
      </c>
      <c r="E2054" s="80">
        <v>45672</v>
      </c>
      <c r="F2054">
        <v>2011310</v>
      </c>
      <c r="G2054">
        <v>5106.32</v>
      </c>
    </row>
    <row r="2055" spans="1:7" x14ac:dyDescent="0.3">
      <c r="A2055" s="80">
        <v>45678</v>
      </c>
      <c r="B2055">
        <v>3010212</v>
      </c>
      <c r="C2055">
        <v>1142.02</v>
      </c>
      <c r="E2055" s="80">
        <v>45672</v>
      </c>
      <c r="F2055">
        <v>2011310</v>
      </c>
      <c r="G2055">
        <v>5106.32</v>
      </c>
    </row>
    <row r="2056" spans="1:7" x14ac:dyDescent="0.3">
      <c r="A2056" s="80">
        <v>45678</v>
      </c>
      <c r="B2056">
        <v>3010212</v>
      </c>
      <c r="C2056">
        <v>1142.02</v>
      </c>
      <c r="E2056" s="80">
        <v>45672</v>
      </c>
      <c r="F2056">
        <v>2011310</v>
      </c>
      <c r="G2056">
        <v>5106.32</v>
      </c>
    </row>
    <row r="2057" spans="1:7" x14ac:dyDescent="0.3">
      <c r="A2057" s="80">
        <v>45678</v>
      </c>
      <c r="B2057">
        <v>3010212</v>
      </c>
      <c r="C2057">
        <v>1142.02</v>
      </c>
      <c r="E2057" s="80">
        <v>45672</v>
      </c>
      <c r="F2057">
        <v>2011310</v>
      </c>
      <c r="G2057">
        <v>5106.32</v>
      </c>
    </row>
    <row r="2058" spans="1:7" x14ac:dyDescent="0.3">
      <c r="A2058" s="80">
        <v>45678</v>
      </c>
      <c r="B2058">
        <v>3010212</v>
      </c>
      <c r="C2058">
        <v>1142.02</v>
      </c>
      <c r="E2058" s="80">
        <v>45672</v>
      </c>
      <c r="F2058">
        <v>2011310</v>
      </c>
      <c r="G2058">
        <v>4788.32</v>
      </c>
    </row>
    <row r="2059" spans="1:7" x14ac:dyDescent="0.3">
      <c r="A2059" s="80">
        <v>45678</v>
      </c>
      <c r="B2059">
        <v>3010212</v>
      </c>
      <c r="C2059">
        <v>1142.02</v>
      </c>
      <c r="E2059" s="80">
        <v>45672</v>
      </c>
      <c r="F2059">
        <v>2011310</v>
      </c>
      <c r="G2059">
        <v>4788.32</v>
      </c>
    </row>
    <row r="2060" spans="1:7" x14ac:dyDescent="0.3">
      <c r="A2060" s="80">
        <v>45678</v>
      </c>
      <c r="B2060">
        <v>3010212</v>
      </c>
      <c r="C2060">
        <v>1142.02</v>
      </c>
      <c r="E2060" s="80">
        <v>45672</v>
      </c>
      <c r="F2060">
        <v>2011310</v>
      </c>
      <c r="G2060">
        <v>5425.32</v>
      </c>
    </row>
    <row r="2061" spans="1:7" x14ac:dyDescent="0.3">
      <c r="A2061" s="80">
        <v>45678</v>
      </c>
      <c r="B2061">
        <v>3010212</v>
      </c>
      <c r="C2061">
        <v>1027.82</v>
      </c>
      <c r="E2061" s="80">
        <v>45672</v>
      </c>
      <c r="F2061">
        <v>2011310</v>
      </c>
      <c r="G2061">
        <v>5106.32</v>
      </c>
    </row>
    <row r="2062" spans="1:7" x14ac:dyDescent="0.3">
      <c r="A2062" s="80">
        <v>45678</v>
      </c>
      <c r="B2062">
        <v>3010212</v>
      </c>
      <c r="C2062">
        <v>1142.02</v>
      </c>
      <c r="E2062" s="80">
        <v>45672</v>
      </c>
      <c r="F2062">
        <v>2011310</v>
      </c>
      <c r="G2062">
        <v>5106.32</v>
      </c>
    </row>
    <row r="2063" spans="1:7" x14ac:dyDescent="0.3">
      <c r="A2063" s="80">
        <v>45678</v>
      </c>
      <c r="B2063">
        <v>3010212</v>
      </c>
      <c r="C2063">
        <v>1142.02</v>
      </c>
      <c r="E2063" s="80">
        <v>45672</v>
      </c>
      <c r="F2063">
        <v>2011310</v>
      </c>
      <c r="G2063">
        <v>5106.32</v>
      </c>
    </row>
    <row r="2064" spans="1:7" x14ac:dyDescent="0.3">
      <c r="A2064" s="80">
        <v>45678</v>
      </c>
      <c r="B2064">
        <v>3010212</v>
      </c>
      <c r="C2064">
        <v>1142.02</v>
      </c>
      <c r="E2064" s="80">
        <v>45671</v>
      </c>
      <c r="F2064">
        <v>2011310</v>
      </c>
      <c r="G2064">
        <v>5537.32</v>
      </c>
    </row>
    <row r="2065" spans="1:7" x14ac:dyDescent="0.3">
      <c r="A2065" s="80">
        <v>45677</v>
      </c>
      <c r="B2065">
        <v>3010212</v>
      </c>
      <c r="C2065">
        <v>1142.02</v>
      </c>
      <c r="E2065" s="80">
        <v>45671</v>
      </c>
      <c r="F2065">
        <v>2011310</v>
      </c>
      <c r="G2065">
        <v>5553.32</v>
      </c>
    </row>
    <row r="2066" spans="1:7" x14ac:dyDescent="0.3">
      <c r="A2066" s="80">
        <v>45677</v>
      </c>
      <c r="B2066">
        <v>3010212</v>
      </c>
      <c r="C2066">
        <v>1142.02</v>
      </c>
      <c r="E2066" s="80">
        <v>45671</v>
      </c>
      <c r="F2066">
        <v>2011310</v>
      </c>
      <c r="G2066">
        <v>5106.32</v>
      </c>
    </row>
    <row r="2067" spans="1:7" x14ac:dyDescent="0.3">
      <c r="A2067" s="80">
        <v>45677</v>
      </c>
      <c r="B2067">
        <v>3010212</v>
      </c>
      <c r="C2067">
        <v>1142.02</v>
      </c>
      <c r="E2067" s="80">
        <v>45671</v>
      </c>
      <c r="F2067">
        <v>2011310</v>
      </c>
      <c r="G2067">
        <v>5106.32</v>
      </c>
    </row>
    <row r="2068" spans="1:7" x14ac:dyDescent="0.3">
      <c r="A2068" s="80">
        <v>45677</v>
      </c>
      <c r="B2068">
        <v>3010212</v>
      </c>
      <c r="C2068">
        <v>1256.26</v>
      </c>
      <c r="E2068" s="80">
        <v>45671</v>
      </c>
      <c r="F2068">
        <v>2011310</v>
      </c>
      <c r="G2068">
        <v>1595.04</v>
      </c>
    </row>
    <row r="2069" spans="1:7" x14ac:dyDescent="0.3">
      <c r="A2069" s="80">
        <v>45677</v>
      </c>
      <c r="B2069">
        <v>3010212</v>
      </c>
      <c r="C2069">
        <v>1142.02</v>
      </c>
      <c r="E2069" s="80">
        <v>45671</v>
      </c>
      <c r="F2069">
        <v>2011310</v>
      </c>
      <c r="G2069">
        <v>4788.32</v>
      </c>
    </row>
    <row r="2070" spans="1:7" x14ac:dyDescent="0.3">
      <c r="A2070" s="80">
        <v>45677</v>
      </c>
      <c r="B2070">
        <v>3010212</v>
      </c>
      <c r="C2070">
        <v>1142.02</v>
      </c>
      <c r="E2070" s="80">
        <v>45671</v>
      </c>
      <c r="F2070">
        <v>2011310</v>
      </c>
      <c r="G2070">
        <v>5106.32</v>
      </c>
    </row>
    <row r="2071" spans="1:7" x14ac:dyDescent="0.3">
      <c r="A2071" s="80">
        <v>45676</v>
      </c>
      <c r="B2071">
        <v>3010212</v>
      </c>
      <c r="C2071">
        <v>1142.02</v>
      </c>
      <c r="E2071" s="80">
        <v>45671</v>
      </c>
      <c r="F2071">
        <v>2011310</v>
      </c>
      <c r="G2071">
        <v>5267.31</v>
      </c>
    </row>
    <row r="2072" spans="1:7" x14ac:dyDescent="0.3">
      <c r="A2072" s="80">
        <v>45676</v>
      </c>
      <c r="B2072">
        <v>3010212</v>
      </c>
      <c r="C2072">
        <v>1142.02</v>
      </c>
      <c r="E2072" s="80">
        <v>45671</v>
      </c>
      <c r="F2072">
        <v>2011310</v>
      </c>
      <c r="G2072">
        <v>5267.31</v>
      </c>
    </row>
    <row r="2073" spans="1:7" x14ac:dyDescent="0.3">
      <c r="A2073" s="80">
        <v>45676</v>
      </c>
      <c r="B2073">
        <v>3010212</v>
      </c>
      <c r="C2073">
        <v>1256.26</v>
      </c>
      <c r="E2073" s="80">
        <v>45670</v>
      </c>
      <c r="F2073">
        <v>2011310</v>
      </c>
      <c r="G2073">
        <v>5457.32</v>
      </c>
    </row>
    <row r="2074" spans="1:7" x14ac:dyDescent="0.3">
      <c r="A2074" s="80">
        <v>45676</v>
      </c>
      <c r="B2074">
        <v>3010212</v>
      </c>
      <c r="C2074">
        <v>1142.02</v>
      </c>
      <c r="E2074" s="80">
        <v>45670</v>
      </c>
      <c r="F2074">
        <v>2011310</v>
      </c>
      <c r="G2074">
        <v>5425.32</v>
      </c>
    </row>
    <row r="2075" spans="1:7" x14ac:dyDescent="0.3">
      <c r="A2075" s="80">
        <v>45676</v>
      </c>
      <c r="B2075">
        <v>3010212</v>
      </c>
      <c r="C2075">
        <v>1142.02</v>
      </c>
      <c r="E2075" s="80">
        <v>45670</v>
      </c>
      <c r="F2075">
        <v>2011310</v>
      </c>
      <c r="G2075">
        <v>5106.32</v>
      </c>
    </row>
    <row r="2076" spans="1:7" x14ac:dyDescent="0.3">
      <c r="A2076" s="80">
        <v>45676</v>
      </c>
      <c r="B2076">
        <v>3010212</v>
      </c>
      <c r="C2076">
        <v>1142.02</v>
      </c>
      <c r="E2076" s="80">
        <v>45670</v>
      </c>
      <c r="F2076">
        <v>2011310</v>
      </c>
      <c r="G2076">
        <v>5106.32</v>
      </c>
    </row>
    <row r="2077" spans="1:7" x14ac:dyDescent="0.3">
      <c r="A2077" s="80">
        <v>45676</v>
      </c>
      <c r="B2077">
        <v>3010212</v>
      </c>
      <c r="C2077">
        <v>1142.02</v>
      </c>
      <c r="E2077" s="80">
        <v>45670</v>
      </c>
      <c r="F2077">
        <v>2011310</v>
      </c>
      <c r="G2077">
        <v>5106.32</v>
      </c>
    </row>
    <row r="2078" spans="1:7" x14ac:dyDescent="0.3">
      <c r="A2078" s="80">
        <v>45676</v>
      </c>
      <c r="B2078">
        <v>3010212</v>
      </c>
      <c r="C2078">
        <v>1142.02</v>
      </c>
      <c r="E2078" s="80">
        <v>45670</v>
      </c>
      <c r="F2078">
        <v>2011310</v>
      </c>
      <c r="G2078">
        <v>4914.49</v>
      </c>
    </row>
    <row r="2079" spans="1:7" x14ac:dyDescent="0.3">
      <c r="A2079" s="80">
        <v>45676</v>
      </c>
      <c r="B2079">
        <v>3010212</v>
      </c>
      <c r="C2079">
        <v>1142.02</v>
      </c>
      <c r="E2079" s="80">
        <v>45669</v>
      </c>
      <c r="F2079">
        <v>2011310</v>
      </c>
      <c r="G2079">
        <v>5267.31</v>
      </c>
    </row>
    <row r="2080" spans="1:7" x14ac:dyDescent="0.3">
      <c r="A2080" s="80">
        <v>45676</v>
      </c>
      <c r="B2080">
        <v>3010212</v>
      </c>
      <c r="C2080">
        <v>1142.02</v>
      </c>
      <c r="E2080" s="80">
        <v>45669</v>
      </c>
      <c r="F2080">
        <v>2011310</v>
      </c>
      <c r="G2080">
        <v>5585.31</v>
      </c>
    </row>
    <row r="2081" spans="1:7" x14ac:dyDescent="0.3">
      <c r="A2081" s="80">
        <v>45676</v>
      </c>
      <c r="B2081">
        <v>3010212</v>
      </c>
      <c r="C2081">
        <v>1142.02</v>
      </c>
      <c r="E2081" s="80">
        <v>45669</v>
      </c>
      <c r="F2081">
        <v>2011310</v>
      </c>
      <c r="G2081">
        <v>5585.31</v>
      </c>
    </row>
    <row r="2082" spans="1:7" x14ac:dyDescent="0.3">
      <c r="A2082" s="80">
        <v>45676</v>
      </c>
      <c r="B2082">
        <v>3010212</v>
      </c>
      <c r="C2082">
        <v>380.42</v>
      </c>
      <c r="E2082" s="80">
        <v>45669</v>
      </c>
      <c r="F2082">
        <v>2011310</v>
      </c>
      <c r="G2082">
        <v>5840.31</v>
      </c>
    </row>
    <row r="2083" spans="1:7" x14ac:dyDescent="0.3">
      <c r="A2083" s="80">
        <v>45676</v>
      </c>
      <c r="B2083">
        <v>3010212</v>
      </c>
      <c r="C2083">
        <v>1142.02</v>
      </c>
      <c r="E2083" s="80">
        <v>45669</v>
      </c>
      <c r="F2083">
        <v>2011310</v>
      </c>
      <c r="G2083">
        <v>5585.31</v>
      </c>
    </row>
    <row r="2084" spans="1:7" x14ac:dyDescent="0.3">
      <c r="A2084" s="80">
        <v>45676</v>
      </c>
      <c r="B2084">
        <v>3010212</v>
      </c>
      <c r="C2084">
        <v>1142.02</v>
      </c>
      <c r="E2084" s="80">
        <v>45669</v>
      </c>
      <c r="F2084">
        <v>2011310</v>
      </c>
      <c r="G2084">
        <v>5936.31</v>
      </c>
    </row>
    <row r="2085" spans="1:7" x14ac:dyDescent="0.3">
      <c r="A2085" s="80">
        <v>45676</v>
      </c>
      <c r="B2085">
        <v>3010212</v>
      </c>
      <c r="C2085">
        <v>1142.02</v>
      </c>
      <c r="E2085" s="80">
        <v>45669</v>
      </c>
      <c r="F2085">
        <v>2011310</v>
      </c>
      <c r="G2085">
        <v>5585.31</v>
      </c>
    </row>
    <row r="2086" spans="1:7" x14ac:dyDescent="0.3">
      <c r="A2086" s="80">
        <v>45676</v>
      </c>
      <c r="B2086">
        <v>3010212</v>
      </c>
      <c r="C2086">
        <v>1142.02</v>
      </c>
      <c r="E2086" s="80">
        <v>45669</v>
      </c>
      <c r="F2086">
        <v>2011310</v>
      </c>
      <c r="G2086">
        <v>5585.31</v>
      </c>
    </row>
    <row r="2087" spans="1:7" x14ac:dyDescent="0.3">
      <c r="A2087" s="80">
        <v>45676</v>
      </c>
      <c r="B2087">
        <v>3010212</v>
      </c>
      <c r="C2087">
        <v>1142.02</v>
      </c>
      <c r="E2087" s="80">
        <v>45668</v>
      </c>
      <c r="F2087">
        <v>2011310</v>
      </c>
      <c r="G2087">
        <v>5106.32</v>
      </c>
    </row>
    <row r="2088" spans="1:7" x14ac:dyDescent="0.3">
      <c r="A2088" s="80">
        <v>45676</v>
      </c>
      <c r="B2088">
        <v>3010212</v>
      </c>
      <c r="C2088">
        <v>380.42</v>
      </c>
      <c r="E2088" s="80">
        <v>45668</v>
      </c>
      <c r="F2088">
        <v>2011310</v>
      </c>
      <c r="G2088">
        <v>5553.32</v>
      </c>
    </row>
    <row r="2089" spans="1:7" x14ac:dyDescent="0.3">
      <c r="A2089" s="80">
        <v>45675</v>
      </c>
      <c r="B2089">
        <v>3010212</v>
      </c>
      <c r="C2089">
        <v>1142.02</v>
      </c>
      <c r="E2089" s="80">
        <v>45668</v>
      </c>
      <c r="F2089">
        <v>2011310</v>
      </c>
      <c r="G2089">
        <v>5489.32</v>
      </c>
    </row>
    <row r="2090" spans="1:7" x14ac:dyDescent="0.3">
      <c r="A2090" s="80">
        <v>45675</v>
      </c>
      <c r="B2090">
        <v>3010212</v>
      </c>
      <c r="C2090">
        <v>1142.02</v>
      </c>
      <c r="E2090" s="80">
        <v>45668</v>
      </c>
      <c r="F2090">
        <v>2011310</v>
      </c>
      <c r="G2090">
        <v>5361.32</v>
      </c>
    </row>
    <row r="2091" spans="1:7" x14ac:dyDescent="0.3">
      <c r="A2091" s="80">
        <v>45675</v>
      </c>
      <c r="B2091">
        <v>3010212</v>
      </c>
      <c r="C2091">
        <v>1142.02</v>
      </c>
      <c r="E2091" s="80">
        <v>45668</v>
      </c>
      <c r="F2091">
        <v>2011310</v>
      </c>
      <c r="G2091">
        <v>5510.32</v>
      </c>
    </row>
    <row r="2092" spans="1:7" x14ac:dyDescent="0.3">
      <c r="A2092" s="80">
        <v>45675</v>
      </c>
      <c r="B2092">
        <v>3010212</v>
      </c>
      <c r="C2092">
        <v>1256.26</v>
      </c>
      <c r="E2092" s="80">
        <v>45668</v>
      </c>
      <c r="F2092">
        <v>2011310</v>
      </c>
      <c r="G2092">
        <v>5106.32</v>
      </c>
    </row>
    <row r="2093" spans="1:7" x14ac:dyDescent="0.3">
      <c r="A2093" s="80">
        <v>45675</v>
      </c>
      <c r="B2093">
        <v>3010212</v>
      </c>
      <c r="C2093">
        <v>1027.82</v>
      </c>
      <c r="E2093" s="80">
        <v>45668</v>
      </c>
      <c r="F2093">
        <v>2011310</v>
      </c>
      <c r="G2093">
        <v>5106.32</v>
      </c>
    </row>
    <row r="2094" spans="1:7" x14ac:dyDescent="0.3">
      <c r="A2094" s="80">
        <v>45675</v>
      </c>
      <c r="B2094">
        <v>3010212</v>
      </c>
      <c r="C2094">
        <v>1142.02</v>
      </c>
      <c r="E2094" s="80">
        <v>45668</v>
      </c>
      <c r="F2094">
        <v>2011310</v>
      </c>
      <c r="G2094">
        <v>4788.32</v>
      </c>
    </row>
    <row r="2095" spans="1:7" x14ac:dyDescent="0.3">
      <c r="A2095" s="80">
        <v>45675</v>
      </c>
      <c r="B2095">
        <v>3010212</v>
      </c>
      <c r="C2095">
        <v>1142.02</v>
      </c>
      <c r="E2095" s="80">
        <v>45668</v>
      </c>
      <c r="F2095">
        <v>2011310</v>
      </c>
      <c r="G2095">
        <v>4788.32</v>
      </c>
    </row>
    <row r="2096" spans="1:7" x14ac:dyDescent="0.3">
      <c r="A2096" s="80">
        <v>45675</v>
      </c>
      <c r="B2096">
        <v>3010212</v>
      </c>
      <c r="C2096">
        <v>1142.02</v>
      </c>
      <c r="E2096" s="80">
        <v>45668</v>
      </c>
      <c r="F2096">
        <v>2011310</v>
      </c>
      <c r="G2096">
        <v>5106.32</v>
      </c>
    </row>
    <row r="2097" spans="1:7" x14ac:dyDescent="0.3">
      <c r="A2097" s="80">
        <v>45675</v>
      </c>
      <c r="B2097">
        <v>3010212</v>
      </c>
      <c r="C2097">
        <v>1027.82</v>
      </c>
      <c r="E2097" s="80">
        <v>45668</v>
      </c>
      <c r="F2097">
        <v>2011310</v>
      </c>
      <c r="G2097">
        <v>5106.32</v>
      </c>
    </row>
    <row r="2098" spans="1:7" x14ac:dyDescent="0.3">
      <c r="A2098" s="80">
        <v>45675</v>
      </c>
      <c r="B2098">
        <v>3010212</v>
      </c>
      <c r="C2098">
        <v>1142.02</v>
      </c>
      <c r="E2098" s="80">
        <v>45668</v>
      </c>
      <c r="F2098">
        <v>2011310</v>
      </c>
      <c r="G2098">
        <v>5106.32</v>
      </c>
    </row>
    <row r="2099" spans="1:7" x14ac:dyDescent="0.3">
      <c r="A2099" s="80">
        <v>45675</v>
      </c>
      <c r="B2099">
        <v>3010212</v>
      </c>
      <c r="C2099">
        <v>1142.02</v>
      </c>
      <c r="E2099" s="80">
        <v>45668</v>
      </c>
      <c r="F2099">
        <v>2011310</v>
      </c>
      <c r="G2099">
        <v>5106.32</v>
      </c>
    </row>
    <row r="2100" spans="1:7" x14ac:dyDescent="0.3">
      <c r="A2100" s="80">
        <v>45674</v>
      </c>
      <c r="B2100">
        <v>3010212</v>
      </c>
      <c r="C2100">
        <v>1027.82</v>
      </c>
      <c r="E2100" s="80">
        <v>45668</v>
      </c>
      <c r="F2100">
        <v>2011310</v>
      </c>
      <c r="G2100">
        <v>4788.32</v>
      </c>
    </row>
    <row r="2101" spans="1:7" x14ac:dyDescent="0.3">
      <c r="A2101" s="80">
        <v>45674</v>
      </c>
      <c r="B2101">
        <v>3010212</v>
      </c>
      <c r="C2101">
        <v>1256.26</v>
      </c>
      <c r="E2101" s="80">
        <v>45668</v>
      </c>
      <c r="F2101">
        <v>2011310</v>
      </c>
      <c r="G2101">
        <v>5361.32</v>
      </c>
    </row>
    <row r="2102" spans="1:7" x14ac:dyDescent="0.3">
      <c r="A2102" s="80">
        <v>45674</v>
      </c>
      <c r="B2102">
        <v>3010212</v>
      </c>
      <c r="C2102">
        <v>1142.02</v>
      </c>
      <c r="E2102" s="80">
        <v>45667</v>
      </c>
      <c r="F2102">
        <v>2011310</v>
      </c>
      <c r="G2102">
        <v>5425.32</v>
      </c>
    </row>
    <row r="2103" spans="1:7" x14ac:dyDescent="0.3">
      <c r="A2103" s="80">
        <v>45674</v>
      </c>
      <c r="B2103">
        <v>3010212</v>
      </c>
      <c r="C2103">
        <v>1142.02</v>
      </c>
      <c r="E2103" s="80">
        <v>45667</v>
      </c>
      <c r="F2103">
        <v>2011310</v>
      </c>
      <c r="G2103">
        <v>5106.32</v>
      </c>
    </row>
    <row r="2104" spans="1:7" x14ac:dyDescent="0.3">
      <c r="A2104" s="80">
        <v>45674</v>
      </c>
      <c r="B2104">
        <v>3010212</v>
      </c>
      <c r="C2104">
        <v>1027.82</v>
      </c>
      <c r="E2104" s="80">
        <v>45667</v>
      </c>
      <c r="F2104">
        <v>2011310</v>
      </c>
      <c r="G2104">
        <v>5106.32</v>
      </c>
    </row>
    <row r="2105" spans="1:7" x14ac:dyDescent="0.3">
      <c r="A2105" s="80">
        <v>45674</v>
      </c>
      <c r="B2105">
        <v>3010212</v>
      </c>
      <c r="C2105">
        <v>1142.02</v>
      </c>
      <c r="E2105" s="80">
        <v>45667</v>
      </c>
      <c r="F2105">
        <v>2011310</v>
      </c>
      <c r="G2105">
        <v>4788.32</v>
      </c>
    </row>
    <row r="2106" spans="1:7" x14ac:dyDescent="0.3">
      <c r="A2106" s="80">
        <v>45674</v>
      </c>
      <c r="B2106">
        <v>3010212</v>
      </c>
      <c r="C2106">
        <v>1027.82</v>
      </c>
      <c r="E2106" s="80">
        <v>45667</v>
      </c>
      <c r="F2106">
        <v>2011310</v>
      </c>
      <c r="G2106">
        <v>4788.32</v>
      </c>
    </row>
    <row r="2107" spans="1:7" x14ac:dyDescent="0.3">
      <c r="A2107" s="80">
        <v>45674</v>
      </c>
      <c r="B2107">
        <v>3010212</v>
      </c>
      <c r="C2107">
        <v>1142.02</v>
      </c>
      <c r="E2107" s="80">
        <v>45667</v>
      </c>
      <c r="F2107">
        <v>2011310</v>
      </c>
      <c r="G2107">
        <v>5106.32</v>
      </c>
    </row>
    <row r="2108" spans="1:7" x14ac:dyDescent="0.3">
      <c r="A2108" s="80">
        <v>45674</v>
      </c>
      <c r="B2108">
        <v>3010212</v>
      </c>
      <c r="C2108">
        <v>1142.02</v>
      </c>
      <c r="E2108" s="80">
        <v>45667</v>
      </c>
      <c r="F2108">
        <v>2011310</v>
      </c>
      <c r="G2108">
        <v>5505.32</v>
      </c>
    </row>
    <row r="2109" spans="1:7" x14ac:dyDescent="0.3">
      <c r="A2109" s="80">
        <v>45674</v>
      </c>
      <c r="B2109">
        <v>3010212</v>
      </c>
      <c r="C2109">
        <v>380.42</v>
      </c>
      <c r="E2109" s="80">
        <v>45667</v>
      </c>
      <c r="F2109">
        <v>2011310</v>
      </c>
      <c r="G2109">
        <v>4788.32</v>
      </c>
    </row>
    <row r="2110" spans="1:7" x14ac:dyDescent="0.3">
      <c r="A2110" s="80">
        <v>45674</v>
      </c>
      <c r="B2110">
        <v>3010212</v>
      </c>
      <c r="C2110">
        <v>1142.02</v>
      </c>
      <c r="E2110" s="80">
        <v>45667</v>
      </c>
      <c r="F2110">
        <v>2011310</v>
      </c>
      <c r="G2110">
        <v>4788.32</v>
      </c>
    </row>
    <row r="2111" spans="1:7" x14ac:dyDescent="0.3">
      <c r="A2111" s="80">
        <v>45673</v>
      </c>
      <c r="B2111">
        <v>3010212</v>
      </c>
      <c r="C2111">
        <v>1142.02</v>
      </c>
      <c r="E2111" s="80">
        <v>45667</v>
      </c>
      <c r="F2111">
        <v>2011310</v>
      </c>
      <c r="G2111">
        <v>5106.32</v>
      </c>
    </row>
    <row r="2112" spans="1:7" x14ac:dyDescent="0.3">
      <c r="A2112" s="80">
        <v>45673</v>
      </c>
      <c r="B2112">
        <v>3010212</v>
      </c>
      <c r="C2112">
        <v>1142.02</v>
      </c>
      <c r="E2112" s="80">
        <v>45667</v>
      </c>
      <c r="F2112">
        <v>2011310</v>
      </c>
      <c r="G2112">
        <v>4788.32</v>
      </c>
    </row>
    <row r="2113" spans="1:7" x14ac:dyDescent="0.3">
      <c r="A2113" s="80">
        <v>45673</v>
      </c>
      <c r="B2113">
        <v>3010212</v>
      </c>
      <c r="C2113">
        <v>1142.02</v>
      </c>
      <c r="E2113" s="80">
        <v>45667</v>
      </c>
      <c r="F2113">
        <v>2011310</v>
      </c>
      <c r="G2113">
        <v>4788.32</v>
      </c>
    </row>
    <row r="2114" spans="1:7" x14ac:dyDescent="0.3">
      <c r="A2114" s="80">
        <v>45673</v>
      </c>
      <c r="B2114">
        <v>3010212</v>
      </c>
      <c r="C2114">
        <v>1142.02</v>
      </c>
      <c r="E2114" s="80">
        <v>45667</v>
      </c>
      <c r="F2114">
        <v>2011310</v>
      </c>
      <c r="G2114">
        <v>5106.32</v>
      </c>
    </row>
    <row r="2115" spans="1:7" x14ac:dyDescent="0.3">
      <c r="A2115" s="80">
        <v>45673</v>
      </c>
      <c r="B2115">
        <v>3010212</v>
      </c>
      <c r="C2115">
        <v>1142.02</v>
      </c>
      <c r="E2115" s="80">
        <v>45667</v>
      </c>
      <c r="F2115">
        <v>2011310</v>
      </c>
      <c r="G2115">
        <v>5106.32</v>
      </c>
    </row>
    <row r="2116" spans="1:7" x14ac:dyDescent="0.3">
      <c r="A2116" s="80">
        <v>45673</v>
      </c>
      <c r="B2116">
        <v>3010212</v>
      </c>
      <c r="C2116">
        <v>1256.26</v>
      </c>
      <c r="E2116" s="80">
        <v>45667</v>
      </c>
      <c r="F2116">
        <v>2011310</v>
      </c>
      <c r="G2116">
        <v>4788.32</v>
      </c>
    </row>
    <row r="2117" spans="1:7" x14ac:dyDescent="0.3">
      <c r="A2117" s="80">
        <v>45672</v>
      </c>
      <c r="B2117">
        <v>3010212</v>
      </c>
      <c r="C2117">
        <v>1027.82</v>
      </c>
      <c r="E2117" s="80">
        <v>45666</v>
      </c>
      <c r="F2117">
        <v>2011310</v>
      </c>
      <c r="G2117">
        <v>4788.32</v>
      </c>
    </row>
    <row r="2118" spans="1:7" x14ac:dyDescent="0.3">
      <c r="A2118" s="80">
        <v>45672</v>
      </c>
      <c r="B2118">
        <v>3010212</v>
      </c>
      <c r="C2118">
        <v>1142.02</v>
      </c>
      <c r="E2118" s="80">
        <v>45666</v>
      </c>
      <c r="F2118">
        <v>2011310</v>
      </c>
      <c r="G2118">
        <v>5106.32</v>
      </c>
    </row>
    <row r="2119" spans="1:7" x14ac:dyDescent="0.3">
      <c r="A2119" s="80">
        <v>45672</v>
      </c>
      <c r="B2119">
        <v>3010212</v>
      </c>
      <c r="C2119">
        <v>1142.02</v>
      </c>
      <c r="E2119" s="80">
        <v>45666</v>
      </c>
      <c r="F2119">
        <v>2011310</v>
      </c>
      <c r="G2119">
        <v>5106.32</v>
      </c>
    </row>
    <row r="2120" spans="1:7" x14ac:dyDescent="0.3">
      <c r="A2120" s="80">
        <v>45672</v>
      </c>
      <c r="B2120">
        <v>3010212</v>
      </c>
      <c r="C2120">
        <v>1142.02</v>
      </c>
      <c r="E2120" s="80">
        <v>45666</v>
      </c>
      <c r="F2120">
        <v>2011310</v>
      </c>
      <c r="G2120">
        <v>5106.32</v>
      </c>
    </row>
    <row r="2121" spans="1:7" x14ac:dyDescent="0.3">
      <c r="A2121" s="80">
        <v>45672</v>
      </c>
      <c r="B2121">
        <v>3010212</v>
      </c>
      <c r="C2121">
        <v>1142.02</v>
      </c>
      <c r="E2121" s="80">
        <v>45666</v>
      </c>
      <c r="F2121">
        <v>2011310</v>
      </c>
      <c r="G2121">
        <v>5106.32</v>
      </c>
    </row>
    <row r="2122" spans="1:7" x14ac:dyDescent="0.3">
      <c r="A2122" s="80">
        <v>45672</v>
      </c>
      <c r="B2122">
        <v>3010212</v>
      </c>
      <c r="C2122">
        <v>1142.02</v>
      </c>
      <c r="E2122" s="80">
        <v>45666</v>
      </c>
      <c r="F2122">
        <v>2011310</v>
      </c>
      <c r="G2122">
        <v>5665.32</v>
      </c>
    </row>
    <row r="2123" spans="1:7" x14ac:dyDescent="0.3">
      <c r="A2123" s="80">
        <v>45672</v>
      </c>
      <c r="B2123">
        <v>3010212</v>
      </c>
      <c r="C2123">
        <v>1142.02</v>
      </c>
      <c r="E2123" s="80">
        <v>45666</v>
      </c>
      <c r="F2123">
        <v>2011310</v>
      </c>
      <c r="G2123">
        <v>5489.32</v>
      </c>
    </row>
    <row r="2124" spans="1:7" x14ac:dyDescent="0.3">
      <c r="A2124" s="80">
        <v>45672</v>
      </c>
      <c r="B2124">
        <v>3010212</v>
      </c>
      <c r="C2124">
        <v>1142.02</v>
      </c>
      <c r="E2124" s="80">
        <v>45666</v>
      </c>
      <c r="F2124">
        <v>2011310</v>
      </c>
      <c r="G2124">
        <v>5106.32</v>
      </c>
    </row>
    <row r="2125" spans="1:7" x14ac:dyDescent="0.3">
      <c r="A2125" s="80">
        <v>45672</v>
      </c>
      <c r="B2125">
        <v>3010212</v>
      </c>
      <c r="C2125">
        <v>1142.02</v>
      </c>
      <c r="E2125" s="80">
        <v>45666</v>
      </c>
      <c r="F2125">
        <v>2011310</v>
      </c>
      <c r="G2125">
        <v>4788.32</v>
      </c>
    </row>
    <row r="2126" spans="1:7" x14ac:dyDescent="0.3">
      <c r="A2126" s="80">
        <v>45672</v>
      </c>
      <c r="B2126">
        <v>3010212</v>
      </c>
      <c r="C2126">
        <v>1142.02</v>
      </c>
      <c r="E2126" s="80">
        <v>45666</v>
      </c>
      <c r="F2126">
        <v>2011310</v>
      </c>
      <c r="G2126">
        <v>5553.32</v>
      </c>
    </row>
    <row r="2127" spans="1:7" x14ac:dyDescent="0.3">
      <c r="A2127" s="80">
        <v>45672</v>
      </c>
      <c r="B2127">
        <v>3010212</v>
      </c>
      <c r="C2127">
        <v>1142.02</v>
      </c>
      <c r="E2127" s="80">
        <v>45666</v>
      </c>
      <c r="F2127">
        <v>2011310</v>
      </c>
      <c r="G2127">
        <v>5106.32</v>
      </c>
    </row>
    <row r="2128" spans="1:7" x14ac:dyDescent="0.3">
      <c r="A2128" s="80">
        <v>45672</v>
      </c>
      <c r="B2128">
        <v>3010212</v>
      </c>
      <c r="C2128">
        <v>1142.02</v>
      </c>
      <c r="E2128" s="80">
        <v>45666</v>
      </c>
      <c r="F2128">
        <v>2011310</v>
      </c>
      <c r="G2128">
        <v>5393.32</v>
      </c>
    </row>
    <row r="2129" spans="1:7" x14ac:dyDescent="0.3">
      <c r="A2129" s="80">
        <v>45672</v>
      </c>
      <c r="B2129">
        <v>3010212</v>
      </c>
      <c r="C2129">
        <v>1142.02</v>
      </c>
      <c r="E2129" s="80">
        <v>45666</v>
      </c>
      <c r="F2129">
        <v>2011310</v>
      </c>
      <c r="G2129">
        <v>5106.32</v>
      </c>
    </row>
    <row r="2130" spans="1:7" x14ac:dyDescent="0.3">
      <c r="A2130" s="80">
        <v>45671</v>
      </c>
      <c r="B2130">
        <v>3010212</v>
      </c>
      <c r="C2130">
        <v>1142.02</v>
      </c>
      <c r="E2130" s="80">
        <v>45666</v>
      </c>
      <c r="F2130">
        <v>2011310</v>
      </c>
      <c r="G2130">
        <v>4788.32</v>
      </c>
    </row>
    <row r="2131" spans="1:7" x14ac:dyDescent="0.3">
      <c r="A2131" s="80">
        <v>45671</v>
      </c>
      <c r="B2131">
        <v>3010212</v>
      </c>
      <c r="C2131">
        <v>1142.02</v>
      </c>
      <c r="E2131" s="80">
        <v>45666</v>
      </c>
      <c r="F2131">
        <v>2011310</v>
      </c>
      <c r="G2131">
        <v>4788.32</v>
      </c>
    </row>
    <row r="2132" spans="1:7" x14ac:dyDescent="0.3">
      <c r="A2132" s="80">
        <v>45671</v>
      </c>
      <c r="B2132">
        <v>3010212</v>
      </c>
      <c r="C2132">
        <v>1142.02</v>
      </c>
      <c r="E2132" s="80">
        <v>45666</v>
      </c>
      <c r="F2132">
        <v>2011310</v>
      </c>
      <c r="G2132">
        <v>4788.32</v>
      </c>
    </row>
    <row r="2133" spans="1:7" x14ac:dyDescent="0.3">
      <c r="A2133" s="80">
        <v>45671</v>
      </c>
      <c r="B2133">
        <v>3010212</v>
      </c>
      <c r="C2133">
        <v>1142.02</v>
      </c>
      <c r="E2133" s="80">
        <v>45666</v>
      </c>
      <c r="F2133">
        <v>2011310</v>
      </c>
      <c r="G2133">
        <v>4788.32</v>
      </c>
    </row>
    <row r="2134" spans="1:7" x14ac:dyDescent="0.3">
      <c r="A2134" s="80">
        <v>45671</v>
      </c>
      <c r="B2134">
        <v>3010212</v>
      </c>
      <c r="C2134">
        <v>380.42</v>
      </c>
      <c r="E2134" s="80">
        <v>45666</v>
      </c>
      <c r="F2134">
        <v>2011310</v>
      </c>
      <c r="G2134">
        <v>5106.32</v>
      </c>
    </row>
    <row r="2135" spans="1:7" x14ac:dyDescent="0.3">
      <c r="A2135" s="80">
        <v>45671</v>
      </c>
      <c r="B2135">
        <v>3010212</v>
      </c>
      <c r="C2135">
        <v>1142.02</v>
      </c>
      <c r="E2135" s="80">
        <v>45665</v>
      </c>
      <c r="F2135">
        <v>2011310</v>
      </c>
      <c r="G2135">
        <v>5106.32</v>
      </c>
    </row>
    <row r="2136" spans="1:7" x14ac:dyDescent="0.3">
      <c r="A2136" s="80">
        <v>45671</v>
      </c>
      <c r="B2136">
        <v>3010212</v>
      </c>
      <c r="C2136">
        <v>1142.02</v>
      </c>
      <c r="E2136" s="80">
        <v>45665</v>
      </c>
      <c r="F2136">
        <v>2011310</v>
      </c>
      <c r="G2136">
        <v>5106.32</v>
      </c>
    </row>
    <row r="2137" spans="1:7" x14ac:dyDescent="0.3">
      <c r="A2137" s="80">
        <v>45671</v>
      </c>
      <c r="B2137">
        <v>3010212</v>
      </c>
      <c r="C2137">
        <v>1256.26</v>
      </c>
      <c r="E2137" s="80">
        <v>45665</v>
      </c>
      <c r="F2137">
        <v>2011310</v>
      </c>
      <c r="G2137">
        <v>5106.32</v>
      </c>
    </row>
    <row r="2138" spans="1:7" x14ac:dyDescent="0.3">
      <c r="A2138" s="80">
        <v>45671</v>
      </c>
      <c r="B2138">
        <v>3010212</v>
      </c>
      <c r="C2138">
        <v>1256.26</v>
      </c>
      <c r="E2138" s="80">
        <v>45665</v>
      </c>
      <c r="F2138">
        <v>2011310</v>
      </c>
      <c r="G2138">
        <v>4788.32</v>
      </c>
    </row>
    <row r="2139" spans="1:7" x14ac:dyDescent="0.3">
      <c r="A2139" s="80">
        <v>45670</v>
      </c>
      <c r="B2139">
        <v>3010212</v>
      </c>
      <c r="C2139">
        <v>1142.02</v>
      </c>
      <c r="E2139" s="80">
        <v>45665</v>
      </c>
      <c r="F2139">
        <v>2011310</v>
      </c>
      <c r="G2139">
        <v>4788.32</v>
      </c>
    </row>
    <row r="2140" spans="1:7" x14ac:dyDescent="0.3">
      <c r="A2140" s="80">
        <v>45670</v>
      </c>
      <c r="B2140">
        <v>3010212</v>
      </c>
      <c r="C2140">
        <v>1142.02</v>
      </c>
      <c r="E2140" s="80">
        <v>45665</v>
      </c>
      <c r="F2140">
        <v>2011310</v>
      </c>
      <c r="G2140">
        <v>5393.32</v>
      </c>
    </row>
    <row r="2141" spans="1:7" x14ac:dyDescent="0.3">
      <c r="A2141" s="80">
        <v>45670</v>
      </c>
      <c r="B2141">
        <v>3010212</v>
      </c>
      <c r="C2141">
        <v>1142.02</v>
      </c>
      <c r="E2141" s="80">
        <v>45665</v>
      </c>
      <c r="F2141">
        <v>2011310</v>
      </c>
      <c r="G2141">
        <v>4788.32</v>
      </c>
    </row>
    <row r="2142" spans="1:7" x14ac:dyDescent="0.3">
      <c r="A2142" s="80">
        <v>45670</v>
      </c>
      <c r="B2142">
        <v>3010212</v>
      </c>
      <c r="C2142">
        <v>1142.02</v>
      </c>
      <c r="E2142" s="80">
        <v>45665</v>
      </c>
      <c r="F2142">
        <v>2011310</v>
      </c>
      <c r="G2142">
        <v>5457.32</v>
      </c>
    </row>
    <row r="2143" spans="1:7" x14ac:dyDescent="0.3">
      <c r="A2143" s="80">
        <v>45670</v>
      </c>
      <c r="B2143">
        <v>3010212</v>
      </c>
      <c r="C2143">
        <v>1142.02</v>
      </c>
      <c r="E2143" s="80">
        <v>45665</v>
      </c>
      <c r="F2143">
        <v>2011310</v>
      </c>
      <c r="G2143">
        <v>5106.32</v>
      </c>
    </row>
    <row r="2144" spans="1:7" x14ac:dyDescent="0.3">
      <c r="A2144" s="80">
        <v>45670</v>
      </c>
      <c r="B2144">
        <v>3010212</v>
      </c>
      <c r="C2144">
        <v>1027.82</v>
      </c>
      <c r="E2144" s="80">
        <v>45665</v>
      </c>
      <c r="F2144">
        <v>2011310</v>
      </c>
      <c r="G2144">
        <v>5457.32</v>
      </c>
    </row>
    <row r="2145" spans="1:7" x14ac:dyDescent="0.3">
      <c r="A2145" s="80">
        <v>45669</v>
      </c>
      <c r="B2145">
        <v>3010212</v>
      </c>
      <c r="C2145">
        <v>1256.26</v>
      </c>
      <c r="E2145" s="80">
        <v>45665</v>
      </c>
      <c r="F2145">
        <v>2011310</v>
      </c>
      <c r="G2145">
        <v>4788.32</v>
      </c>
    </row>
    <row r="2146" spans="1:7" x14ac:dyDescent="0.3">
      <c r="A2146" s="80">
        <v>45669</v>
      </c>
      <c r="B2146">
        <v>3010212</v>
      </c>
      <c r="C2146">
        <v>1256.26</v>
      </c>
      <c r="E2146" s="80">
        <v>45665</v>
      </c>
      <c r="F2146">
        <v>2011310</v>
      </c>
      <c r="G2146">
        <v>5106.32</v>
      </c>
    </row>
    <row r="2147" spans="1:7" x14ac:dyDescent="0.3">
      <c r="A2147" s="80">
        <v>45669</v>
      </c>
      <c r="B2147">
        <v>3010212</v>
      </c>
      <c r="C2147">
        <v>1256.26</v>
      </c>
      <c r="E2147" s="80">
        <v>45665</v>
      </c>
      <c r="F2147">
        <v>2011310</v>
      </c>
      <c r="G2147">
        <v>5425.32</v>
      </c>
    </row>
    <row r="2148" spans="1:7" x14ac:dyDescent="0.3">
      <c r="A2148" s="80">
        <v>45669</v>
      </c>
      <c r="B2148">
        <v>3010212</v>
      </c>
      <c r="C2148">
        <v>1256.26</v>
      </c>
      <c r="E2148" s="80">
        <v>45665</v>
      </c>
      <c r="F2148">
        <v>2011310</v>
      </c>
      <c r="G2148">
        <v>5106.32</v>
      </c>
    </row>
    <row r="2149" spans="1:7" x14ac:dyDescent="0.3">
      <c r="A2149" s="80">
        <v>45669</v>
      </c>
      <c r="B2149">
        <v>3010212</v>
      </c>
      <c r="C2149">
        <v>1256.26</v>
      </c>
      <c r="E2149" s="80">
        <v>45665</v>
      </c>
      <c r="F2149">
        <v>2011310</v>
      </c>
      <c r="G2149">
        <v>5106.32</v>
      </c>
    </row>
    <row r="2150" spans="1:7" x14ac:dyDescent="0.3">
      <c r="A2150" s="80">
        <v>45669</v>
      </c>
      <c r="B2150">
        <v>3010212</v>
      </c>
      <c r="C2150">
        <v>1256.26</v>
      </c>
      <c r="E2150" s="80">
        <v>45665</v>
      </c>
      <c r="F2150">
        <v>2011310</v>
      </c>
      <c r="G2150">
        <v>4788.32</v>
      </c>
    </row>
    <row r="2151" spans="1:7" x14ac:dyDescent="0.3">
      <c r="A2151" s="80">
        <v>45669</v>
      </c>
      <c r="B2151">
        <v>3010212</v>
      </c>
      <c r="C2151">
        <v>1256.26</v>
      </c>
      <c r="E2151" s="80">
        <v>45665</v>
      </c>
      <c r="F2151">
        <v>2011310</v>
      </c>
      <c r="G2151">
        <v>5106.32</v>
      </c>
    </row>
    <row r="2152" spans="1:7" x14ac:dyDescent="0.3">
      <c r="A2152" s="80">
        <v>45669</v>
      </c>
      <c r="B2152">
        <v>3010212</v>
      </c>
      <c r="C2152">
        <v>1256.26</v>
      </c>
      <c r="E2152" s="80">
        <v>45665</v>
      </c>
      <c r="F2152">
        <v>2011310</v>
      </c>
      <c r="G2152">
        <v>5106.32</v>
      </c>
    </row>
    <row r="2153" spans="1:7" x14ac:dyDescent="0.3">
      <c r="A2153" s="80">
        <v>45668</v>
      </c>
      <c r="B2153">
        <v>3010212</v>
      </c>
      <c r="C2153">
        <v>1142.02</v>
      </c>
      <c r="E2153" s="80">
        <v>45665</v>
      </c>
      <c r="F2153">
        <v>2011310</v>
      </c>
      <c r="G2153">
        <v>5872.32</v>
      </c>
    </row>
    <row r="2154" spans="1:7" x14ac:dyDescent="0.3">
      <c r="A2154" s="80">
        <v>45668</v>
      </c>
      <c r="B2154">
        <v>3010212</v>
      </c>
      <c r="C2154">
        <v>1142.02</v>
      </c>
      <c r="E2154" s="80">
        <v>45665</v>
      </c>
      <c r="F2154">
        <v>2011310</v>
      </c>
      <c r="G2154">
        <v>5457.32</v>
      </c>
    </row>
    <row r="2155" spans="1:7" x14ac:dyDescent="0.3">
      <c r="A2155" s="80">
        <v>45668</v>
      </c>
      <c r="B2155">
        <v>3010212</v>
      </c>
      <c r="C2155">
        <v>1142.02</v>
      </c>
      <c r="E2155" s="80">
        <v>45665</v>
      </c>
      <c r="F2155">
        <v>2011310</v>
      </c>
      <c r="G2155">
        <v>5106.32</v>
      </c>
    </row>
    <row r="2156" spans="1:7" x14ac:dyDescent="0.3">
      <c r="A2156" s="80">
        <v>45668</v>
      </c>
      <c r="B2156">
        <v>3010212</v>
      </c>
      <c r="C2156">
        <v>1142.02</v>
      </c>
      <c r="E2156" s="80">
        <v>45665</v>
      </c>
      <c r="F2156">
        <v>2011310</v>
      </c>
      <c r="G2156">
        <v>5106.32</v>
      </c>
    </row>
    <row r="2157" spans="1:7" x14ac:dyDescent="0.3">
      <c r="A2157" s="80">
        <v>45668</v>
      </c>
      <c r="B2157">
        <v>3010212</v>
      </c>
      <c r="C2157">
        <v>1142.02</v>
      </c>
      <c r="E2157" s="80">
        <v>45665</v>
      </c>
      <c r="F2157">
        <v>2011310</v>
      </c>
      <c r="G2157">
        <v>5106.32</v>
      </c>
    </row>
    <row r="2158" spans="1:7" x14ac:dyDescent="0.3">
      <c r="A2158" s="80">
        <v>45668</v>
      </c>
      <c r="B2158">
        <v>3010212</v>
      </c>
      <c r="C2158">
        <v>1142.02</v>
      </c>
      <c r="E2158" s="80">
        <v>45665</v>
      </c>
      <c r="F2158">
        <v>2011310</v>
      </c>
      <c r="G2158">
        <v>5106.32</v>
      </c>
    </row>
    <row r="2159" spans="1:7" x14ac:dyDescent="0.3">
      <c r="A2159" s="80">
        <v>45668</v>
      </c>
      <c r="B2159">
        <v>3010212</v>
      </c>
      <c r="C2159">
        <v>1142.02</v>
      </c>
      <c r="E2159" s="80">
        <v>45664</v>
      </c>
      <c r="F2159">
        <v>2011310</v>
      </c>
      <c r="G2159">
        <v>5510.32</v>
      </c>
    </row>
    <row r="2160" spans="1:7" x14ac:dyDescent="0.3">
      <c r="A2160" s="80">
        <v>45668</v>
      </c>
      <c r="B2160">
        <v>3010212</v>
      </c>
      <c r="C2160">
        <v>1142.02</v>
      </c>
      <c r="E2160" s="80">
        <v>45664</v>
      </c>
      <c r="F2160">
        <v>2011310</v>
      </c>
      <c r="G2160">
        <v>5425.32</v>
      </c>
    </row>
    <row r="2161" spans="1:7" x14ac:dyDescent="0.3">
      <c r="A2161" s="80">
        <v>45668</v>
      </c>
      <c r="B2161">
        <v>3010212</v>
      </c>
      <c r="C2161">
        <v>1142.02</v>
      </c>
      <c r="E2161" s="80">
        <v>45664</v>
      </c>
      <c r="F2161">
        <v>2011310</v>
      </c>
      <c r="G2161">
        <v>5425.32</v>
      </c>
    </row>
    <row r="2162" spans="1:7" x14ac:dyDescent="0.3">
      <c r="A2162" s="80">
        <v>45668</v>
      </c>
      <c r="B2162">
        <v>3010212</v>
      </c>
      <c r="C2162">
        <v>1142.02</v>
      </c>
      <c r="E2162" s="80">
        <v>45664</v>
      </c>
      <c r="F2162">
        <v>2011310</v>
      </c>
      <c r="G2162">
        <v>5393.32</v>
      </c>
    </row>
    <row r="2163" spans="1:7" x14ac:dyDescent="0.3">
      <c r="A2163" s="80">
        <v>45668</v>
      </c>
      <c r="B2163">
        <v>3010212</v>
      </c>
      <c r="C2163">
        <v>1142.02</v>
      </c>
      <c r="E2163" s="80">
        <v>45664</v>
      </c>
      <c r="F2163">
        <v>2011310</v>
      </c>
      <c r="G2163">
        <v>5665.32</v>
      </c>
    </row>
    <row r="2164" spans="1:7" x14ac:dyDescent="0.3">
      <c r="A2164" s="80">
        <v>45668</v>
      </c>
      <c r="B2164">
        <v>3010212</v>
      </c>
      <c r="C2164">
        <v>1142.02</v>
      </c>
      <c r="E2164" s="80">
        <v>45664</v>
      </c>
      <c r="F2164">
        <v>2011310</v>
      </c>
      <c r="G2164">
        <v>5457.32</v>
      </c>
    </row>
    <row r="2165" spans="1:7" x14ac:dyDescent="0.3">
      <c r="A2165" s="80">
        <v>45668</v>
      </c>
      <c r="B2165">
        <v>3010212</v>
      </c>
      <c r="C2165">
        <v>1142.02</v>
      </c>
      <c r="E2165" s="80">
        <v>45664</v>
      </c>
      <c r="F2165">
        <v>2011310</v>
      </c>
      <c r="G2165">
        <v>4788.32</v>
      </c>
    </row>
    <row r="2166" spans="1:7" x14ac:dyDescent="0.3">
      <c r="A2166" s="80">
        <v>45668</v>
      </c>
      <c r="B2166">
        <v>3010212</v>
      </c>
      <c r="C2166">
        <v>1142.02</v>
      </c>
      <c r="E2166" s="80">
        <v>45664</v>
      </c>
      <c r="F2166">
        <v>2011310</v>
      </c>
      <c r="G2166">
        <v>9576.64</v>
      </c>
    </row>
    <row r="2167" spans="1:7" x14ac:dyDescent="0.3">
      <c r="A2167" s="80">
        <v>45668</v>
      </c>
      <c r="B2167">
        <v>3010212</v>
      </c>
      <c r="C2167">
        <v>1142.02</v>
      </c>
      <c r="E2167" s="80">
        <v>45664</v>
      </c>
      <c r="F2167">
        <v>2011310</v>
      </c>
      <c r="G2167">
        <v>9576.64</v>
      </c>
    </row>
    <row r="2168" spans="1:7" x14ac:dyDescent="0.3">
      <c r="A2168" s="80">
        <v>45667</v>
      </c>
      <c r="B2168">
        <v>3010212</v>
      </c>
      <c r="C2168">
        <v>1142.02</v>
      </c>
      <c r="E2168" s="80">
        <v>45664</v>
      </c>
      <c r="F2168">
        <v>2011310</v>
      </c>
      <c r="G2168">
        <v>5106.32</v>
      </c>
    </row>
    <row r="2169" spans="1:7" x14ac:dyDescent="0.3">
      <c r="A2169" s="80">
        <v>45667</v>
      </c>
      <c r="B2169">
        <v>3010212</v>
      </c>
      <c r="C2169">
        <v>1142.02</v>
      </c>
      <c r="E2169" s="80">
        <v>45664</v>
      </c>
      <c r="F2169">
        <v>2011310</v>
      </c>
      <c r="G2169">
        <v>5106.32</v>
      </c>
    </row>
    <row r="2170" spans="1:7" x14ac:dyDescent="0.3">
      <c r="A2170" s="80">
        <v>45667</v>
      </c>
      <c r="B2170">
        <v>3010212</v>
      </c>
      <c r="C2170">
        <v>1142.02</v>
      </c>
      <c r="E2170" s="80">
        <v>45664</v>
      </c>
      <c r="F2170">
        <v>2011310</v>
      </c>
      <c r="G2170">
        <v>5728.32</v>
      </c>
    </row>
    <row r="2171" spans="1:7" x14ac:dyDescent="0.3">
      <c r="A2171" s="80">
        <v>45667</v>
      </c>
      <c r="B2171">
        <v>3010212</v>
      </c>
      <c r="C2171">
        <v>1142.02</v>
      </c>
      <c r="E2171" s="80">
        <v>45664</v>
      </c>
      <c r="F2171">
        <v>2011310</v>
      </c>
      <c r="G2171">
        <v>5106.32</v>
      </c>
    </row>
    <row r="2172" spans="1:7" x14ac:dyDescent="0.3">
      <c r="A2172" s="80">
        <v>45667</v>
      </c>
      <c r="B2172">
        <v>3010212</v>
      </c>
      <c r="C2172">
        <v>1142.02</v>
      </c>
      <c r="E2172" s="80">
        <v>45664</v>
      </c>
      <c r="F2172">
        <v>2011310</v>
      </c>
      <c r="G2172">
        <v>5106.32</v>
      </c>
    </row>
    <row r="2173" spans="1:7" x14ac:dyDescent="0.3">
      <c r="A2173" s="80">
        <v>45667</v>
      </c>
      <c r="B2173">
        <v>3010212</v>
      </c>
      <c r="C2173">
        <v>1142.02</v>
      </c>
      <c r="E2173" s="80">
        <v>45664</v>
      </c>
      <c r="F2173">
        <v>2011310</v>
      </c>
      <c r="G2173">
        <v>5106.32</v>
      </c>
    </row>
    <row r="2174" spans="1:7" x14ac:dyDescent="0.3">
      <c r="A2174" s="80">
        <v>45667</v>
      </c>
      <c r="B2174">
        <v>3010212</v>
      </c>
      <c r="C2174">
        <v>1142.02</v>
      </c>
      <c r="E2174" s="80">
        <v>45664</v>
      </c>
      <c r="F2174">
        <v>2011310</v>
      </c>
      <c r="G2174">
        <v>4788.32</v>
      </c>
    </row>
    <row r="2175" spans="1:7" x14ac:dyDescent="0.3">
      <c r="A2175" s="80">
        <v>45667</v>
      </c>
      <c r="B2175">
        <v>3010212</v>
      </c>
      <c r="C2175">
        <v>1142.02</v>
      </c>
      <c r="E2175" s="80">
        <v>45664</v>
      </c>
      <c r="F2175">
        <v>2011310</v>
      </c>
      <c r="G2175">
        <v>5106.32</v>
      </c>
    </row>
    <row r="2176" spans="1:7" x14ac:dyDescent="0.3">
      <c r="A2176" s="80">
        <v>45667</v>
      </c>
      <c r="B2176">
        <v>3010212</v>
      </c>
      <c r="C2176">
        <v>1142.02</v>
      </c>
      <c r="E2176" s="80">
        <v>45663</v>
      </c>
      <c r="F2176">
        <v>2011310</v>
      </c>
      <c r="G2176">
        <v>4788.32</v>
      </c>
    </row>
    <row r="2177" spans="1:7" x14ac:dyDescent="0.3">
      <c r="A2177" s="80">
        <v>45667</v>
      </c>
      <c r="B2177">
        <v>3010212</v>
      </c>
      <c r="C2177">
        <v>1142.02</v>
      </c>
      <c r="E2177" s="80">
        <v>45663</v>
      </c>
      <c r="F2177">
        <v>2011310</v>
      </c>
      <c r="G2177">
        <v>5106.32</v>
      </c>
    </row>
    <row r="2178" spans="1:7" x14ac:dyDescent="0.3">
      <c r="A2178" s="80">
        <v>45667</v>
      </c>
      <c r="B2178">
        <v>3010212</v>
      </c>
      <c r="C2178">
        <v>1142.02</v>
      </c>
      <c r="E2178" s="80">
        <v>45663</v>
      </c>
      <c r="F2178">
        <v>2011310</v>
      </c>
      <c r="G2178">
        <v>5393.32</v>
      </c>
    </row>
    <row r="2179" spans="1:7" x14ac:dyDescent="0.3">
      <c r="A2179" s="80">
        <v>45667</v>
      </c>
      <c r="B2179">
        <v>3010212</v>
      </c>
      <c r="C2179">
        <v>1142.02</v>
      </c>
      <c r="E2179" s="80">
        <v>45663</v>
      </c>
      <c r="F2179">
        <v>2011310</v>
      </c>
      <c r="G2179">
        <v>5106.32</v>
      </c>
    </row>
    <row r="2180" spans="1:7" x14ac:dyDescent="0.3">
      <c r="A2180" s="80">
        <v>45667</v>
      </c>
      <c r="B2180">
        <v>3010212</v>
      </c>
      <c r="C2180">
        <v>1142.02</v>
      </c>
      <c r="E2180" s="80">
        <v>45663</v>
      </c>
      <c r="F2180">
        <v>2011310</v>
      </c>
      <c r="G2180">
        <v>4627.49</v>
      </c>
    </row>
    <row r="2181" spans="1:7" x14ac:dyDescent="0.3">
      <c r="A2181" s="80">
        <v>45667</v>
      </c>
      <c r="B2181">
        <v>3010212</v>
      </c>
      <c r="C2181">
        <v>1142.02</v>
      </c>
      <c r="E2181" s="80">
        <v>45663</v>
      </c>
      <c r="F2181">
        <v>2011310</v>
      </c>
      <c r="G2181">
        <v>4788.32</v>
      </c>
    </row>
    <row r="2182" spans="1:7" x14ac:dyDescent="0.3">
      <c r="A2182" s="80">
        <v>45667</v>
      </c>
      <c r="B2182">
        <v>3010212</v>
      </c>
      <c r="C2182">
        <v>1142.02</v>
      </c>
      <c r="E2182" s="80">
        <v>45663</v>
      </c>
      <c r="F2182">
        <v>2011310</v>
      </c>
      <c r="G2182">
        <v>5489.32</v>
      </c>
    </row>
    <row r="2183" spans="1:7" x14ac:dyDescent="0.3">
      <c r="A2183" s="80">
        <v>45666</v>
      </c>
      <c r="B2183">
        <v>3010212</v>
      </c>
      <c r="C2183">
        <v>1142.02</v>
      </c>
      <c r="E2183" s="80">
        <v>45663</v>
      </c>
      <c r="F2183">
        <v>2011310</v>
      </c>
      <c r="G2183">
        <v>4788.32</v>
      </c>
    </row>
    <row r="2184" spans="1:7" x14ac:dyDescent="0.3">
      <c r="A2184" s="80">
        <v>45666</v>
      </c>
      <c r="B2184">
        <v>3010212</v>
      </c>
      <c r="C2184">
        <v>1142.02</v>
      </c>
      <c r="E2184" s="80">
        <v>45663</v>
      </c>
      <c r="F2184">
        <v>2011310</v>
      </c>
      <c r="G2184">
        <v>5106.32</v>
      </c>
    </row>
    <row r="2185" spans="1:7" x14ac:dyDescent="0.3">
      <c r="A2185" s="80">
        <v>45666</v>
      </c>
      <c r="B2185">
        <v>3010212</v>
      </c>
      <c r="C2185">
        <v>1142.02</v>
      </c>
      <c r="E2185" s="80">
        <v>45663</v>
      </c>
      <c r="F2185">
        <v>2011310</v>
      </c>
      <c r="G2185">
        <v>5425.32</v>
      </c>
    </row>
    <row r="2186" spans="1:7" x14ac:dyDescent="0.3">
      <c r="A2186" s="80">
        <v>45666</v>
      </c>
      <c r="B2186">
        <v>3010212</v>
      </c>
      <c r="C2186">
        <v>1142.02</v>
      </c>
      <c r="E2186" s="80">
        <v>45663</v>
      </c>
      <c r="F2186">
        <v>2011310</v>
      </c>
      <c r="G2186">
        <v>5537.32</v>
      </c>
    </row>
    <row r="2187" spans="1:7" x14ac:dyDescent="0.3">
      <c r="A2187" s="80">
        <v>45666</v>
      </c>
      <c r="B2187">
        <v>3010212</v>
      </c>
      <c r="C2187">
        <v>1142.02</v>
      </c>
      <c r="E2187" s="80">
        <v>45663</v>
      </c>
      <c r="F2187">
        <v>2011310</v>
      </c>
      <c r="G2187">
        <v>4788.32</v>
      </c>
    </row>
    <row r="2188" spans="1:7" x14ac:dyDescent="0.3">
      <c r="A2188" s="80">
        <v>45666</v>
      </c>
      <c r="B2188">
        <v>3010212</v>
      </c>
      <c r="C2188">
        <v>1142.02</v>
      </c>
      <c r="E2188" s="80">
        <v>45663</v>
      </c>
      <c r="F2188">
        <v>2011310</v>
      </c>
      <c r="G2188">
        <v>5457.32</v>
      </c>
    </row>
    <row r="2189" spans="1:7" x14ac:dyDescent="0.3">
      <c r="A2189" s="80">
        <v>45666</v>
      </c>
      <c r="B2189">
        <v>3010212</v>
      </c>
      <c r="C2189">
        <v>1142.02</v>
      </c>
      <c r="E2189" s="80">
        <v>45663</v>
      </c>
      <c r="F2189">
        <v>2011310</v>
      </c>
      <c r="G2189">
        <v>159.66</v>
      </c>
    </row>
    <row r="2190" spans="1:7" x14ac:dyDescent="0.3">
      <c r="A2190" s="80">
        <v>45666</v>
      </c>
      <c r="B2190">
        <v>3010212</v>
      </c>
      <c r="C2190">
        <v>1142.02</v>
      </c>
      <c r="E2190" s="80">
        <v>45663</v>
      </c>
      <c r="F2190">
        <v>2011310</v>
      </c>
      <c r="G2190">
        <v>4627.49</v>
      </c>
    </row>
    <row r="2191" spans="1:7" x14ac:dyDescent="0.3">
      <c r="A2191" s="80">
        <v>45666</v>
      </c>
      <c r="B2191">
        <v>3010212</v>
      </c>
      <c r="C2191">
        <v>1142.02</v>
      </c>
      <c r="E2191" s="80">
        <v>45663</v>
      </c>
      <c r="F2191">
        <v>2011310</v>
      </c>
      <c r="G2191">
        <v>5106.32</v>
      </c>
    </row>
    <row r="2192" spans="1:7" x14ac:dyDescent="0.3">
      <c r="A2192" s="80">
        <v>45666</v>
      </c>
      <c r="B2192">
        <v>3010212</v>
      </c>
      <c r="C2192">
        <v>1142.02</v>
      </c>
      <c r="E2192" s="80">
        <v>45663</v>
      </c>
      <c r="F2192">
        <v>2011310</v>
      </c>
      <c r="G2192">
        <v>5345.32</v>
      </c>
    </row>
    <row r="2193" spans="1:7" x14ac:dyDescent="0.3">
      <c r="A2193" s="80">
        <v>45666</v>
      </c>
      <c r="B2193">
        <v>3010212</v>
      </c>
      <c r="C2193">
        <v>1142.02</v>
      </c>
      <c r="E2193" s="80">
        <v>45663</v>
      </c>
      <c r="F2193">
        <v>2011310</v>
      </c>
      <c r="G2193">
        <v>5665.32</v>
      </c>
    </row>
    <row r="2194" spans="1:7" x14ac:dyDescent="0.3">
      <c r="A2194" s="80">
        <v>45666</v>
      </c>
      <c r="B2194">
        <v>3010212</v>
      </c>
      <c r="C2194">
        <v>1142.02</v>
      </c>
      <c r="E2194" s="80">
        <v>45663</v>
      </c>
      <c r="F2194">
        <v>2011310</v>
      </c>
      <c r="G2194">
        <v>5728.32</v>
      </c>
    </row>
    <row r="2195" spans="1:7" x14ac:dyDescent="0.3">
      <c r="A2195" s="80">
        <v>45666</v>
      </c>
      <c r="B2195">
        <v>3010212</v>
      </c>
      <c r="C2195">
        <v>1142.02</v>
      </c>
      <c r="E2195" s="80">
        <v>45663</v>
      </c>
      <c r="F2195">
        <v>2011310</v>
      </c>
      <c r="G2195">
        <v>4788.32</v>
      </c>
    </row>
    <row r="2196" spans="1:7" x14ac:dyDescent="0.3">
      <c r="A2196" s="80">
        <v>45666</v>
      </c>
      <c r="B2196">
        <v>3010212</v>
      </c>
      <c r="C2196">
        <v>1142.02</v>
      </c>
      <c r="E2196" s="80">
        <v>45663</v>
      </c>
      <c r="F2196">
        <v>2011310</v>
      </c>
      <c r="G2196">
        <v>1595.04</v>
      </c>
    </row>
    <row r="2197" spans="1:7" x14ac:dyDescent="0.3">
      <c r="A2197" s="80">
        <v>45666</v>
      </c>
      <c r="B2197">
        <v>3010212</v>
      </c>
      <c r="C2197">
        <v>1142.02</v>
      </c>
      <c r="E2197" s="80">
        <v>45663</v>
      </c>
      <c r="F2197">
        <v>2011310</v>
      </c>
      <c r="G2197">
        <v>5824.32</v>
      </c>
    </row>
    <row r="2198" spans="1:7" x14ac:dyDescent="0.3">
      <c r="A2198" s="80">
        <v>45666</v>
      </c>
      <c r="B2198">
        <v>3010212</v>
      </c>
      <c r="C2198">
        <v>1142.02</v>
      </c>
      <c r="E2198" s="80">
        <v>45663</v>
      </c>
      <c r="F2198">
        <v>2011310</v>
      </c>
      <c r="G2198">
        <v>5106.32</v>
      </c>
    </row>
    <row r="2199" spans="1:7" x14ac:dyDescent="0.3">
      <c r="A2199" s="80">
        <v>45666</v>
      </c>
      <c r="B2199">
        <v>3010212</v>
      </c>
      <c r="C2199">
        <v>1142.02</v>
      </c>
      <c r="E2199" s="80">
        <v>45663</v>
      </c>
      <c r="F2199">
        <v>2011310</v>
      </c>
      <c r="G2199">
        <v>4788.32</v>
      </c>
    </row>
    <row r="2200" spans="1:7" x14ac:dyDescent="0.3">
      <c r="A2200" s="80">
        <v>45666</v>
      </c>
      <c r="B2200">
        <v>3010212</v>
      </c>
      <c r="C2200">
        <v>1142.02</v>
      </c>
      <c r="E2200" s="80">
        <v>45663</v>
      </c>
      <c r="F2200">
        <v>2011310</v>
      </c>
      <c r="G2200">
        <v>4788.32</v>
      </c>
    </row>
    <row r="2201" spans="1:7" x14ac:dyDescent="0.3">
      <c r="A2201" s="80">
        <v>45665</v>
      </c>
      <c r="B2201">
        <v>3010212</v>
      </c>
      <c r="C2201">
        <v>1142.02</v>
      </c>
      <c r="E2201" s="80">
        <v>45662</v>
      </c>
      <c r="F2201">
        <v>2011310</v>
      </c>
      <c r="G2201">
        <v>5106.32</v>
      </c>
    </row>
    <row r="2202" spans="1:7" x14ac:dyDescent="0.3">
      <c r="A2202" s="80">
        <v>45665</v>
      </c>
      <c r="B2202">
        <v>3010212</v>
      </c>
      <c r="C2202">
        <v>1142.02</v>
      </c>
      <c r="E2202" s="80">
        <v>45662</v>
      </c>
      <c r="F2202">
        <v>2011310</v>
      </c>
      <c r="G2202">
        <v>5808.32</v>
      </c>
    </row>
    <row r="2203" spans="1:7" x14ac:dyDescent="0.3">
      <c r="A2203" s="80">
        <v>45665</v>
      </c>
      <c r="B2203">
        <v>3010212</v>
      </c>
      <c r="C2203">
        <v>1142.02</v>
      </c>
      <c r="E2203" s="80">
        <v>45662</v>
      </c>
      <c r="F2203">
        <v>2011310</v>
      </c>
      <c r="G2203">
        <v>5106.32</v>
      </c>
    </row>
    <row r="2204" spans="1:7" x14ac:dyDescent="0.3">
      <c r="A2204" s="80">
        <v>45665</v>
      </c>
      <c r="B2204">
        <v>3010212</v>
      </c>
      <c r="C2204">
        <v>1142.02</v>
      </c>
      <c r="E2204" s="80">
        <v>45662</v>
      </c>
      <c r="F2204">
        <v>2011310</v>
      </c>
      <c r="G2204">
        <v>5106.32</v>
      </c>
    </row>
    <row r="2205" spans="1:7" x14ac:dyDescent="0.3">
      <c r="A2205" s="80">
        <v>45665</v>
      </c>
      <c r="B2205">
        <v>3010212</v>
      </c>
      <c r="C2205">
        <v>1142.02</v>
      </c>
      <c r="E2205" s="80">
        <v>45662</v>
      </c>
      <c r="F2205">
        <v>2011310</v>
      </c>
      <c r="G2205">
        <v>5106.32</v>
      </c>
    </row>
    <row r="2206" spans="1:7" x14ac:dyDescent="0.3">
      <c r="A2206" s="80">
        <v>45665</v>
      </c>
      <c r="B2206">
        <v>3010212</v>
      </c>
      <c r="C2206">
        <v>1142.02</v>
      </c>
      <c r="E2206" s="80">
        <v>45662</v>
      </c>
      <c r="F2206">
        <v>2011310</v>
      </c>
      <c r="G2206">
        <v>5457.32</v>
      </c>
    </row>
    <row r="2207" spans="1:7" x14ac:dyDescent="0.3">
      <c r="A2207" s="80">
        <v>45665</v>
      </c>
      <c r="B2207">
        <v>3010212</v>
      </c>
      <c r="C2207">
        <v>1142.02</v>
      </c>
      <c r="E2207" s="80">
        <v>45662</v>
      </c>
      <c r="F2207">
        <v>2011310</v>
      </c>
      <c r="G2207">
        <v>4978.49</v>
      </c>
    </row>
    <row r="2208" spans="1:7" x14ac:dyDescent="0.3">
      <c r="A2208" s="80">
        <v>45665</v>
      </c>
      <c r="B2208">
        <v>3010212</v>
      </c>
      <c r="C2208">
        <v>1142.02</v>
      </c>
      <c r="E2208" s="80">
        <v>45662</v>
      </c>
      <c r="F2208">
        <v>2011310</v>
      </c>
      <c r="G2208">
        <v>5106.32</v>
      </c>
    </row>
    <row r="2209" spans="1:7" x14ac:dyDescent="0.3">
      <c r="A2209" s="80">
        <v>45665</v>
      </c>
      <c r="B2209">
        <v>3010212</v>
      </c>
      <c r="C2209">
        <v>1142.02</v>
      </c>
      <c r="E2209" s="80">
        <v>45662</v>
      </c>
      <c r="F2209">
        <v>2011310</v>
      </c>
      <c r="G2209">
        <v>4788.32</v>
      </c>
    </row>
    <row r="2210" spans="1:7" x14ac:dyDescent="0.3">
      <c r="A2210" s="80">
        <v>45665</v>
      </c>
      <c r="B2210">
        <v>3010212</v>
      </c>
      <c r="C2210">
        <v>1142.02</v>
      </c>
      <c r="E2210" s="80">
        <v>45662</v>
      </c>
      <c r="F2210">
        <v>2011310</v>
      </c>
      <c r="G2210">
        <v>4788.32</v>
      </c>
    </row>
    <row r="2211" spans="1:7" x14ac:dyDescent="0.3">
      <c r="A2211" s="80">
        <v>45665</v>
      </c>
      <c r="B2211">
        <v>3010212</v>
      </c>
      <c r="C2211">
        <v>1142.02</v>
      </c>
      <c r="E2211" s="80">
        <v>45662</v>
      </c>
      <c r="F2211">
        <v>2011310</v>
      </c>
      <c r="G2211">
        <v>5457.32</v>
      </c>
    </row>
    <row r="2212" spans="1:7" x14ac:dyDescent="0.3">
      <c r="A2212" s="80">
        <v>45665</v>
      </c>
      <c r="B2212">
        <v>3010212</v>
      </c>
      <c r="C2212">
        <v>1142.02</v>
      </c>
      <c r="E2212" s="80">
        <v>45662</v>
      </c>
      <c r="F2212">
        <v>2011310</v>
      </c>
      <c r="G2212">
        <v>5106.32</v>
      </c>
    </row>
    <row r="2213" spans="1:7" x14ac:dyDescent="0.3">
      <c r="A2213" s="80">
        <v>45665</v>
      </c>
      <c r="B2213">
        <v>3010212</v>
      </c>
      <c r="C2213">
        <v>1142.02</v>
      </c>
      <c r="E2213" s="80">
        <v>45662</v>
      </c>
      <c r="F2213">
        <v>2011310</v>
      </c>
      <c r="G2213">
        <v>5361.32</v>
      </c>
    </row>
    <row r="2214" spans="1:7" x14ac:dyDescent="0.3">
      <c r="A2214" s="80">
        <v>45665</v>
      </c>
      <c r="B2214">
        <v>3010212</v>
      </c>
      <c r="C2214">
        <v>1142.02</v>
      </c>
      <c r="E2214" s="80">
        <v>45662</v>
      </c>
      <c r="F2214">
        <v>2011310</v>
      </c>
      <c r="G2214">
        <v>1913.04</v>
      </c>
    </row>
    <row r="2215" spans="1:7" x14ac:dyDescent="0.3">
      <c r="A2215" s="80">
        <v>45665</v>
      </c>
      <c r="B2215">
        <v>3010212</v>
      </c>
      <c r="C2215">
        <v>1142.02</v>
      </c>
      <c r="E2215" s="80">
        <v>45662</v>
      </c>
      <c r="F2215">
        <v>2011310</v>
      </c>
      <c r="G2215">
        <v>4788.32</v>
      </c>
    </row>
    <row r="2216" spans="1:7" x14ac:dyDescent="0.3">
      <c r="A2216" s="80">
        <v>45665</v>
      </c>
      <c r="B2216">
        <v>3010212</v>
      </c>
      <c r="C2216">
        <v>1142.02</v>
      </c>
      <c r="E2216" s="80">
        <v>45662</v>
      </c>
      <c r="F2216">
        <v>2011310</v>
      </c>
      <c r="G2216">
        <v>4788.32</v>
      </c>
    </row>
    <row r="2217" spans="1:7" x14ac:dyDescent="0.3">
      <c r="A2217" s="80">
        <v>45665</v>
      </c>
      <c r="B2217">
        <v>3010212</v>
      </c>
      <c r="C2217">
        <v>1142.02</v>
      </c>
      <c r="E2217" s="80">
        <v>45662</v>
      </c>
      <c r="F2217">
        <v>2011310</v>
      </c>
      <c r="G2217">
        <v>9576.64</v>
      </c>
    </row>
    <row r="2218" spans="1:7" x14ac:dyDescent="0.3">
      <c r="A2218" s="80">
        <v>45665</v>
      </c>
      <c r="B2218">
        <v>3010212</v>
      </c>
      <c r="C2218">
        <v>1142.02</v>
      </c>
      <c r="E2218" s="80">
        <v>45662</v>
      </c>
      <c r="F2218">
        <v>2011310</v>
      </c>
      <c r="G2218">
        <v>5106.32</v>
      </c>
    </row>
    <row r="2219" spans="1:7" x14ac:dyDescent="0.3">
      <c r="A2219" s="80">
        <v>45665</v>
      </c>
      <c r="B2219">
        <v>3010212</v>
      </c>
      <c r="C2219">
        <v>1142.02</v>
      </c>
      <c r="E2219" s="80">
        <v>45662</v>
      </c>
      <c r="F2219">
        <v>2011310</v>
      </c>
      <c r="G2219">
        <v>5106.32</v>
      </c>
    </row>
    <row r="2220" spans="1:7" x14ac:dyDescent="0.3">
      <c r="A2220" s="80">
        <v>45665</v>
      </c>
      <c r="B2220">
        <v>3010212</v>
      </c>
      <c r="C2220">
        <v>1142.02</v>
      </c>
      <c r="E2220" s="80">
        <v>45662</v>
      </c>
      <c r="F2220">
        <v>2011310</v>
      </c>
      <c r="G2220">
        <v>4788.32</v>
      </c>
    </row>
    <row r="2221" spans="1:7" x14ac:dyDescent="0.3">
      <c r="A2221" s="80">
        <v>45665</v>
      </c>
      <c r="B2221">
        <v>3010212</v>
      </c>
      <c r="C2221">
        <v>1142.02</v>
      </c>
      <c r="E2221" s="80">
        <v>45662</v>
      </c>
      <c r="F2221">
        <v>2011310</v>
      </c>
      <c r="G2221">
        <v>4788.32</v>
      </c>
    </row>
    <row r="2222" spans="1:7" x14ac:dyDescent="0.3">
      <c r="A2222" s="80">
        <v>45665</v>
      </c>
      <c r="B2222">
        <v>3010212</v>
      </c>
      <c r="C2222">
        <v>1142.02</v>
      </c>
      <c r="E2222" s="80">
        <v>45662</v>
      </c>
      <c r="F2222">
        <v>2011310</v>
      </c>
      <c r="G2222">
        <v>5744.32</v>
      </c>
    </row>
    <row r="2223" spans="1:7" x14ac:dyDescent="0.3">
      <c r="A2223" s="80">
        <v>45665</v>
      </c>
      <c r="B2223">
        <v>3010212</v>
      </c>
      <c r="C2223">
        <v>1142.02</v>
      </c>
      <c r="E2223" s="80">
        <v>45662</v>
      </c>
      <c r="F2223">
        <v>2011310</v>
      </c>
      <c r="G2223">
        <v>5393.32</v>
      </c>
    </row>
    <row r="2224" spans="1:7" x14ac:dyDescent="0.3">
      <c r="A2224" s="80">
        <v>45665</v>
      </c>
      <c r="B2224">
        <v>3010212</v>
      </c>
      <c r="C2224">
        <v>1142.02</v>
      </c>
      <c r="E2224" s="80">
        <v>45662</v>
      </c>
      <c r="F2224">
        <v>2011310</v>
      </c>
      <c r="G2224">
        <v>5425.32</v>
      </c>
    </row>
    <row r="2225" spans="1:7" x14ac:dyDescent="0.3">
      <c r="A2225" s="80">
        <v>45664</v>
      </c>
      <c r="B2225">
        <v>3010212</v>
      </c>
      <c r="C2225">
        <v>1142.02</v>
      </c>
      <c r="E2225" s="80">
        <v>45661</v>
      </c>
      <c r="F2225">
        <v>2011310</v>
      </c>
      <c r="G2225">
        <v>5202.32</v>
      </c>
    </row>
    <row r="2226" spans="1:7" x14ac:dyDescent="0.3">
      <c r="A2226" s="80">
        <v>45664</v>
      </c>
      <c r="B2226">
        <v>3010212</v>
      </c>
      <c r="C2226">
        <v>1142.02</v>
      </c>
      <c r="E2226" s="80">
        <v>45661</v>
      </c>
      <c r="F2226">
        <v>2011310</v>
      </c>
      <c r="G2226">
        <v>5106.32</v>
      </c>
    </row>
    <row r="2227" spans="1:7" x14ac:dyDescent="0.3">
      <c r="A2227" s="80">
        <v>45664</v>
      </c>
      <c r="B2227">
        <v>3010212</v>
      </c>
      <c r="C2227">
        <v>1142.02</v>
      </c>
      <c r="E2227" s="80">
        <v>45661</v>
      </c>
      <c r="F2227">
        <v>2011310</v>
      </c>
      <c r="G2227">
        <v>5106.32</v>
      </c>
    </row>
    <row r="2228" spans="1:7" x14ac:dyDescent="0.3">
      <c r="A2228" s="80">
        <v>45664</v>
      </c>
      <c r="B2228">
        <v>3010212</v>
      </c>
      <c r="C2228">
        <v>1142.02</v>
      </c>
      <c r="E2228" s="80">
        <v>45661</v>
      </c>
      <c r="F2228">
        <v>2011310</v>
      </c>
      <c r="G2228">
        <v>5106.32</v>
      </c>
    </row>
    <row r="2229" spans="1:7" x14ac:dyDescent="0.3">
      <c r="A2229" s="80">
        <v>45664</v>
      </c>
      <c r="B2229">
        <v>3010212</v>
      </c>
      <c r="C2229">
        <v>1142.02</v>
      </c>
      <c r="E2229" s="80">
        <v>45661</v>
      </c>
      <c r="F2229">
        <v>2011310</v>
      </c>
      <c r="G2229">
        <v>5489.32</v>
      </c>
    </row>
    <row r="2230" spans="1:7" x14ac:dyDescent="0.3">
      <c r="A2230" s="80">
        <v>45664</v>
      </c>
      <c r="B2230">
        <v>3010212</v>
      </c>
      <c r="C2230">
        <v>1142.02</v>
      </c>
      <c r="E2230" s="80">
        <v>45661</v>
      </c>
      <c r="F2230">
        <v>2011310</v>
      </c>
      <c r="G2230">
        <v>5744.32</v>
      </c>
    </row>
    <row r="2231" spans="1:7" x14ac:dyDescent="0.3">
      <c r="A2231" s="80">
        <v>45664</v>
      </c>
      <c r="B2231">
        <v>3010212</v>
      </c>
      <c r="C2231">
        <v>1142.02</v>
      </c>
      <c r="E2231" s="80">
        <v>45661</v>
      </c>
      <c r="F2231">
        <v>2011310</v>
      </c>
      <c r="G2231">
        <v>5106.32</v>
      </c>
    </row>
    <row r="2232" spans="1:7" x14ac:dyDescent="0.3">
      <c r="A2232" s="80">
        <v>45664</v>
      </c>
      <c r="B2232">
        <v>3010212</v>
      </c>
      <c r="C2232">
        <v>2284.04</v>
      </c>
      <c r="E2232" s="80">
        <v>45661</v>
      </c>
      <c r="F2232">
        <v>2011310</v>
      </c>
      <c r="G2232">
        <v>5106.32</v>
      </c>
    </row>
    <row r="2233" spans="1:7" x14ac:dyDescent="0.3">
      <c r="A2233" s="80">
        <v>45664</v>
      </c>
      <c r="B2233">
        <v>3010212</v>
      </c>
      <c r="C2233">
        <v>2284.04</v>
      </c>
      <c r="E2233" s="80">
        <v>45661</v>
      </c>
      <c r="F2233">
        <v>2011310</v>
      </c>
      <c r="G2233">
        <v>5585.32</v>
      </c>
    </row>
    <row r="2234" spans="1:7" x14ac:dyDescent="0.3">
      <c r="A2234" s="80">
        <v>45664</v>
      </c>
      <c r="B2234">
        <v>3010212</v>
      </c>
      <c r="C2234">
        <v>1142.02</v>
      </c>
      <c r="E2234" s="80">
        <v>45661</v>
      </c>
      <c r="F2234">
        <v>2011310</v>
      </c>
      <c r="G2234">
        <v>1595.04</v>
      </c>
    </row>
    <row r="2235" spans="1:7" x14ac:dyDescent="0.3">
      <c r="A2235" s="80">
        <v>45664</v>
      </c>
      <c r="B2235">
        <v>3010212</v>
      </c>
      <c r="C2235">
        <v>1142.02</v>
      </c>
      <c r="E2235" s="80">
        <v>45661</v>
      </c>
      <c r="F2235">
        <v>2011310</v>
      </c>
      <c r="G2235">
        <v>5361.32</v>
      </c>
    </row>
    <row r="2236" spans="1:7" x14ac:dyDescent="0.3">
      <c r="A2236" s="80">
        <v>45664</v>
      </c>
      <c r="B2236">
        <v>3010212</v>
      </c>
      <c r="C2236">
        <v>1142.02</v>
      </c>
      <c r="E2236" s="80">
        <v>45661</v>
      </c>
      <c r="F2236">
        <v>2011310</v>
      </c>
      <c r="G2236">
        <v>4788.32</v>
      </c>
    </row>
    <row r="2237" spans="1:7" x14ac:dyDescent="0.3">
      <c r="A2237" s="80">
        <v>45664</v>
      </c>
      <c r="B2237">
        <v>3010212</v>
      </c>
      <c r="C2237">
        <v>1142.02</v>
      </c>
      <c r="E2237" s="80">
        <v>45661</v>
      </c>
      <c r="F2237">
        <v>2011310</v>
      </c>
      <c r="G2237">
        <v>4788.32</v>
      </c>
    </row>
    <row r="2238" spans="1:7" x14ac:dyDescent="0.3">
      <c r="A2238" s="80">
        <v>45664</v>
      </c>
      <c r="B2238">
        <v>3010212</v>
      </c>
      <c r="C2238">
        <v>1142.02</v>
      </c>
      <c r="E2238" s="80">
        <v>45661</v>
      </c>
      <c r="F2238">
        <v>2011310</v>
      </c>
      <c r="G2238">
        <v>5744.32</v>
      </c>
    </row>
    <row r="2239" spans="1:7" x14ac:dyDescent="0.3">
      <c r="A2239" s="80">
        <v>45664</v>
      </c>
      <c r="B2239">
        <v>3010212</v>
      </c>
      <c r="C2239">
        <v>1142.02</v>
      </c>
      <c r="E2239" s="80">
        <v>45661</v>
      </c>
      <c r="F2239">
        <v>2011310</v>
      </c>
      <c r="G2239">
        <v>5393.32</v>
      </c>
    </row>
    <row r="2240" spans="1:7" x14ac:dyDescent="0.3">
      <c r="A2240" s="80">
        <v>45664</v>
      </c>
      <c r="B2240">
        <v>3010212</v>
      </c>
      <c r="C2240">
        <v>1142.02</v>
      </c>
      <c r="E2240" s="80">
        <v>45661</v>
      </c>
      <c r="F2240">
        <v>2011310</v>
      </c>
      <c r="G2240">
        <v>5106.32</v>
      </c>
    </row>
    <row r="2241" spans="1:7" x14ac:dyDescent="0.3">
      <c r="A2241" s="80">
        <v>45664</v>
      </c>
      <c r="B2241">
        <v>3010212</v>
      </c>
      <c r="C2241">
        <v>1142.02</v>
      </c>
      <c r="E2241" s="80">
        <v>45661</v>
      </c>
      <c r="F2241">
        <v>2011310</v>
      </c>
      <c r="G2241">
        <v>4788.32</v>
      </c>
    </row>
    <row r="2242" spans="1:7" x14ac:dyDescent="0.3">
      <c r="A2242" s="80">
        <v>45663</v>
      </c>
      <c r="B2242">
        <v>3010212</v>
      </c>
      <c r="C2242">
        <v>1142.02</v>
      </c>
      <c r="E2242" s="80">
        <v>45661</v>
      </c>
      <c r="F2242">
        <v>2011310</v>
      </c>
      <c r="G2242">
        <v>5106.32</v>
      </c>
    </row>
    <row r="2243" spans="1:7" x14ac:dyDescent="0.3">
      <c r="A2243" s="80">
        <v>45663</v>
      </c>
      <c r="B2243">
        <v>3010212</v>
      </c>
      <c r="C2243">
        <v>1142.02</v>
      </c>
      <c r="E2243" s="80">
        <v>45661</v>
      </c>
      <c r="F2243">
        <v>2011310</v>
      </c>
      <c r="G2243">
        <v>5106.32</v>
      </c>
    </row>
    <row r="2244" spans="1:7" x14ac:dyDescent="0.3">
      <c r="A2244" s="80">
        <v>45663</v>
      </c>
      <c r="B2244">
        <v>3010212</v>
      </c>
      <c r="C2244">
        <v>1142.02</v>
      </c>
      <c r="E2244" s="80">
        <v>45660</v>
      </c>
      <c r="F2244">
        <v>2011310</v>
      </c>
      <c r="G2244">
        <v>5457.32</v>
      </c>
    </row>
    <row r="2245" spans="1:7" x14ac:dyDescent="0.3">
      <c r="A2245" s="80">
        <v>45663</v>
      </c>
      <c r="B2245">
        <v>3010212</v>
      </c>
      <c r="C2245">
        <v>1142.02</v>
      </c>
      <c r="E2245" s="80">
        <v>45660</v>
      </c>
      <c r="F2245">
        <v>2011310</v>
      </c>
      <c r="G2245">
        <v>5361.32</v>
      </c>
    </row>
    <row r="2246" spans="1:7" x14ac:dyDescent="0.3">
      <c r="A2246" s="80">
        <v>45663</v>
      </c>
      <c r="B2246">
        <v>3010212</v>
      </c>
      <c r="C2246">
        <v>1027.82</v>
      </c>
      <c r="E2246" s="80">
        <v>45660</v>
      </c>
      <c r="F2246">
        <v>2011310</v>
      </c>
      <c r="G2246">
        <v>5425.32</v>
      </c>
    </row>
    <row r="2247" spans="1:7" x14ac:dyDescent="0.3">
      <c r="A2247" s="80">
        <v>45663</v>
      </c>
      <c r="B2247">
        <v>3010212</v>
      </c>
      <c r="C2247">
        <v>1142.02</v>
      </c>
      <c r="E2247" s="80">
        <v>45660</v>
      </c>
      <c r="F2247">
        <v>2011310</v>
      </c>
      <c r="G2247">
        <v>5106.32</v>
      </c>
    </row>
    <row r="2248" spans="1:7" x14ac:dyDescent="0.3">
      <c r="A2248" s="80">
        <v>45663</v>
      </c>
      <c r="B2248">
        <v>3010212</v>
      </c>
      <c r="C2248">
        <v>1142.02</v>
      </c>
      <c r="E2248" s="80">
        <v>45660</v>
      </c>
      <c r="F2248">
        <v>2011310</v>
      </c>
      <c r="G2248">
        <v>5361.32</v>
      </c>
    </row>
    <row r="2249" spans="1:7" x14ac:dyDescent="0.3">
      <c r="A2249" s="80">
        <v>45663</v>
      </c>
      <c r="B2249">
        <v>3010212</v>
      </c>
      <c r="C2249">
        <v>1142.02</v>
      </c>
      <c r="E2249" s="80">
        <v>45660</v>
      </c>
      <c r="F2249">
        <v>2011310</v>
      </c>
      <c r="G2249">
        <v>5106.32</v>
      </c>
    </row>
    <row r="2250" spans="1:7" x14ac:dyDescent="0.3">
      <c r="A2250" s="80">
        <v>45663</v>
      </c>
      <c r="B2250">
        <v>3010212</v>
      </c>
      <c r="C2250">
        <v>1142.02</v>
      </c>
      <c r="E2250" s="80">
        <v>45660</v>
      </c>
      <c r="F2250">
        <v>2011310</v>
      </c>
      <c r="G2250">
        <v>5106.32</v>
      </c>
    </row>
    <row r="2251" spans="1:7" x14ac:dyDescent="0.3">
      <c r="A2251" s="80">
        <v>45663</v>
      </c>
      <c r="B2251">
        <v>3010212</v>
      </c>
      <c r="C2251">
        <v>1142.02</v>
      </c>
      <c r="E2251" s="80">
        <v>45660</v>
      </c>
      <c r="F2251">
        <v>2011310</v>
      </c>
      <c r="G2251">
        <v>5361.32</v>
      </c>
    </row>
    <row r="2252" spans="1:7" x14ac:dyDescent="0.3">
      <c r="A2252" s="80">
        <v>45663</v>
      </c>
      <c r="B2252">
        <v>3010212</v>
      </c>
      <c r="C2252">
        <v>1142.02</v>
      </c>
      <c r="E2252" s="80">
        <v>45660</v>
      </c>
      <c r="F2252">
        <v>2011310</v>
      </c>
      <c r="G2252">
        <v>5106.32</v>
      </c>
    </row>
    <row r="2253" spans="1:7" x14ac:dyDescent="0.3">
      <c r="A2253" s="80">
        <v>45663</v>
      </c>
      <c r="B2253">
        <v>3010212</v>
      </c>
      <c r="C2253">
        <v>1142.02</v>
      </c>
      <c r="E2253" s="80">
        <v>45660</v>
      </c>
      <c r="F2253">
        <v>2011310</v>
      </c>
      <c r="G2253">
        <v>5425.32</v>
      </c>
    </row>
    <row r="2254" spans="1:7" x14ac:dyDescent="0.3">
      <c r="A2254" s="80">
        <v>45663</v>
      </c>
      <c r="B2254">
        <v>3010212</v>
      </c>
      <c r="C2254">
        <v>1142.02</v>
      </c>
      <c r="E2254" s="80">
        <v>45660</v>
      </c>
      <c r="F2254">
        <v>2011310</v>
      </c>
      <c r="G2254">
        <v>5106.32</v>
      </c>
    </row>
    <row r="2255" spans="1:7" x14ac:dyDescent="0.3">
      <c r="A2255" s="80">
        <v>45663</v>
      </c>
      <c r="B2255">
        <v>3010212</v>
      </c>
      <c r="C2255">
        <v>38.08</v>
      </c>
      <c r="E2255" s="80">
        <v>45660</v>
      </c>
      <c r="F2255">
        <v>2011310</v>
      </c>
      <c r="G2255">
        <v>4788.32</v>
      </c>
    </row>
    <row r="2256" spans="1:7" x14ac:dyDescent="0.3">
      <c r="A2256" s="80">
        <v>45663</v>
      </c>
      <c r="B2256">
        <v>3010212</v>
      </c>
      <c r="C2256">
        <v>1027.82</v>
      </c>
      <c r="E2256" s="80">
        <v>45660</v>
      </c>
      <c r="F2256">
        <v>2011310</v>
      </c>
      <c r="G2256">
        <v>5457.32</v>
      </c>
    </row>
    <row r="2257" spans="1:7" x14ac:dyDescent="0.3">
      <c r="A2257" s="80">
        <v>45663</v>
      </c>
      <c r="B2257">
        <v>3010212</v>
      </c>
      <c r="C2257">
        <v>1142.02</v>
      </c>
      <c r="E2257" s="80">
        <v>45660</v>
      </c>
      <c r="F2257">
        <v>2011310</v>
      </c>
      <c r="G2257">
        <v>5744.32</v>
      </c>
    </row>
    <row r="2258" spans="1:7" x14ac:dyDescent="0.3">
      <c r="A2258" s="80">
        <v>45663</v>
      </c>
      <c r="B2258">
        <v>3010212</v>
      </c>
      <c r="C2258">
        <v>1142.02</v>
      </c>
      <c r="E2258" s="80">
        <v>45660</v>
      </c>
      <c r="F2258">
        <v>2011310</v>
      </c>
      <c r="G2258">
        <v>5106.32</v>
      </c>
    </row>
    <row r="2259" spans="1:7" x14ac:dyDescent="0.3">
      <c r="A2259" s="80">
        <v>45663</v>
      </c>
      <c r="B2259">
        <v>3010212</v>
      </c>
      <c r="C2259">
        <v>1142.02</v>
      </c>
      <c r="E2259" s="80">
        <v>45660</v>
      </c>
      <c r="F2259">
        <v>2011310</v>
      </c>
      <c r="G2259">
        <v>1595.04</v>
      </c>
    </row>
    <row r="2260" spans="1:7" x14ac:dyDescent="0.3">
      <c r="A2260" s="80">
        <v>45663</v>
      </c>
      <c r="B2260">
        <v>3010212</v>
      </c>
      <c r="C2260">
        <v>1142.02</v>
      </c>
      <c r="E2260" s="80">
        <v>45660</v>
      </c>
      <c r="F2260">
        <v>2011310</v>
      </c>
      <c r="G2260">
        <v>4788.32</v>
      </c>
    </row>
    <row r="2261" spans="1:7" x14ac:dyDescent="0.3">
      <c r="A2261" s="80">
        <v>45663</v>
      </c>
      <c r="B2261">
        <v>3010212</v>
      </c>
      <c r="C2261">
        <v>1142.02</v>
      </c>
      <c r="E2261" s="80">
        <v>45659</v>
      </c>
      <c r="F2261">
        <v>2011310</v>
      </c>
      <c r="G2261">
        <v>5106.32</v>
      </c>
    </row>
    <row r="2262" spans="1:7" x14ac:dyDescent="0.3">
      <c r="A2262" s="80">
        <v>45663</v>
      </c>
      <c r="B2262">
        <v>3010212</v>
      </c>
      <c r="C2262">
        <v>380.42</v>
      </c>
      <c r="E2262" s="80">
        <v>45659</v>
      </c>
      <c r="F2262">
        <v>2011310</v>
      </c>
      <c r="G2262">
        <v>5361.32</v>
      </c>
    </row>
    <row r="2263" spans="1:7" x14ac:dyDescent="0.3">
      <c r="A2263" s="80">
        <v>45663</v>
      </c>
      <c r="B2263">
        <v>3010212</v>
      </c>
      <c r="C2263">
        <v>1142.02</v>
      </c>
      <c r="E2263" s="80">
        <v>45659</v>
      </c>
      <c r="F2263">
        <v>2011310</v>
      </c>
      <c r="G2263">
        <v>5553.32</v>
      </c>
    </row>
    <row r="2264" spans="1:7" x14ac:dyDescent="0.3">
      <c r="A2264" s="80">
        <v>45663</v>
      </c>
      <c r="B2264">
        <v>3010212</v>
      </c>
      <c r="C2264">
        <v>1142.02</v>
      </c>
      <c r="E2264" s="80">
        <v>45659</v>
      </c>
      <c r="F2264">
        <v>2011310</v>
      </c>
      <c r="G2264">
        <v>5393.32</v>
      </c>
    </row>
    <row r="2265" spans="1:7" x14ac:dyDescent="0.3">
      <c r="A2265" s="80">
        <v>45663</v>
      </c>
      <c r="B2265">
        <v>3010212</v>
      </c>
      <c r="C2265">
        <v>1142.02</v>
      </c>
      <c r="E2265" s="80">
        <v>45659</v>
      </c>
      <c r="F2265">
        <v>2011310</v>
      </c>
      <c r="G2265">
        <v>5106.32</v>
      </c>
    </row>
    <row r="2266" spans="1:7" x14ac:dyDescent="0.3">
      <c r="A2266" s="80">
        <v>45663</v>
      </c>
      <c r="B2266">
        <v>3010212</v>
      </c>
      <c r="C2266">
        <v>1142.02</v>
      </c>
      <c r="E2266" s="80">
        <v>45659</v>
      </c>
      <c r="F2266">
        <v>2011310</v>
      </c>
      <c r="G2266">
        <v>5361.32</v>
      </c>
    </row>
    <row r="2267" spans="1:7" x14ac:dyDescent="0.3">
      <c r="A2267" s="80">
        <v>45662</v>
      </c>
      <c r="B2267">
        <v>3010212</v>
      </c>
      <c r="C2267">
        <v>1142.02</v>
      </c>
      <c r="E2267" s="80">
        <v>45659</v>
      </c>
      <c r="F2267">
        <v>2011310</v>
      </c>
      <c r="G2267">
        <v>5585.32</v>
      </c>
    </row>
    <row r="2268" spans="1:7" x14ac:dyDescent="0.3">
      <c r="A2268" s="80">
        <v>45662</v>
      </c>
      <c r="B2268">
        <v>3010212</v>
      </c>
      <c r="C2268">
        <v>1142.02</v>
      </c>
      <c r="E2268" s="80">
        <v>45659</v>
      </c>
      <c r="F2268">
        <v>2011310</v>
      </c>
      <c r="G2268">
        <v>4788.32</v>
      </c>
    </row>
    <row r="2269" spans="1:7" x14ac:dyDescent="0.3">
      <c r="A2269" s="80">
        <v>45662</v>
      </c>
      <c r="B2269">
        <v>3010212</v>
      </c>
      <c r="C2269">
        <v>1142.02</v>
      </c>
      <c r="E2269" s="80">
        <v>45659</v>
      </c>
      <c r="F2269">
        <v>2011310</v>
      </c>
      <c r="G2269">
        <v>4788.32</v>
      </c>
    </row>
    <row r="2270" spans="1:7" x14ac:dyDescent="0.3">
      <c r="A2270" s="80">
        <v>45662</v>
      </c>
      <c r="B2270">
        <v>3010212</v>
      </c>
      <c r="C2270">
        <v>1142.02</v>
      </c>
      <c r="E2270" s="80">
        <v>45659</v>
      </c>
      <c r="F2270">
        <v>2011310</v>
      </c>
      <c r="G2270">
        <v>9576.64</v>
      </c>
    </row>
    <row r="2271" spans="1:7" x14ac:dyDescent="0.3">
      <c r="A2271" s="80">
        <v>45662</v>
      </c>
      <c r="B2271">
        <v>3010212</v>
      </c>
      <c r="C2271">
        <v>1142.02</v>
      </c>
      <c r="E2271" s="80">
        <v>45659</v>
      </c>
      <c r="F2271">
        <v>2011310</v>
      </c>
      <c r="G2271">
        <v>5393.32</v>
      </c>
    </row>
    <row r="2272" spans="1:7" x14ac:dyDescent="0.3">
      <c r="A2272" s="80">
        <v>45662</v>
      </c>
      <c r="B2272">
        <v>3010212</v>
      </c>
      <c r="C2272">
        <v>1142.02</v>
      </c>
      <c r="E2272" s="80">
        <v>45659</v>
      </c>
      <c r="F2272">
        <v>2011310</v>
      </c>
      <c r="G2272">
        <v>4788.32</v>
      </c>
    </row>
    <row r="2273" spans="1:7" x14ac:dyDescent="0.3">
      <c r="A2273" s="80">
        <v>45662</v>
      </c>
      <c r="B2273">
        <v>3010212</v>
      </c>
      <c r="C2273">
        <v>1027.82</v>
      </c>
      <c r="E2273" s="80">
        <v>45659</v>
      </c>
      <c r="F2273">
        <v>2011310</v>
      </c>
      <c r="G2273">
        <v>5106.32</v>
      </c>
    </row>
    <row r="2274" spans="1:7" x14ac:dyDescent="0.3">
      <c r="A2274" s="80">
        <v>45662</v>
      </c>
      <c r="B2274">
        <v>3010212</v>
      </c>
      <c r="C2274">
        <v>1142.02</v>
      </c>
      <c r="E2274" s="80">
        <v>45659</v>
      </c>
      <c r="F2274">
        <v>2011310</v>
      </c>
      <c r="G2274">
        <v>5393.32</v>
      </c>
    </row>
    <row r="2275" spans="1:7" x14ac:dyDescent="0.3">
      <c r="A2275" s="80">
        <v>45662</v>
      </c>
      <c r="B2275">
        <v>3010212</v>
      </c>
      <c r="C2275">
        <v>1142.02</v>
      </c>
      <c r="E2275" s="80">
        <v>45659</v>
      </c>
      <c r="F2275">
        <v>2011310</v>
      </c>
      <c r="G2275">
        <v>4788.32</v>
      </c>
    </row>
    <row r="2276" spans="1:7" x14ac:dyDescent="0.3">
      <c r="A2276" s="80">
        <v>45662</v>
      </c>
      <c r="B2276">
        <v>3010212</v>
      </c>
      <c r="C2276">
        <v>1142.02</v>
      </c>
      <c r="E2276" s="80">
        <v>45659</v>
      </c>
      <c r="F2276">
        <v>2011310</v>
      </c>
      <c r="G2276">
        <v>4788.32</v>
      </c>
    </row>
    <row r="2277" spans="1:7" x14ac:dyDescent="0.3">
      <c r="A2277" s="80">
        <v>45662</v>
      </c>
      <c r="B2277">
        <v>3010212</v>
      </c>
      <c r="C2277">
        <v>1142.02</v>
      </c>
      <c r="E2277" s="80">
        <v>45659</v>
      </c>
      <c r="F2277">
        <v>2011310</v>
      </c>
      <c r="G2277">
        <v>4788.32</v>
      </c>
    </row>
    <row r="2278" spans="1:7" x14ac:dyDescent="0.3">
      <c r="A2278" s="80">
        <v>45662</v>
      </c>
      <c r="B2278">
        <v>3010212</v>
      </c>
      <c r="C2278">
        <v>1142.02</v>
      </c>
      <c r="E2278" s="80">
        <v>45659</v>
      </c>
      <c r="F2278">
        <v>2011310</v>
      </c>
      <c r="G2278">
        <v>5106.32</v>
      </c>
    </row>
    <row r="2279" spans="1:7" x14ac:dyDescent="0.3">
      <c r="A2279" s="80">
        <v>45662</v>
      </c>
      <c r="B2279">
        <v>3010212</v>
      </c>
      <c r="C2279">
        <v>1142.02</v>
      </c>
      <c r="E2279" s="80">
        <v>45659</v>
      </c>
      <c r="F2279">
        <v>2011310</v>
      </c>
      <c r="G2279">
        <v>4788.32</v>
      </c>
    </row>
    <row r="2280" spans="1:7" x14ac:dyDescent="0.3">
      <c r="A2280" s="80">
        <v>45662</v>
      </c>
      <c r="B2280">
        <v>3010212</v>
      </c>
      <c r="C2280">
        <v>380.42</v>
      </c>
      <c r="E2280" s="80">
        <v>45659</v>
      </c>
      <c r="F2280">
        <v>2011310</v>
      </c>
      <c r="G2280">
        <v>4788.32</v>
      </c>
    </row>
    <row r="2281" spans="1:7" x14ac:dyDescent="0.3">
      <c r="A2281" s="80">
        <v>45662</v>
      </c>
      <c r="B2281">
        <v>3010212</v>
      </c>
      <c r="C2281">
        <v>1142.02</v>
      </c>
      <c r="E2281" s="80">
        <v>45659</v>
      </c>
      <c r="F2281">
        <v>2011310</v>
      </c>
      <c r="G2281">
        <v>5106.32</v>
      </c>
    </row>
    <row r="2282" spans="1:7" x14ac:dyDescent="0.3">
      <c r="A2282" s="80">
        <v>45662</v>
      </c>
      <c r="B2282">
        <v>3010212</v>
      </c>
      <c r="C2282">
        <v>1142.02</v>
      </c>
      <c r="E2282" s="80">
        <v>45659</v>
      </c>
      <c r="F2282">
        <v>2011310</v>
      </c>
      <c r="G2282">
        <v>4788.32</v>
      </c>
    </row>
    <row r="2283" spans="1:7" x14ac:dyDescent="0.3">
      <c r="A2283" s="80">
        <v>45662</v>
      </c>
      <c r="B2283">
        <v>3010212</v>
      </c>
      <c r="C2283">
        <v>2284.04</v>
      </c>
      <c r="E2283" s="80">
        <v>45659</v>
      </c>
      <c r="F2283">
        <v>2011310</v>
      </c>
      <c r="G2283">
        <v>4788.32</v>
      </c>
    </row>
    <row r="2284" spans="1:7" x14ac:dyDescent="0.3">
      <c r="A2284" s="80">
        <v>45662</v>
      </c>
      <c r="B2284">
        <v>3010212</v>
      </c>
      <c r="C2284">
        <v>1142.02</v>
      </c>
      <c r="E2284" s="80">
        <v>45658</v>
      </c>
      <c r="F2284">
        <v>2011310</v>
      </c>
      <c r="G2284">
        <v>4788.32</v>
      </c>
    </row>
    <row r="2285" spans="1:7" x14ac:dyDescent="0.3">
      <c r="A2285" s="80">
        <v>45662</v>
      </c>
      <c r="B2285">
        <v>3010212</v>
      </c>
      <c r="C2285">
        <v>1142.02</v>
      </c>
      <c r="E2285" s="80">
        <v>45658</v>
      </c>
      <c r="F2285">
        <v>2011310</v>
      </c>
      <c r="G2285">
        <v>4788.32</v>
      </c>
    </row>
    <row r="2286" spans="1:7" x14ac:dyDescent="0.3">
      <c r="A2286" s="80">
        <v>45662</v>
      </c>
      <c r="B2286">
        <v>3010212</v>
      </c>
      <c r="C2286">
        <v>1142.02</v>
      </c>
      <c r="E2286" s="80">
        <v>45658</v>
      </c>
      <c r="F2286">
        <v>2011310</v>
      </c>
      <c r="G2286">
        <v>5457.32</v>
      </c>
    </row>
    <row r="2287" spans="1:7" x14ac:dyDescent="0.3">
      <c r="A2287" s="80">
        <v>45662</v>
      </c>
      <c r="B2287">
        <v>3010212</v>
      </c>
      <c r="C2287">
        <v>1142.02</v>
      </c>
      <c r="E2287" s="80">
        <v>45658</v>
      </c>
      <c r="F2287">
        <v>2011310</v>
      </c>
      <c r="G2287">
        <v>5106.32</v>
      </c>
    </row>
    <row r="2288" spans="1:7" x14ac:dyDescent="0.3">
      <c r="A2288" s="80">
        <v>45662</v>
      </c>
      <c r="B2288">
        <v>3010212</v>
      </c>
      <c r="C2288">
        <v>1142.02</v>
      </c>
      <c r="E2288" s="80">
        <v>45658</v>
      </c>
      <c r="F2288">
        <v>2011310</v>
      </c>
      <c r="G2288">
        <v>5106.32</v>
      </c>
    </row>
    <row r="2289" spans="1:7" x14ac:dyDescent="0.3">
      <c r="A2289" s="80">
        <v>45662</v>
      </c>
      <c r="B2289">
        <v>3010212</v>
      </c>
      <c r="C2289">
        <v>1142.02</v>
      </c>
      <c r="E2289" s="80">
        <v>45658</v>
      </c>
      <c r="F2289">
        <v>2011310</v>
      </c>
      <c r="G2289">
        <v>4788.32</v>
      </c>
    </row>
    <row r="2290" spans="1:7" x14ac:dyDescent="0.3">
      <c r="A2290" s="80">
        <v>45662</v>
      </c>
      <c r="B2290">
        <v>3010212</v>
      </c>
      <c r="C2290">
        <v>1142.02</v>
      </c>
      <c r="E2290" s="80">
        <v>45658</v>
      </c>
      <c r="F2290">
        <v>2011310</v>
      </c>
      <c r="G2290">
        <v>4788.32</v>
      </c>
    </row>
    <row r="2291" spans="1:7" x14ac:dyDescent="0.3">
      <c r="A2291" s="80">
        <v>45661</v>
      </c>
      <c r="B2291">
        <v>3010212</v>
      </c>
      <c r="C2291">
        <v>1142.02</v>
      </c>
      <c r="E2291" s="80">
        <v>45658</v>
      </c>
      <c r="F2291">
        <v>2011310</v>
      </c>
      <c r="G2291">
        <v>5106.32</v>
      </c>
    </row>
    <row r="2292" spans="1:7" x14ac:dyDescent="0.3">
      <c r="A2292" s="80">
        <v>45661</v>
      </c>
      <c r="B2292">
        <v>3010212</v>
      </c>
      <c r="C2292">
        <v>1142.02</v>
      </c>
      <c r="E2292" s="80">
        <v>45658</v>
      </c>
      <c r="F2292">
        <v>2011310</v>
      </c>
      <c r="G2292">
        <v>5106.32</v>
      </c>
    </row>
    <row r="2293" spans="1:7" x14ac:dyDescent="0.3">
      <c r="A2293" s="80">
        <v>45661</v>
      </c>
      <c r="B2293">
        <v>3010212</v>
      </c>
      <c r="C2293">
        <v>1142.02</v>
      </c>
      <c r="E2293" s="80">
        <v>45658</v>
      </c>
      <c r="F2293">
        <v>2011310</v>
      </c>
      <c r="G2293">
        <v>1913.04</v>
      </c>
    </row>
    <row r="2294" spans="1:7" x14ac:dyDescent="0.3">
      <c r="A2294" s="80">
        <v>45661</v>
      </c>
      <c r="B2294">
        <v>3010212</v>
      </c>
      <c r="C2294">
        <v>1142.02</v>
      </c>
      <c r="E2294" s="80">
        <v>45658</v>
      </c>
      <c r="F2294">
        <v>2011310</v>
      </c>
      <c r="G2294">
        <v>5457.32</v>
      </c>
    </row>
    <row r="2295" spans="1:7" x14ac:dyDescent="0.3">
      <c r="A2295" s="80">
        <v>45661</v>
      </c>
      <c r="B2295">
        <v>3010212</v>
      </c>
      <c r="C2295">
        <v>1142.02</v>
      </c>
      <c r="E2295" s="80">
        <v>45658</v>
      </c>
      <c r="F2295">
        <v>2011310</v>
      </c>
      <c r="G2295">
        <v>5106.32</v>
      </c>
    </row>
    <row r="2296" spans="1:7" x14ac:dyDescent="0.3">
      <c r="A2296" s="80">
        <v>45661</v>
      </c>
      <c r="B2296">
        <v>3010212</v>
      </c>
      <c r="C2296">
        <v>1142.02</v>
      </c>
      <c r="E2296" s="80">
        <v>45658</v>
      </c>
      <c r="F2296">
        <v>2011310</v>
      </c>
      <c r="G2296">
        <v>4627.49</v>
      </c>
    </row>
    <row r="2297" spans="1:7" x14ac:dyDescent="0.3">
      <c r="A2297" s="80">
        <v>45661</v>
      </c>
      <c r="B2297">
        <v>3010212</v>
      </c>
      <c r="C2297">
        <v>1142.02</v>
      </c>
      <c r="E2297" s="80">
        <v>45658</v>
      </c>
      <c r="F2297">
        <v>2011310</v>
      </c>
      <c r="G2297">
        <v>5106.32</v>
      </c>
    </row>
    <row r="2298" spans="1:7" x14ac:dyDescent="0.3">
      <c r="A2298" s="80">
        <v>45661</v>
      </c>
      <c r="B2298">
        <v>3010212</v>
      </c>
      <c r="C2298">
        <v>1142.02</v>
      </c>
      <c r="E2298" s="80">
        <v>45658</v>
      </c>
      <c r="F2298">
        <v>2011310</v>
      </c>
      <c r="G2298">
        <v>5058.49</v>
      </c>
    </row>
    <row r="2299" spans="1:7" x14ac:dyDescent="0.3">
      <c r="A2299" s="80">
        <v>45661</v>
      </c>
      <c r="B2299">
        <v>3010212</v>
      </c>
      <c r="C2299">
        <v>1142.02</v>
      </c>
      <c r="E2299" s="80">
        <v>45752</v>
      </c>
      <c r="F2299">
        <v>3010111</v>
      </c>
      <c r="G2299">
        <v>0</v>
      </c>
    </row>
    <row r="2300" spans="1:7" x14ac:dyDescent="0.3">
      <c r="A2300" s="80">
        <v>45661</v>
      </c>
      <c r="B2300">
        <v>3010212</v>
      </c>
      <c r="C2300">
        <v>380.42</v>
      </c>
      <c r="E2300" s="80">
        <v>45752</v>
      </c>
      <c r="F2300">
        <v>3010111</v>
      </c>
      <c r="G2300">
        <v>2345</v>
      </c>
    </row>
    <row r="2301" spans="1:7" x14ac:dyDescent="0.3">
      <c r="A2301" s="80">
        <v>45661</v>
      </c>
      <c r="B2301">
        <v>3010212</v>
      </c>
      <c r="C2301">
        <v>1142.02</v>
      </c>
      <c r="E2301" s="80">
        <v>45752</v>
      </c>
      <c r="F2301">
        <v>3010111</v>
      </c>
      <c r="G2301">
        <v>1504</v>
      </c>
    </row>
    <row r="2302" spans="1:7" x14ac:dyDescent="0.3">
      <c r="A2302" s="80">
        <v>45661</v>
      </c>
      <c r="B2302">
        <v>3010212</v>
      </c>
      <c r="C2302">
        <v>1142.02</v>
      </c>
      <c r="E2302" s="80">
        <v>45752</v>
      </c>
      <c r="F2302">
        <v>3010111</v>
      </c>
      <c r="G2302">
        <v>1504</v>
      </c>
    </row>
    <row r="2303" spans="1:7" x14ac:dyDescent="0.3">
      <c r="A2303" s="80">
        <v>45661</v>
      </c>
      <c r="B2303">
        <v>3010212</v>
      </c>
      <c r="C2303">
        <v>1142.02</v>
      </c>
      <c r="E2303" s="80">
        <v>45752</v>
      </c>
      <c r="F2303">
        <v>3010111</v>
      </c>
      <c r="G2303">
        <v>0</v>
      </c>
    </row>
    <row r="2304" spans="1:7" x14ac:dyDescent="0.3">
      <c r="A2304" s="80">
        <v>45661</v>
      </c>
      <c r="B2304">
        <v>3010212</v>
      </c>
      <c r="C2304">
        <v>1142.02</v>
      </c>
      <c r="E2304" s="80">
        <v>45752</v>
      </c>
      <c r="F2304">
        <v>3010111</v>
      </c>
      <c r="G2304">
        <v>1504</v>
      </c>
    </row>
    <row r="2305" spans="1:7" x14ac:dyDescent="0.3">
      <c r="A2305" s="80">
        <v>45661</v>
      </c>
      <c r="B2305">
        <v>3010212</v>
      </c>
      <c r="C2305">
        <v>1142.02</v>
      </c>
      <c r="E2305" s="80">
        <v>45751</v>
      </c>
      <c r="F2305">
        <v>3010111</v>
      </c>
      <c r="G2305">
        <v>1504</v>
      </c>
    </row>
    <row r="2306" spans="1:7" x14ac:dyDescent="0.3">
      <c r="A2306" s="80">
        <v>45661</v>
      </c>
      <c r="B2306">
        <v>3010212</v>
      </c>
      <c r="C2306">
        <v>1142.02</v>
      </c>
      <c r="E2306" s="80">
        <v>45751</v>
      </c>
      <c r="F2306">
        <v>3010111</v>
      </c>
      <c r="G2306">
        <v>1504</v>
      </c>
    </row>
    <row r="2307" spans="1:7" x14ac:dyDescent="0.3">
      <c r="A2307" s="80">
        <v>45661</v>
      </c>
      <c r="B2307">
        <v>3010212</v>
      </c>
      <c r="C2307">
        <v>1142.02</v>
      </c>
      <c r="E2307" s="80">
        <v>45751</v>
      </c>
      <c r="F2307">
        <v>3010111</v>
      </c>
      <c r="G2307">
        <v>2092</v>
      </c>
    </row>
    <row r="2308" spans="1:7" x14ac:dyDescent="0.3">
      <c r="A2308" s="80">
        <v>45661</v>
      </c>
      <c r="B2308">
        <v>3010212</v>
      </c>
      <c r="C2308">
        <v>1142.02</v>
      </c>
      <c r="E2308" s="80">
        <v>45751</v>
      </c>
      <c r="F2308">
        <v>3010111</v>
      </c>
      <c r="G2308">
        <v>2092</v>
      </c>
    </row>
    <row r="2309" spans="1:7" x14ac:dyDescent="0.3">
      <c r="A2309" s="80">
        <v>45661</v>
      </c>
      <c r="B2309">
        <v>3010212</v>
      </c>
      <c r="C2309">
        <v>1142.02</v>
      </c>
      <c r="E2309" s="80">
        <v>45751</v>
      </c>
      <c r="F2309">
        <v>3010111</v>
      </c>
      <c r="G2309">
        <v>1504</v>
      </c>
    </row>
    <row r="2310" spans="1:7" x14ac:dyDescent="0.3">
      <c r="A2310" s="80">
        <v>45660</v>
      </c>
      <c r="B2310">
        <v>3010212</v>
      </c>
      <c r="C2310">
        <v>1142.02</v>
      </c>
      <c r="E2310" s="80">
        <v>45751</v>
      </c>
      <c r="F2310">
        <v>3010111</v>
      </c>
      <c r="G2310">
        <v>1504</v>
      </c>
    </row>
    <row r="2311" spans="1:7" x14ac:dyDescent="0.3">
      <c r="A2311" s="80">
        <v>45660</v>
      </c>
      <c r="B2311">
        <v>3010212</v>
      </c>
      <c r="C2311">
        <v>1142.02</v>
      </c>
      <c r="E2311" s="80">
        <v>45751</v>
      </c>
      <c r="F2311">
        <v>3010111</v>
      </c>
      <c r="G2311">
        <v>2849</v>
      </c>
    </row>
    <row r="2312" spans="1:7" x14ac:dyDescent="0.3">
      <c r="A2312" s="80">
        <v>45660</v>
      </c>
      <c r="B2312">
        <v>3010212</v>
      </c>
      <c r="C2312">
        <v>1142.02</v>
      </c>
      <c r="E2312" s="80">
        <v>45751</v>
      </c>
      <c r="F2312">
        <v>3010111</v>
      </c>
      <c r="G2312">
        <v>2849</v>
      </c>
    </row>
    <row r="2313" spans="1:7" x14ac:dyDescent="0.3">
      <c r="A2313" s="80">
        <v>45660</v>
      </c>
      <c r="B2313">
        <v>3010212</v>
      </c>
      <c r="C2313">
        <v>1142.02</v>
      </c>
      <c r="E2313" s="80">
        <v>45751</v>
      </c>
      <c r="F2313">
        <v>3010111</v>
      </c>
      <c r="G2313">
        <v>1504</v>
      </c>
    </row>
    <row r="2314" spans="1:7" x14ac:dyDescent="0.3">
      <c r="A2314" s="80">
        <v>45660</v>
      </c>
      <c r="B2314">
        <v>3010212</v>
      </c>
      <c r="C2314">
        <v>1142.02</v>
      </c>
      <c r="E2314" s="80">
        <v>45750</v>
      </c>
      <c r="F2314">
        <v>3010111</v>
      </c>
      <c r="G2314">
        <v>1504</v>
      </c>
    </row>
    <row r="2315" spans="1:7" x14ac:dyDescent="0.3">
      <c r="A2315" s="80">
        <v>45660</v>
      </c>
      <c r="B2315">
        <v>3010212</v>
      </c>
      <c r="C2315">
        <v>1142.02</v>
      </c>
      <c r="E2315" s="80">
        <v>45750</v>
      </c>
      <c r="F2315">
        <v>3010111</v>
      </c>
      <c r="G2315">
        <v>0</v>
      </c>
    </row>
    <row r="2316" spans="1:7" x14ac:dyDescent="0.3">
      <c r="A2316" s="80">
        <v>45660</v>
      </c>
      <c r="B2316">
        <v>3010212</v>
      </c>
      <c r="C2316">
        <v>1142.02</v>
      </c>
      <c r="E2316" s="80">
        <v>45750</v>
      </c>
      <c r="F2316">
        <v>3010111</v>
      </c>
      <c r="G2316">
        <v>0</v>
      </c>
    </row>
    <row r="2317" spans="1:7" x14ac:dyDescent="0.3">
      <c r="A2317" s="80">
        <v>45660</v>
      </c>
      <c r="B2317">
        <v>3010212</v>
      </c>
      <c r="C2317">
        <v>1142.02</v>
      </c>
      <c r="E2317" s="80">
        <v>45750</v>
      </c>
      <c r="F2317">
        <v>3010111</v>
      </c>
      <c r="G2317">
        <v>0</v>
      </c>
    </row>
    <row r="2318" spans="1:7" x14ac:dyDescent="0.3">
      <c r="A2318" s="80">
        <v>45660</v>
      </c>
      <c r="B2318">
        <v>3010212</v>
      </c>
      <c r="C2318">
        <v>1142.02</v>
      </c>
      <c r="E2318" s="80">
        <v>45750</v>
      </c>
      <c r="F2318">
        <v>3010111</v>
      </c>
      <c r="G2318">
        <v>3773</v>
      </c>
    </row>
    <row r="2319" spans="1:7" x14ac:dyDescent="0.3">
      <c r="A2319" s="80">
        <v>45660</v>
      </c>
      <c r="B2319">
        <v>3010212</v>
      </c>
      <c r="C2319">
        <v>1142.02</v>
      </c>
      <c r="E2319" s="80">
        <v>45750</v>
      </c>
      <c r="F2319">
        <v>3010111</v>
      </c>
      <c r="G2319">
        <v>1504</v>
      </c>
    </row>
    <row r="2320" spans="1:7" x14ac:dyDescent="0.3">
      <c r="A2320" s="80">
        <v>45660</v>
      </c>
      <c r="B2320">
        <v>3010212</v>
      </c>
      <c r="C2320">
        <v>1142.02</v>
      </c>
      <c r="E2320" s="80">
        <v>45749</v>
      </c>
      <c r="F2320">
        <v>3010111</v>
      </c>
      <c r="G2320">
        <v>0</v>
      </c>
    </row>
    <row r="2321" spans="1:7" x14ac:dyDescent="0.3">
      <c r="A2321" s="80">
        <v>45660</v>
      </c>
      <c r="B2321">
        <v>3010212</v>
      </c>
      <c r="C2321">
        <v>1142.02</v>
      </c>
      <c r="E2321" s="80">
        <v>45749</v>
      </c>
      <c r="F2321">
        <v>3010111</v>
      </c>
      <c r="G2321">
        <v>1504</v>
      </c>
    </row>
    <row r="2322" spans="1:7" x14ac:dyDescent="0.3">
      <c r="A2322" s="80">
        <v>45660</v>
      </c>
      <c r="B2322">
        <v>3010212</v>
      </c>
      <c r="C2322">
        <v>1142.02</v>
      </c>
      <c r="E2322" s="80">
        <v>45749</v>
      </c>
      <c r="F2322">
        <v>3010111</v>
      </c>
      <c r="G2322">
        <v>1504</v>
      </c>
    </row>
    <row r="2323" spans="1:7" x14ac:dyDescent="0.3">
      <c r="A2323" s="80">
        <v>45660</v>
      </c>
      <c r="B2323">
        <v>3010212</v>
      </c>
      <c r="C2323">
        <v>1142.02</v>
      </c>
      <c r="E2323" s="80">
        <v>45749</v>
      </c>
      <c r="F2323">
        <v>3010111</v>
      </c>
      <c r="G2323">
        <v>5034</v>
      </c>
    </row>
    <row r="2324" spans="1:7" x14ac:dyDescent="0.3">
      <c r="A2324" s="80">
        <v>45660</v>
      </c>
      <c r="B2324">
        <v>3010212</v>
      </c>
      <c r="C2324">
        <v>1142.02</v>
      </c>
      <c r="E2324" s="80">
        <v>45749</v>
      </c>
      <c r="F2324">
        <v>3010111</v>
      </c>
      <c r="G2324">
        <v>1504</v>
      </c>
    </row>
    <row r="2325" spans="1:7" x14ac:dyDescent="0.3">
      <c r="A2325" s="80">
        <v>45660</v>
      </c>
      <c r="B2325">
        <v>3010212</v>
      </c>
      <c r="C2325">
        <v>380.42</v>
      </c>
      <c r="E2325" s="80">
        <v>45749</v>
      </c>
      <c r="F2325">
        <v>3010111</v>
      </c>
      <c r="G2325">
        <v>1504</v>
      </c>
    </row>
    <row r="2326" spans="1:7" x14ac:dyDescent="0.3">
      <c r="A2326" s="80">
        <v>45660</v>
      </c>
      <c r="B2326">
        <v>3010212</v>
      </c>
      <c r="C2326">
        <v>1142.02</v>
      </c>
      <c r="E2326" s="80">
        <v>45749</v>
      </c>
      <c r="F2326">
        <v>3010111</v>
      </c>
      <c r="G2326">
        <v>0</v>
      </c>
    </row>
    <row r="2327" spans="1:7" x14ac:dyDescent="0.3">
      <c r="A2327" s="80">
        <v>45659</v>
      </c>
      <c r="B2327">
        <v>3010212</v>
      </c>
      <c r="C2327">
        <v>1142.02</v>
      </c>
      <c r="E2327" s="80">
        <v>45748</v>
      </c>
      <c r="F2327">
        <v>3010111</v>
      </c>
      <c r="G2327">
        <v>0</v>
      </c>
    </row>
    <row r="2328" spans="1:7" x14ac:dyDescent="0.3">
      <c r="A2328" s="80">
        <v>45659</v>
      </c>
      <c r="B2328">
        <v>3010212</v>
      </c>
      <c r="C2328">
        <v>1142.02</v>
      </c>
      <c r="E2328" s="80">
        <v>45748</v>
      </c>
      <c r="F2328">
        <v>3010111</v>
      </c>
      <c r="G2328">
        <v>0</v>
      </c>
    </row>
    <row r="2329" spans="1:7" x14ac:dyDescent="0.3">
      <c r="A2329" s="80">
        <v>45659</v>
      </c>
      <c r="B2329">
        <v>3010212</v>
      </c>
      <c r="C2329">
        <v>1142.02</v>
      </c>
      <c r="E2329" s="80">
        <v>45748</v>
      </c>
      <c r="F2329">
        <v>3010111</v>
      </c>
      <c r="G2329">
        <v>0</v>
      </c>
    </row>
    <row r="2330" spans="1:7" x14ac:dyDescent="0.3">
      <c r="A2330" s="80">
        <v>45659</v>
      </c>
      <c r="B2330">
        <v>3010212</v>
      </c>
      <c r="C2330">
        <v>1142.02</v>
      </c>
      <c r="E2330" s="80">
        <v>45747</v>
      </c>
      <c r="F2330">
        <v>3010111</v>
      </c>
      <c r="G2330">
        <v>0</v>
      </c>
    </row>
    <row r="2331" spans="1:7" x14ac:dyDescent="0.3">
      <c r="A2331" s="80">
        <v>45659</v>
      </c>
      <c r="B2331">
        <v>3010212</v>
      </c>
      <c r="C2331">
        <v>1142.02</v>
      </c>
      <c r="E2331" s="80">
        <v>45747</v>
      </c>
      <c r="F2331">
        <v>3010111</v>
      </c>
      <c r="G2331">
        <v>1504</v>
      </c>
    </row>
    <row r="2332" spans="1:7" x14ac:dyDescent="0.3">
      <c r="A2332" s="80">
        <v>45659</v>
      </c>
      <c r="B2332">
        <v>3010212</v>
      </c>
      <c r="C2332">
        <v>1142.02</v>
      </c>
      <c r="E2332" s="80">
        <v>45747</v>
      </c>
      <c r="F2332">
        <v>3010111</v>
      </c>
      <c r="G2332">
        <v>0</v>
      </c>
    </row>
    <row r="2333" spans="1:7" x14ac:dyDescent="0.3">
      <c r="A2333" s="80">
        <v>45659</v>
      </c>
      <c r="B2333">
        <v>3010212</v>
      </c>
      <c r="C2333">
        <v>1142.02</v>
      </c>
      <c r="E2333" s="80">
        <v>45747</v>
      </c>
      <c r="F2333">
        <v>3010111</v>
      </c>
      <c r="G2333">
        <v>0</v>
      </c>
    </row>
    <row r="2334" spans="1:7" x14ac:dyDescent="0.3">
      <c r="A2334" s="80">
        <v>45659</v>
      </c>
      <c r="B2334">
        <v>3010212</v>
      </c>
      <c r="C2334">
        <v>1142.02</v>
      </c>
      <c r="E2334" s="80">
        <v>45747</v>
      </c>
      <c r="F2334">
        <v>3010111</v>
      </c>
      <c r="G2334">
        <v>1504</v>
      </c>
    </row>
    <row r="2335" spans="1:7" x14ac:dyDescent="0.3">
      <c r="A2335" s="80">
        <v>45659</v>
      </c>
      <c r="B2335">
        <v>3010212</v>
      </c>
      <c r="C2335">
        <v>1142.02</v>
      </c>
      <c r="E2335" s="80">
        <v>45747</v>
      </c>
      <c r="F2335">
        <v>3010111</v>
      </c>
      <c r="G2335">
        <v>0</v>
      </c>
    </row>
    <row r="2336" spans="1:7" x14ac:dyDescent="0.3">
      <c r="A2336" s="80">
        <v>45659</v>
      </c>
      <c r="B2336">
        <v>3010212</v>
      </c>
      <c r="C2336">
        <v>2284.04</v>
      </c>
      <c r="E2336" s="80">
        <v>45747</v>
      </c>
      <c r="F2336">
        <v>3010111</v>
      </c>
      <c r="G2336">
        <v>1504</v>
      </c>
    </row>
    <row r="2337" spans="1:7" x14ac:dyDescent="0.3">
      <c r="A2337" s="80">
        <v>45659</v>
      </c>
      <c r="B2337">
        <v>3010212</v>
      </c>
      <c r="C2337">
        <v>1142.02</v>
      </c>
      <c r="E2337" s="80">
        <v>45747</v>
      </c>
      <c r="F2337">
        <v>3010111</v>
      </c>
      <c r="G2337">
        <v>1504</v>
      </c>
    </row>
    <row r="2338" spans="1:7" x14ac:dyDescent="0.3">
      <c r="A2338" s="80">
        <v>45659</v>
      </c>
      <c r="B2338">
        <v>3010212</v>
      </c>
      <c r="C2338">
        <v>1142.02</v>
      </c>
      <c r="E2338" s="80">
        <v>45746</v>
      </c>
      <c r="F2338">
        <v>3010111</v>
      </c>
      <c r="G2338">
        <v>0</v>
      </c>
    </row>
    <row r="2339" spans="1:7" x14ac:dyDescent="0.3">
      <c r="A2339" s="80">
        <v>45659</v>
      </c>
      <c r="B2339">
        <v>3010212</v>
      </c>
      <c r="C2339">
        <v>1142.02</v>
      </c>
      <c r="E2339" s="80">
        <v>45746</v>
      </c>
      <c r="F2339">
        <v>3010111</v>
      </c>
      <c r="G2339">
        <v>1504</v>
      </c>
    </row>
    <row r="2340" spans="1:7" x14ac:dyDescent="0.3">
      <c r="A2340" s="80">
        <v>45659</v>
      </c>
      <c r="B2340">
        <v>3010212</v>
      </c>
      <c r="C2340">
        <v>1142.02</v>
      </c>
      <c r="E2340" s="80">
        <v>45746</v>
      </c>
      <c r="F2340">
        <v>3010111</v>
      </c>
      <c r="G2340">
        <v>2345</v>
      </c>
    </row>
    <row r="2341" spans="1:7" x14ac:dyDescent="0.3">
      <c r="A2341" s="80">
        <v>45659</v>
      </c>
      <c r="B2341">
        <v>3010212</v>
      </c>
      <c r="C2341">
        <v>1142.02</v>
      </c>
      <c r="E2341" s="80">
        <v>45746</v>
      </c>
      <c r="F2341">
        <v>3010111</v>
      </c>
      <c r="G2341">
        <v>1504</v>
      </c>
    </row>
    <row r="2342" spans="1:7" x14ac:dyDescent="0.3">
      <c r="A2342" s="80">
        <v>45659</v>
      </c>
      <c r="B2342">
        <v>3010212</v>
      </c>
      <c r="C2342">
        <v>1142.02</v>
      </c>
      <c r="E2342" s="80">
        <v>45746</v>
      </c>
      <c r="F2342">
        <v>3010111</v>
      </c>
      <c r="G2342">
        <v>0</v>
      </c>
    </row>
    <row r="2343" spans="1:7" x14ac:dyDescent="0.3">
      <c r="A2343" s="80">
        <v>45659</v>
      </c>
      <c r="B2343">
        <v>3010212</v>
      </c>
      <c r="C2343">
        <v>1142.02</v>
      </c>
      <c r="E2343" s="80">
        <v>45745</v>
      </c>
      <c r="F2343">
        <v>3010111</v>
      </c>
      <c r="G2343">
        <v>0</v>
      </c>
    </row>
    <row r="2344" spans="1:7" x14ac:dyDescent="0.3">
      <c r="A2344" s="80">
        <v>45659</v>
      </c>
      <c r="B2344">
        <v>3010212</v>
      </c>
      <c r="C2344">
        <v>1142.02</v>
      </c>
      <c r="E2344" s="80">
        <v>45745</v>
      </c>
      <c r="F2344">
        <v>3010111</v>
      </c>
      <c r="G2344">
        <v>0</v>
      </c>
    </row>
    <row r="2345" spans="1:7" x14ac:dyDescent="0.3">
      <c r="A2345" s="80">
        <v>45659</v>
      </c>
      <c r="B2345">
        <v>3010212</v>
      </c>
      <c r="C2345">
        <v>1142.02</v>
      </c>
      <c r="E2345" s="80">
        <v>45744</v>
      </c>
      <c r="F2345">
        <v>3010111</v>
      </c>
      <c r="G2345">
        <v>0</v>
      </c>
    </row>
    <row r="2346" spans="1:7" x14ac:dyDescent="0.3">
      <c r="A2346" s="80">
        <v>45659</v>
      </c>
      <c r="B2346">
        <v>3010212</v>
      </c>
      <c r="C2346">
        <v>1142.02</v>
      </c>
      <c r="E2346" s="80">
        <v>45744</v>
      </c>
      <c r="F2346">
        <v>3010111</v>
      </c>
      <c r="G2346">
        <v>0</v>
      </c>
    </row>
    <row r="2347" spans="1:7" x14ac:dyDescent="0.3">
      <c r="A2347" s="80">
        <v>45659</v>
      </c>
      <c r="B2347">
        <v>3010212</v>
      </c>
      <c r="C2347">
        <v>1142.02</v>
      </c>
      <c r="E2347" s="80">
        <v>45744</v>
      </c>
      <c r="F2347">
        <v>3010111</v>
      </c>
      <c r="G2347">
        <v>0</v>
      </c>
    </row>
    <row r="2348" spans="1:7" x14ac:dyDescent="0.3">
      <c r="A2348" s="80">
        <v>45659</v>
      </c>
      <c r="B2348">
        <v>3010212</v>
      </c>
      <c r="C2348">
        <v>1142.02</v>
      </c>
      <c r="E2348" s="80">
        <v>45743</v>
      </c>
      <c r="F2348">
        <v>3010111</v>
      </c>
      <c r="G2348">
        <v>0</v>
      </c>
    </row>
    <row r="2349" spans="1:7" x14ac:dyDescent="0.3">
      <c r="A2349" s="80">
        <v>45659</v>
      </c>
      <c r="B2349">
        <v>3010212</v>
      </c>
      <c r="C2349">
        <v>1142.02</v>
      </c>
      <c r="E2349" s="80">
        <v>45743</v>
      </c>
      <c r="F2349">
        <v>3010111</v>
      </c>
      <c r="G2349">
        <v>0</v>
      </c>
    </row>
    <row r="2350" spans="1:7" x14ac:dyDescent="0.3">
      <c r="A2350" s="80">
        <v>45658</v>
      </c>
      <c r="B2350">
        <v>3010212</v>
      </c>
      <c r="C2350">
        <v>1142.02</v>
      </c>
      <c r="E2350" s="80">
        <v>45743</v>
      </c>
      <c r="F2350">
        <v>3010111</v>
      </c>
      <c r="G2350">
        <v>0</v>
      </c>
    </row>
    <row r="2351" spans="1:7" x14ac:dyDescent="0.3">
      <c r="A2351" s="80">
        <v>45658</v>
      </c>
      <c r="B2351">
        <v>3010212</v>
      </c>
      <c r="C2351">
        <v>1142.02</v>
      </c>
      <c r="E2351" s="80">
        <v>45743</v>
      </c>
      <c r="F2351">
        <v>3010111</v>
      </c>
      <c r="G2351">
        <v>0</v>
      </c>
    </row>
    <row r="2352" spans="1:7" x14ac:dyDescent="0.3">
      <c r="A2352" s="80">
        <v>45658</v>
      </c>
      <c r="B2352">
        <v>3010212</v>
      </c>
      <c r="C2352">
        <v>1142.02</v>
      </c>
      <c r="E2352" s="80">
        <v>45743</v>
      </c>
      <c r="F2352">
        <v>3010111</v>
      </c>
      <c r="G2352">
        <v>0</v>
      </c>
    </row>
    <row r="2353" spans="1:7" x14ac:dyDescent="0.3">
      <c r="A2353" s="80">
        <v>45658</v>
      </c>
      <c r="B2353">
        <v>3010212</v>
      </c>
      <c r="C2353">
        <v>1142.02</v>
      </c>
      <c r="E2353" s="80">
        <v>45743</v>
      </c>
      <c r="F2353">
        <v>3010111</v>
      </c>
      <c r="G2353">
        <v>0</v>
      </c>
    </row>
    <row r="2354" spans="1:7" x14ac:dyDescent="0.3">
      <c r="A2354" s="80">
        <v>45658</v>
      </c>
      <c r="B2354">
        <v>3010212</v>
      </c>
      <c r="C2354">
        <v>1142.02</v>
      </c>
      <c r="E2354" s="80">
        <v>45743</v>
      </c>
      <c r="F2354">
        <v>3010111</v>
      </c>
      <c r="G2354">
        <v>0</v>
      </c>
    </row>
    <row r="2355" spans="1:7" x14ac:dyDescent="0.3">
      <c r="A2355" s="80">
        <v>45658</v>
      </c>
      <c r="B2355">
        <v>3010212</v>
      </c>
      <c r="C2355">
        <v>1142.02</v>
      </c>
      <c r="E2355" s="80">
        <v>45740</v>
      </c>
      <c r="F2355">
        <v>3010111</v>
      </c>
      <c r="G2355">
        <v>0</v>
      </c>
    </row>
    <row r="2356" spans="1:7" x14ac:dyDescent="0.3">
      <c r="A2356" s="80">
        <v>45658</v>
      </c>
      <c r="B2356">
        <v>3010212</v>
      </c>
      <c r="C2356">
        <v>1142.02</v>
      </c>
      <c r="E2356" s="80">
        <v>45740</v>
      </c>
      <c r="F2356">
        <v>3010111</v>
      </c>
      <c r="G2356">
        <v>0</v>
      </c>
    </row>
    <row r="2357" spans="1:7" x14ac:dyDescent="0.3">
      <c r="A2357" s="80">
        <v>45658</v>
      </c>
      <c r="B2357">
        <v>3010212</v>
      </c>
      <c r="C2357">
        <v>1142.02</v>
      </c>
      <c r="E2357" s="80">
        <v>45739</v>
      </c>
      <c r="F2357">
        <v>3010111</v>
      </c>
      <c r="G2357">
        <v>0</v>
      </c>
    </row>
    <row r="2358" spans="1:7" x14ac:dyDescent="0.3">
      <c r="A2358" s="80">
        <v>45658</v>
      </c>
      <c r="B2358">
        <v>3010212</v>
      </c>
      <c r="C2358">
        <v>1142.02</v>
      </c>
      <c r="E2358" s="80">
        <v>45739</v>
      </c>
      <c r="F2358">
        <v>3010111</v>
      </c>
      <c r="G2358">
        <v>0</v>
      </c>
    </row>
    <row r="2359" spans="1:7" x14ac:dyDescent="0.3">
      <c r="A2359" s="80">
        <v>45658</v>
      </c>
      <c r="B2359">
        <v>3010212</v>
      </c>
      <c r="C2359">
        <v>380.42</v>
      </c>
      <c r="E2359" s="80">
        <v>45739</v>
      </c>
      <c r="F2359">
        <v>3010111</v>
      </c>
      <c r="G2359">
        <v>0</v>
      </c>
    </row>
    <row r="2360" spans="1:7" x14ac:dyDescent="0.3">
      <c r="A2360" s="80">
        <v>45658</v>
      </c>
      <c r="B2360">
        <v>3010212</v>
      </c>
      <c r="C2360">
        <v>1142.02</v>
      </c>
      <c r="E2360" s="80">
        <v>45738</v>
      </c>
      <c r="F2360">
        <v>3010111</v>
      </c>
      <c r="G2360">
        <v>0</v>
      </c>
    </row>
    <row r="2361" spans="1:7" x14ac:dyDescent="0.3">
      <c r="A2361" s="80">
        <v>45658</v>
      </c>
      <c r="B2361">
        <v>3010212</v>
      </c>
      <c r="C2361">
        <v>1142.02</v>
      </c>
      <c r="E2361" s="80">
        <v>45738</v>
      </c>
      <c r="F2361">
        <v>3010111</v>
      </c>
      <c r="G2361">
        <v>3017</v>
      </c>
    </row>
    <row r="2362" spans="1:7" x14ac:dyDescent="0.3">
      <c r="A2362" s="80">
        <v>45658</v>
      </c>
      <c r="B2362">
        <v>3010212</v>
      </c>
      <c r="C2362">
        <v>1027.82</v>
      </c>
      <c r="E2362" s="80">
        <v>45737</v>
      </c>
      <c r="F2362">
        <v>3010111</v>
      </c>
      <c r="G2362">
        <v>0</v>
      </c>
    </row>
    <row r="2363" spans="1:7" x14ac:dyDescent="0.3">
      <c r="A2363" s="80">
        <v>45658</v>
      </c>
      <c r="B2363">
        <v>3010212</v>
      </c>
      <c r="C2363">
        <v>1142.02</v>
      </c>
      <c r="E2363" s="80">
        <v>45737</v>
      </c>
      <c r="F2363">
        <v>3010111</v>
      </c>
      <c r="G2363">
        <v>0</v>
      </c>
    </row>
    <row r="2364" spans="1:7" x14ac:dyDescent="0.3">
      <c r="A2364" s="80">
        <v>45658</v>
      </c>
      <c r="B2364">
        <v>3010212</v>
      </c>
      <c r="C2364">
        <v>1027.82</v>
      </c>
      <c r="E2364" s="80">
        <v>45736</v>
      </c>
      <c r="F2364">
        <v>3010111</v>
      </c>
      <c r="G2364">
        <v>1672</v>
      </c>
    </row>
    <row r="2365" spans="1:7" x14ac:dyDescent="0.3">
      <c r="A2365" s="80">
        <v>45752</v>
      </c>
      <c r="B2365">
        <v>3010200</v>
      </c>
      <c r="C2365">
        <v>12630</v>
      </c>
      <c r="E2365" s="80">
        <v>45736</v>
      </c>
      <c r="F2365">
        <v>3010111</v>
      </c>
      <c r="G2365">
        <v>1840</v>
      </c>
    </row>
    <row r="2366" spans="1:7" x14ac:dyDescent="0.3">
      <c r="A2366" s="80">
        <v>45752</v>
      </c>
      <c r="B2366">
        <v>3010200</v>
      </c>
      <c r="C2366">
        <v>8769</v>
      </c>
      <c r="E2366" s="80">
        <v>45736</v>
      </c>
      <c r="F2366">
        <v>3010111</v>
      </c>
      <c r="G2366">
        <v>0</v>
      </c>
    </row>
    <row r="2367" spans="1:7" x14ac:dyDescent="0.3">
      <c r="A2367" s="80">
        <v>45752</v>
      </c>
      <c r="B2367">
        <v>3010200</v>
      </c>
      <c r="C2367">
        <v>5000</v>
      </c>
      <c r="E2367" s="80">
        <v>45736</v>
      </c>
      <c r="F2367">
        <v>3010111</v>
      </c>
      <c r="G2367">
        <v>0</v>
      </c>
    </row>
    <row r="2368" spans="1:7" x14ac:dyDescent="0.3">
      <c r="A2368" s="80">
        <v>45752</v>
      </c>
      <c r="B2368">
        <v>3010200</v>
      </c>
      <c r="C2368">
        <v>5000</v>
      </c>
      <c r="E2368" s="80">
        <v>45736</v>
      </c>
      <c r="F2368">
        <v>3010111</v>
      </c>
      <c r="G2368">
        <v>0</v>
      </c>
    </row>
    <row r="2369" spans="1:7" x14ac:dyDescent="0.3">
      <c r="A2369" s="80">
        <v>45752</v>
      </c>
      <c r="B2369">
        <v>3010200</v>
      </c>
      <c r="C2369">
        <v>12630</v>
      </c>
      <c r="E2369" s="80">
        <v>45735</v>
      </c>
      <c r="F2369">
        <v>3010111</v>
      </c>
      <c r="G2369">
        <v>0</v>
      </c>
    </row>
    <row r="2370" spans="1:7" x14ac:dyDescent="0.3">
      <c r="A2370" s="80">
        <v>45752</v>
      </c>
      <c r="B2370">
        <v>3010200</v>
      </c>
      <c r="C2370">
        <v>5000</v>
      </c>
      <c r="E2370" s="80">
        <v>45735</v>
      </c>
      <c r="F2370">
        <v>3010111</v>
      </c>
      <c r="G2370">
        <v>0</v>
      </c>
    </row>
    <row r="2371" spans="1:7" x14ac:dyDescent="0.3">
      <c r="A2371" s="80">
        <v>45751</v>
      </c>
      <c r="B2371">
        <v>3010200</v>
      </c>
      <c r="C2371">
        <v>2630</v>
      </c>
      <c r="E2371" s="80">
        <v>45735</v>
      </c>
      <c r="F2371">
        <v>3010111</v>
      </c>
      <c r="G2371">
        <v>0</v>
      </c>
    </row>
    <row r="2372" spans="1:7" x14ac:dyDescent="0.3">
      <c r="A2372" s="80">
        <v>45751</v>
      </c>
      <c r="B2372">
        <v>3010200</v>
      </c>
      <c r="C2372">
        <v>2630</v>
      </c>
      <c r="E2372" s="80">
        <v>45734</v>
      </c>
      <c r="F2372">
        <v>3010111</v>
      </c>
      <c r="G2372">
        <v>2092</v>
      </c>
    </row>
    <row r="2373" spans="1:7" x14ac:dyDescent="0.3">
      <c r="A2373" s="80">
        <v>45751</v>
      </c>
      <c r="B2373">
        <v>3010200</v>
      </c>
      <c r="C2373">
        <v>5000</v>
      </c>
      <c r="E2373" s="80">
        <v>45734</v>
      </c>
      <c r="F2373">
        <v>3010111</v>
      </c>
      <c r="G2373">
        <v>1672</v>
      </c>
    </row>
    <row r="2374" spans="1:7" x14ac:dyDescent="0.3">
      <c r="A2374" s="80">
        <v>45751</v>
      </c>
      <c r="B2374">
        <v>3010200</v>
      </c>
      <c r="C2374">
        <v>5000</v>
      </c>
      <c r="E2374" s="80">
        <v>45734</v>
      </c>
      <c r="F2374">
        <v>3010111</v>
      </c>
      <c r="G2374">
        <v>0</v>
      </c>
    </row>
    <row r="2375" spans="1:7" x14ac:dyDescent="0.3">
      <c r="A2375" s="80">
        <v>45751</v>
      </c>
      <c r="B2375">
        <v>3010200</v>
      </c>
      <c r="C2375">
        <v>5000</v>
      </c>
      <c r="E2375" s="80">
        <v>45734</v>
      </c>
      <c r="F2375">
        <v>3010111</v>
      </c>
      <c r="G2375">
        <v>0</v>
      </c>
    </row>
    <row r="2376" spans="1:7" x14ac:dyDescent="0.3">
      <c r="A2376" s="80">
        <v>45751</v>
      </c>
      <c r="B2376">
        <v>3010200</v>
      </c>
      <c r="C2376">
        <v>5000</v>
      </c>
      <c r="E2376" s="80">
        <v>45734</v>
      </c>
      <c r="F2376">
        <v>3010111</v>
      </c>
      <c r="G2376">
        <v>0</v>
      </c>
    </row>
    <row r="2377" spans="1:7" x14ac:dyDescent="0.3">
      <c r="A2377" s="80">
        <v>45751</v>
      </c>
      <c r="B2377">
        <v>3010200</v>
      </c>
      <c r="C2377">
        <v>5000</v>
      </c>
      <c r="E2377" s="80">
        <v>45733</v>
      </c>
      <c r="F2377">
        <v>3010111</v>
      </c>
      <c r="G2377">
        <v>0</v>
      </c>
    </row>
    <row r="2378" spans="1:7" x14ac:dyDescent="0.3">
      <c r="A2378" s="80">
        <v>45751</v>
      </c>
      <c r="B2378">
        <v>3010200</v>
      </c>
      <c r="C2378">
        <v>5000</v>
      </c>
      <c r="E2378" s="80">
        <v>45733</v>
      </c>
      <c r="F2378">
        <v>3010111</v>
      </c>
      <c r="G2378">
        <v>3017</v>
      </c>
    </row>
    <row r="2379" spans="1:7" x14ac:dyDescent="0.3">
      <c r="A2379" s="80">
        <v>45751</v>
      </c>
      <c r="B2379">
        <v>3010200</v>
      </c>
      <c r="C2379">
        <v>5000</v>
      </c>
      <c r="E2379" s="80">
        <v>45733</v>
      </c>
      <c r="F2379">
        <v>3010111</v>
      </c>
      <c r="G2379">
        <v>2092</v>
      </c>
    </row>
    <row r="2380" spans="1:7" x14ac:dyDescent="0.3">
      <c r="A2380" s="80">
        <v>45750</v>
      </c>
      <c r="B2380">
        <v>3010200</v>
      </c>
      <c r="C2380">
        <v>5000</v>
      </c>
      <c r="E2380" s="80">
        <v>45733</v>
      </c>
      <c r="F2380">
        <v>3010111</v>
      </c>
      <c r="G2380">
        <v>2092</v>
      </c>
    </row>
    <row r="2381" spans="1:7" x14ac:dyDescent="0.3">
      <c r="A2381" s="80">
        <v>45750</v>
      </c>
      <c r="B2381">
        <v>3010200</v>
      </c>
      <c r="C2381">
        <v>12630</v>
      </c>
      <c r="E2381" s="80">
        <v>45733</v>
      </c>
      <c r="F2381">
        <v>3010111</v>
      </c>
      <c r="G2381">
        <v>1672</v>
      </c>
    </row>
    <row r="2382" spans="1:7" x14ac:dyDescent="0.3">
      <c r="A2382" s="80">
        <v>45750</v>
      </c>
      <c r="B2382">
        <v>3010200</v>
      </c>
      <c r="C2382">
        <v>5000</v>
      </c>
      <c r="E2382" s="80">
        <v>45733</v>
      </c>
      <c r="F2382">
        <v>3010111</v>
      </c>
      <c r="G2382">
        <v>0</v>
      </c>
    </row>
    <row r="2383" spans="1:7" x14ac:dyDescent="0.3">
      <c r="A2383" s="80">
        <v>45750</v>
      </c>
      <c r="B2383">
        <v>3010200</v>
      </c>
      <c r="C2383">
        <v>5000</v>
      </c>
      <c r="E2383" s="80">
        <v>45733</v>
      </c>
      <c r="F2383">
        <v>3010111</v>
      </c>
      <c r="G2383">
        <v>0</v>
      </c>
    </row>
    <row r="2384" spans="1:7" x14ac:dyDescent="0.3">
      <c r="A2384" s="80">
        <v>45750</v>
      </c>
      <c r="B2384">
        <v>3010200</v>
      </c>
      <c r="C2384">
        <v>5000</v>
      </c>
      <c r="E2384" s="80">
        <v>45733</v>
      </c>
      <c r="F2384">
        <v>3010111</v>
      </c>
      <c r="G2384">
        <v>0</v>
      </c>
    </row>
    <row r="2385" spans="1:7" x14ac:dyDescent="0.3">
      <c r="A2385" s="80">
        <v>45750</v>
      </c>
      <c r="B2385">
        <v>3010200</v>
      </c>
      <c r="C2385">
        <v>5000</v>
      </c>
      <c r="E2385" s="80">
        <v>45732</v>
      </c>
      <c r="F2385">
        <v>3010111</v>
      </c>
      <c r="G2385">
        <v>1672</v>
      </c>
    </row>
    <row r="2386" spans="1:7" x14ac:dyDescent="0.3">
      <c r="A2386" s="80">
        <v>45749</v>
      </c>
      <c r="B2386">
        <v>3010200</v>
      </c>
      <c r="C2386">
        <v>5000</v>
      </c>
      <c r="E2386" s="80">
        <v>45732</v>
      </c>
      <c r="F2386">
        <v>3010111</v>
      </c>
      <c r="G2386">
        <v>1672</v>
      </c>
    </row>
    <row r="2387" spans="1:7" x14ac:dyDescent="0.3">
      <c r="A2387" s="80">
        <v>45749</v>
      </c>
      <c r="B2387">
        <v>3010200</v>
      </c>
      <c r="C2387">
        <v>5000</v>
      </c>
      <c r="E2387" s="80">
        <v>45731</v>
      </c>
      <c r="F2387">
        <v>3010111</v>
      </c>
      <c r="G2387">
        <v>0</v>
      </c>
    </row>
    <row r="2388" spans="1:7" x14ac:dyDescent="0.3">
      <c r="A2388" s="80">
        <v>45749</v>
      </c>
      <c r="B2388">
        <v>3010200</v>
      </c>
      <c r="C2388">
        <v>5000</v>
      </c>
      <c r="E2388" s="80">
        <v>45731</v>
      </c>
      <c r="F2388">
        <v>3010111</v>
      </c>
      <c r="G2388">
        <v>0</v>
      </c>
    </row>
    <row r="2389" spans="1:7" x14ac:dyDescent="0.3">
      <c r="A2389" s="80">
        <v>45749</v>
      </c>
      <c r="B2389">
        <v>3010200</v>
      </c>
      <c r="C2389">
        <v>5000</v>
      </c>
      <c r="E2389" s="80">
        <v>45731</v>
      </c>
      <c r="F2389">
        <v>3010111</v>
      </c>
      <c r="G2389">
        <v>0</v>
      </c>
    </row>
    <row r="2390" spans="1:7" x14ac:dyDescent="0.3">
      <c r="A2390" s="80">
        <v>45749</v>
      </c>
      <c r="B2390">
        <v>3010200</v>
      </c>
      <c r="C2390">
        <v>5000</v>
      </c>
      <c r="E2390" s="80">
        <v>45730</v>
      </c>
      <c r="F2390">
        <v>3010111</v>
      </c>
      <c r="G2390">
        <v>0</v>
      </c>
    </row>
    <row r="2391" spans="1:7" x14ac:dyDescent="0.3">
      <c r="A2391" s="80">
        <v>45749</v>
      </c>
      <c r="B2391">
        <v>3010200</v>
      </c>
      <c r="C2391">
        <v>5000</v>
      </c>
      <c r="E2391" s="80">
        <v>45730</v>
      </c>
      <c r="F2391">
        <v>3010111</v>
      </c>
      <c r="G2391">
        <v>0</v>
      </c>
    </row>
    <row r="2392" spans="1:7" x14ac:dyDescent="0.3">
      <c r="A2392" s="80">
        <v>45749</v>
      </c>
      <c r="B2392">
        <v>3010200</v>
      </c>
      <c r="C2392">
        <v>12630</v>
      </c>
      <c r="E2392" s="80">
        <v>45730</v>
      </c>
      <c r="F2392">
        <v>3010111</v>
      </c>
      <c r="G2392">
        <v>0</v>
      </c>
    </row>
    <row r="2393" spans="1:7" x14ac:dyDescent="0.3">
      <c r="A2393" s="80">
        <v>45748</v>
      </c>
      <c r="B2393">
        <v>3010200</v>
      </c>
      <c r="C2393">
        <v>5000</v>
      </c>
      <c r="E2393" s="80">
        <v>45729</v>
      </c>
      <c r="F2393">
        <v>3010111</v>
      </c>
      <c r="G2393">
        <v>1840</v>
      </c>
    </row>
    <row r="2394" spans="1:7" x14ac:dyDescent="0.3">
      <c r="A2394" s="80">
        <v>45748</v>
      </c>
      <c r="B2394">
        <v>3010200</v>
      </c>
      <c r="C2394">
        <v>5000</v>
      </c>
      <c r="E2394" s="80">
        <v>45728</v>
      </c>
      <c r="F2394">
        <v>3010111</v>
      </c>
      <c r="G2394">
        <v>1672</v>
      </c>
    </row>
    <row r="2395" spans="1:7" x14ac:dyDescent="0.3">
      <c r="A2395" s="80">
        <v>45748</v>
      </c>
      <c r="B2395">
        <v>3010200</v>
      </c>
      <c r="C2395">
        <v>8769</v>
      </c>
      <c r="E2395" s="80">
        <v>45728</v>
      </c>
      <c r="F2395">
        <v>3010111</v>
      </c>
      <c r="G2395">
        <v>1672</v>
      </c>
    </row>
    <row r="2396" spans="1:7" x14ac:dyDescent="0.3">
      <c r="A2396" s="80">
        <v>45747</v>
      </c>
      <c r="B2396">
        <v>3010200</v>
      </c>
      <c r="C2396">
        <v>5000</v>
      </c>
      <c r="E2396" s="80">
        <v>45727</v>
      </c>
      <c r="F2396">
        <v>3010111</v>
      </c>
      <c r="G2396">
        <v>2345</v>
      </c>
    </row>
    <row r="2397" spans="1:7" x14ac:dyDescent="0.3">
      <c r="A2397" s="80">
        <v>45747</v>
      </c>
      <c r="B2397">
        <v>3010200</v>
      </c>
      <c r="C2397">
        <v>5000</v>
      </c>
      <c r="E2397" s="80">
        <v>45727</v>
      </c>
      <c r="F2397">
        <v>3010111</v>
      </c>
      <c r="G2397">
        <v>1672</v>
      </c>
    </row>
    <row r="2398" spans="1:7" x14ac:dyDescent="0.3">
      <c r="A2398" s="80">
        <v>45747</v>
      </c>
      <c r="B2398">
        <v>3010200</v>
      </c>
      <c r="C2398">
        <v>5000</v>
      </c>
      <c r="E2398" s="80">
        <v>45727</v>
      </c>
      <c r="F2398">
        <v>3010111</v>
      </c>
      <c r="G2398">
        <v>3838</v>
      </c>
    </row>
    <row r="2399" spans="1:7" x14ac:dyDescent="0.3">
      <c r="A2399" s="80">
        <v>45747</v>
      </c>
      <c r="B2399">
        <v>3010200</v>
      </c>
      <c r="C2399">
        <v>5000</v>
      </c>
      <c r="E2399" s="80">
        <v>45727</v>
      </c>
      <c r="F2399">
        <v>3010111</v>
      </c>
      <c r="G2399">
        <v>1672</v>
      </c>
    </row>
    <row r="2400" spans="1:7" x14ac:dyDescent="0.3">
      <c r="A2400" s="80">
        <v>45747</v>
      </c>
      <c r="B2400">
        <v>3010200</v>
      </c>
      <c r="C2400">
        <v>5000</v>
      </c>
      <c r="E2400" s="80">
        <v>45727</v>
      </c>
      <c r="F2400">
        <v>3010111</v>
      </c>
      <c r="G2400">
        <v>0</v>
      </c>
    </row>
    <row r="2401" spans="1:7" x14ac:dyDescent="0.3">
      <c r="A2401" s="80">
        <v>45747</v>
      </c>
      <c r="B2401">
        <v>3010200</v>
      </c>
      <c r="C2401">
        <v>5000</v>
      </c>
      <c r="E2401" s="80">
        <v>45726</v>
      </c>
      <c r="F2401">
        <v>3010111</v>
      </c>
      <c r="G2401">
        <v>1672</v>
      </c>
    </row>
    <row r="2402" spans="1:7" x14ac:dyDescent="0.3">
      <c r="A2402" s="80">
        <v>45747</v>
      </c>
      <c r="B2402">
        <v>3010200</v>
      </c>
      <c r="C2402">
        <v>5000</v>
      </c>
      <c r="E2402" s="80">
        <v>45726</v>
      </c>
      <c r="F2402">
        <v>3010111</v>
      </c>
      <c r="G2402">
        <v>0</v>
      </c>
    </row>
    <row r="2403" spans="1:7" x14ac:dyDescent="0.3">
      <c r="A2403" s="80">
        <v>45747</v>
      </c>
      <c r="B2403">
        <v>3010200</v>
      </c>
      <c r="C2403">
        <v>5000</v>
      </c>
      <c r="E2403" s="80">
        <v>45726</v>
      </c>
      <c r="F2403">
        <v>3010111</v>
      </c>
      <c r="G2403">
        <v>1672</v>
      </c>
    </row>
    <row r="2404" spans="1:7" x14ac:dyDescent="0.3">
      <c r="A2404" s="80">
        <v>45746</v>
      </c>
      <c r="B2404">
        <v>3010200</v>
      </c>
      <c r="C2404">
        <v>12630</v>
      </c>
      <c r="E2404" s="80">
        <v>45726</v>
      </c>
      <c r="F2404">
        <v>3010111</v>
      </c>
      <c r="G2404">
        <v>2008</v>
      </c>
    </row>
    <row r="2405" spans="1:7" x14ac:dyDescent="0.3">
      <c r="A2405" s="80">
        <v>45746</v>
      </c>
      <c r="B2405">
        <v>3010200</v>
      </c>
      <c r="C2405">
        <v>5000</v>
      </c>
      <c r="E2405" s="80">
        <v>45726</v>
      </c>
      <c r="F2405">
        <v>3010111</v>
      </c>
      <c r="G2405">
        <v>0</v>
      </c>
    </row>
    <row r="2406" spans="1:7" x14ac:dyDescent="0.3">
      <c r="A2406" s="80">
        <v>45746</v>
      </c>
      <c r="B2406">
        <v>3010200</v>
      </c>
      <c r="C2406">
        <v>5000</v>
      </c>
      <c r="E2406" s="80">
        <v>45725</v>
      </c>
      <c r="F2406">
        <v>3010111</v>
      </c>
      <c r="G2406">
        <v>0</v>
      </c>
    </row>
    <row r="2407" spans="1:7" x14ac:dyDescent="0.3">
      <c r="A2407" s="80">
        <v>45746</v>
      </c>
      <c r="B2407">
        <v>3010200</v>
      </c>
      <c r="C2407">
        <v>5000</v>
      </c>
      <c r="E2407" s="80">
        <v>45725</v>
      </c>
      <c r="F2407">
        <v>3010111</v>
      </c>
      <c r="G2407">
        <v>0</v>
      </c>
    </row>
    <row r="2408" spans="1:7" x14ac:dyDescent="0.3">
      <c r="A2408" s="80">
        <v>45746</v>
      </c>
      <c r="B2408">
        <v>3010200</v>
      </c>
      <c r="C2408">
        <v>12630</v>
      </c>
      <c r="E2408" s="80">
        <v>45725</v>
      </c>
      <c r="F2408">
        <v>3010111</v>
      </c>
      <c r="G2408">
        <v>0</v>
      </c>
    </row>
    <row r="2409" spans="1:7" x14ac:dyDescent="0.3">
      <c r="A2409" s="80">
        <v>45745</v>
      </c>
      <c r="B2409">
        <v>3010200</v>
      </c>
      <c r="C2409">
        <v>5000</v>
      </c>
      <c r="E2409" s="80">
        <v>45725</v>
      </c>
      <c r="F2409">
        <v>3010111</v>
      </c>
      <c r="G2409">
        <v>0</v>
      </c>
    </row>
    <row r="2410" spans="1:7" x14ac:dyDescent="0.3">
      <c r="A2410" s="80">
        <v>45745</v>
      </c>
      <c r="B2410">
        <v>3010200</v>
      </c>
      <c r="C2410">
        <v>5000</v>
      </c>
      <c r="E2410" s="80">
        <v>45725</v>
      </c>
      <c r="F2410">
        <v>3010111</v>
      </c>
      <c r="G2410">
        <v>0</v>
      </c>
    </row>
    <row r="2411" spans="1:7" x14ac:dyDescent="0.3">
      <c r="A2411" s="80">
        <v>45744</v>
      </c>
      <c r="B2411">
        <v>3010200</v>
      </c>
      <c r="C2411">
        <v>5000</v>
      </c>
      <c r="E2411" s="80">
        <v>45725</v>
      </c>
      <c r="F2411">
        <v>3010111</v>
      </c>
      <c r="G2411">
        <v>0</v>
      </c>
    </row>
    <row r="2412" spans="1:7" x14ac:dyDescent="0.3">
      <c r="A2412" s="80">
        <v>45744</v>
      </c>
      <c r="B2412">
        <v>3010200</v>
      </c>
      <c r="C2412">
        <v>5000</v>
      </c>
      <c r="E2412" s="80">
        <v>45725</v>
      </c>
      <c r="F2412">
        <v>3010111</v>
      </c>
      <c r="G2412">
        <v>0</v>
      </c>
    </row>
    <row r="2413" spans="1:7" x14ac:dyDescent="0.3">
      <c r="A2413" s="80">
        <v>45744</v>
      </c>
      <c r="B2413">
        <v>3010200</v>
      </c>
      <c r="C2413">
        <v>5000</v>
      </c>
      <c r="E2413" s="80">
        <v>45725</v>
      </c>
      <c r="F2413">
        <v>3010111</v>
      </c>
      <c r="G2413">
        <v>0</v>
      </c>
    </row>
    <row r="2414" spans="1:7" x14ac:dyDescent="0.3">
      <c r="A2414" s="80">
        <v>45743</v>
      </c>
      <c r="B2414">
        <v>3010200</v>
      </c>
      <c r="C2414">
        <v>5000</v>
      </c>
      <c r="E2414" s="80">
        <v>45725</v>
      </c>
      <c r="F2414">
        <v>3010111</v>
      </c>
      <c r="G2414">
        <v>1672</v>
      </c>
    </row>
    <row r="2415" spans="1:7" x14ac:dyDescent="0.3">
      <c r="A2415" s="80">
        <v>45743</v>
      </c>
      <c r="B2415">
        <v>3010200</v>
      </c>
      <c r="C2415">
        <v>5000</v>
      </c>
      <c r="E2415" s="80">
        <v>45725</v>
      </c>
      <c r="F2415">
        <v>3010111</v>
      </c>
      <c r="G2415">
        <v>0</v>
      </c>
    </row>
    <row r="2416" spans="1:7" x14ac:dyDescent="0.3">
      <c r="A2416" s="80">
        <v>45743</v>
      </c>
      <c r="B2416">
        <v>3010200</v>
      </c>
      <c r="C2416">
        <v>500</v>
      </c>
      <c r="E2416" s="80">
        <v>45724</v>
      </c>
      <c r="F2416">
        <v>3010111</v>
      </c>
      <c r="G2416">
        <v>0</v>
      </c>
    </row>
    <row r="2417" spans="1:7" x14ac:dyDescent="0.3">
      <c r="A2417" s="80">
        <v>45743</v>
      </c>
      <c r="B2417">
        <v>3010200</v>
      </c>
      <c r="C2417">
        <v>8769</v>
      </c>
      <c r="E2417" s="80">
        <v>45724</v>
      </c>
      <c r="F2417">
        <v>3010111</v>
      </c>
      <c r="G2417">
        <v>3773</v>
      </c>
    </row>
    <row r="2418" spans="1:7" x14ac:dyDescent="0.3">
      <c r="A2418" s="80">
        <v>45743</v>
      </c>
      <c r="B2418">
        <v>3010200</v>
      </c>
      <c r="C2418">
        <v>5000</v>
      </c>
      <c r="E2418" s="80">
        <v>45723</v>
      </c>
      <c r="F2418">
        <v>3010111</v>
      </c>
      <c r="G2418">
        <v>0</v>
      </c>
    </row>
    <row r="2419" spans="1:7" x14ac:dyDescent="0.3">
      <c r="A2419" s="80">
        <v>45743</v>
      </c>
      <c r="B2419">
        <v>3010200</v>
      </c>
      <c r="C2419">
        <v>5000</v>
      </c>
      <c r="E2419" s="80">
        <v>45723</v>
      </c>
      <c r="F2419">
        <v>3010111</v>
      </c>
      <c r="G2419">
        <v>3353</v>
      </c>
    </row>
    <row r="2420" spans="1:7" x14ac:dyDescent="0.3">
      <c r="A2420" s="80">
        <v>45743</v>
      </c>
      <c r="B2420">
        <v>3010200</v>
      </c>
      <c r="C2420">
        <v>5000</v>
      </c>
      <c r="E2420" s="80">
        <v>45723</v>
      </c>
      <c r="F2420">
        <v>3010111</v>
      </c>
      <c r="G2420">
        <v>0</v>
      </c>
    </row>
    <row r="2421" spans="1:7" x14ac:dyDescent="0.3">
      <c r="A2421" s="80">
        <v>45740</v>
      </c>
      <c r="B2421">
        <v>3010200</v>
      </c>
      <c r="C2421">
        <v>12630</v>
      </c>
      <c r="E2421" s="80">
        <v>45723</v>
      </c>
      <c r="F2421">
        <v>3010111</v>
      </c>
      <c r="G2421">
        <v>0</v>
      </c>
    </row>
    <row r="2422" spans="1:7" x14ac:dyDescent="0.3">
      <c r="A2422" s="80">
        <v>45740</v>
      </c>
      <c r="B2422">
        <v>3010200</v>
      </c>
      <c r="C2422">
        <v>5000</v>
      </c>
      <c r="E2422" s="80">
        <v>45722</v>
      </c>
      <c r="F2422">
        <v>3010111</v>
      </c>
      <c r="G2422">
        <v>5202</v>
      </c>
    </row>
    <row r="2423" spans="1:7" x14ac:dyDescent="0.3">
      <c r="A2423" s="80">
        <v>45739</v>
      </c>
      <c r="B2423">
        <v>3010200</v>
      </c>
      <c r="C2423">
        <v>5000</v>
      </c>
      <c r="E2423" s="80">
        <v>45722</v>
      </c>
      <c r="F2423">
        <v>3010111</v>
      </c>
      <c r="G2423">
        <v>0</v>
      </c>
    </row>
    <row r="2424" spans="1:7" x14ac:dyDescent="0.3">
      <c r="A2424" s="80">
        <v>45739</v>
      </c>
      <c r="B2424">
        <v>3010200</v>
      </c>
      <c r="C2424">
        <v>3000</v>
      </c>
      <c r="E2424" s="80">
        <v>45722</v>
      </c>
      <c r="F2424">
        <v>3010111</v>
      </c>
      <c r="G2424">
        <v>0</v>
      </c>
    </row>
    <row r="2425" spans="1:7" x14ac:dyDescent="0.3">
      <c r="A2425" s="80">
        <v>45739</v>
      </c>
      <c r="B2425">
        <v>3010200</v>
      </c>
      <c r="C2425">
        <v>5000</v>
      </c>
      <c r="E2425" s="80">
        <v>45722</v>
      </c>
      <c r="F2425">
        <v>3010111</v>
      </c>
      <c r="G2425">
        <v>0</v>
      </c>
    </row>
    <row r="2426" spans="1:7" x14ac:dyDescent="0.3">
      <c r="A2426" s="80">
        <v>45738</v>
      </c>
      <c r="B2426">
        <v>3010200</v>
      </c>
      <c r="C2426">
        <v>5000</v>
      </c>
      <c r="E2426" s="80">
        <v>45721</v>
      </c>
      <c r="F2426">
        <v>3010111</v>
      </c>
      <c r="G2426">
        <v>5790</v>
      </c>
    </row>
    <row r="2427" spans="1:7" x14ac:dyDescent="0.3">
      <c r="A2427" s="80">
        <v>45738</v>
      </c>
      <c r="B2427">
        <v>3010200</v>
      </c>
      <c r="C2427">
        <v>5000</v>
      </c>
      <c r="E2427" s="80">
        <v>45721</v>
      </c>
      <c r="F2427">
        <v>3010111</v>
      </c>
      <c r="G2427">
        <v>1672</v>
      </c>
    </row>
    <row r="2428" spans="1:7" x14ac:dyDescent="0.3">
      <c r="A2428" s="80">
        <v>45737</v>
      </c>
      <c r="B2428">
        <v>3010200</v>
      </c>
      <c r="C2428">
        <v>5000</v>
      </c>
      <c r="E2428" s="80">
        <v>45721</v>
      </c>
      <c r="F2428">
        <v>3010111</v>
      </c>
      <c r="G2428">
        <v>1672</v>
      </c>
    </row>
    <row r="2429" spans="1:7" x14ac:dyDescent="0.3">
      <c r="A2429" s="80">
        <v>45737</v>
      </c>
      <c r="B2429">
        <v>3010200</v>
      </c>
      <c r="C2429">
        <v>12630</v>
      </c>
      <c r="E2429" s="80">
        <v>45720</v>
      </c>
      <c r="F2429">
        <v>3010111</v>
      </c>
      <c r="G2429">
        <v>1672</v>
      </c>
    </row>
    <row r="2430" spans="1:7" x14ac:dyDescent="0.3">
      <c r="A2430" s="80">
        <v>45736</v>
      </c>
      <c r="B2430">
        <v>3010200</v>
      </c>
      <c r="C2430">
        <v>5000</v>
      </c>
      <c r="E2430" s="80">
        <v>45720</v>
      </c>
      <c r="F2430">
        <v>3010111</v>
      </c>
      <c r="G2430">
        <v>1672</v>
      </c>
    </row>
    <row r="2431" spans="1:7" x14ac:dyDescent="0.3">
      <c r="A2431" s="80">
        <v>45736</v>
      </c>
      <c r="B2431">
        <v>3010200</v>
      </c>
      <c r="C2431">
        <v>5000</v>
      </c>
      <c r="E2431" s="80">
        <v>45720</v>
      </c>
      <c r="F2431">
        <v>3010111</v>
      </c>
      <c r="G2431">
        <v>1672</v>
      </c>
    </row>
    <row r="2432" spans="1:7" x14ac:dyDescent="0.3">
      <c r="A2432" s="80">
        <v>45736</v>
      </c>
      <c r="B2432">
        <v>3010200</v>
      </c>
      <c r="C2432">
        <v>5000</v>
      </c>
      <c r="E2432" s="80">
        <v>45720</v>
      </c>
      <c r="F2432">
        <v>3010111</v>
      </c>
      <c r="G2432">
        <v>2303</v>
      </c>
    </row>
    <row r="2433" spans="1:7" x14ac:dyDescent="0.3">
      <c r="A2433" s="80">
        <v>45736</v>
      </c>
      <c r="B2433">
        <v>3010200</v>
      </c>
      <c r="C2433">
        <v>5000</v>
      </c>
      <c r="E2433" s="80">
        <v>45719</v>
      </c>
      <c r="F2433">
        <v>3010111</v>
      </c>
      <c r="G2433">
        <v>2303</v>
      </c>
    </row>
    <row r="2434" spans="1:7" x14ac:dyDescent="0.3">
      <c r="A2434" s="80">
        <v>45736</v>
      </c>
      <c r="B2434">
        <v>3010200</v>
      </c>
      <c r="C2434">
        <v>5000</v>
      </c>
      <c r="E2434" s="80">
        <v>45719</v>
      </c>
      <c r="F2434">
        <v>3010111</v>
      </c>
      <c r="G2434">
        <v>0</v>
      </c>
    </row>
    <row r="2435" spans="1:7" x14ac:dyDescent="0.3">
      <c r="A2435" s="80">
        <v>45735</v>
      </c>
      <c r="B2435">
        <v>3010200</v>
      </c>
      <c r="C2435">
        <v>5000</v>
      </c>
      <c r="E2435" s="80">
        <v>45719</v>
      </c>
      <c r="F2435">
        <v>3010111</v>
      </c>
      <c r="G2435">
        <v>3983</v>
      </c>
    </row>
    <row r="2436" spans="1:7" x14ac:dyDescent="0.3">
      <c r="A2436" s="80">
        <v>45735</v>
      </c>
      <c r="B2436">
        <v>3010200</v>
      </c>
      <c r="C2436">
        <v>5000</v>
      </c>
      <c r="E2436" s="80">
        <v>45719</v>
      </c>
      <c r="F2436">
        <v>3010111</v>
      </c>
      <c r="G2436">
        <v>3353</v>
      </c>
    </row>
    <row r="2437" spans="1:7" x14ac:dyDescent="0.3">
      <c r="A2437" s="80">
        <v>45735</v>
      </c>
      <c r="B2437">
        <v>3010200</v>
      </c>
      <c r="C2437">
        <v>5000</v>
      </c>
      <c r="E2437" s="80">
        <v>45718</v>
      </c>
      <c r="F2437">
        <v>3010111</v>
      </c>
      <c r="G2437">
        <v>3647</v>
      </c>
    </row>
    <row r="2438" spans="1:7" x14ac:dyDescent="0.3">
      <c r="A2438" s="80">
        <v>45734</v>
      </c>
      <c r="B2438">
        <v>3010200</v>
      </c>
      <c r="C2438">
        <v>8769</v>
      </c>
      <c r="E2438" s="80">
        <v>45718</v>
      </c>
      <c r="F2438">
        <v>3010111</v>
      </c>
      <c r="G2438">
        <v>2303</v>
      </c>
    </row>
    <row r="2439" spans="1:7" x14ac:dyDescent="0.3">
      <c r="A2439" s="80">
        <v>45734</v>
      </c>
      <c r="B2439">
        <v>3010200</v>
      </c>
      <c r="C2439">
        <v>5000</v>
      </c>
      <c r="E2439" s="80">
        <v>45718</v>
      </c>
      <c r="F2439">
        <v>3010111</v>
      </c>
      <c r="G2439">
        <v>2303</v>
      </c>
    </row>
    <row r="2440" spans="1:7" x14ac:dyDescent="0.3">
      <c r="A2440" s="80">
        <v>45734</v>
      </c>
      <c r="B2440">
        <v>3010200</v>
      </c>
      <c r="C2440">
        <v>5000</v>
      </c>
      <c r="E2440" s="80">
        <v>45718</v>
      </c>
      <c r="F2440">
        <v>3010111</v>
      </c>
      <c r="G2440">
        <v>2303</v>
      </c>
    </row>
    <row r="2441" spans="1:7" x14ac:dyDescent="0.3">
      <c r="A2441" s="80">
        <v>45734</v>
      </c>
      <c r="B2441">
        <v>3010200</v>
      </c>
      <c r="C2441">
        <v>5000</v>
      </c>
      <c r="E2441" s="80">
        <v>45718</v>
      </c>
      <c r="F2441">
        <v>3010111</v>
      </c>
      <c r="G2441">
        <v>0</v>
      </c>
    </row>
    <row r="2442" spans="1:7" x14ac:dyDescent="0.3">
      <c r="A2442" s="80">
        <v>45734</v>
      </c>
      <c r="B2442">
        <v>3010200</v>
      </c>
      <c r="C2442">
        <v>5000</v>
      </c>
      <c r="E2442" s="80">
        <v>45718</v>
      </c>
      <c r="F2442">
        <v>3010111</v>
      </c>
      <c r="G2442">
        <v>0</v>
      </c>
    </row>
    <row r="2443" spans="1:7" x14ac:dyDescent="0.3">
      <c r="A2443" s="80">
        <v>45733</v>
      </c>
      <c r="B2443">
        <v>3010200</v>
      </c>
      <c r="C2443">
        <v>5000</v>
      </c>
      <c r="E2443" s="80">
        <v>45718</v>
      </c>
      <c r="F2443">
        <v>3010111</v>
      </c>
      <c r="G2443">
        <v>2303</v>
      </c>
    </row>
    <row r="2444" spans="1:7" x14ac:dyDescent="0.3">
      <c r="A2444" s="80">
        <v>45733</v>
      </c>
      <c r="B2444">
        <v>3010200</v>
      </c>
      <c r="C2444">
        <v>5000</v>
      </c>
      <c r="E2444" s="80">
        <v>45718</v>
      </c>
      <c r="F2444">
        <v>3010111</v>
      </c>
      <c r="G2444">
        <v>2303</v>
      </c>
    </row>
    <row r="2445" spans="1:7" x14ac:dyDescent="0.3">
      <c r="A2445" s="80">
        <v>45733</v>
      </c>
      <c r="B2445">
        <v>3010200</v>
      </c>
      <c r="C2445">
        <v>5000</v>
      </c>
      <c r="E2445" s="80">
        <v>45718</v>
      </c>
      <c r="F2445">
        <v>3010111</v>
      </c>
      <c r="G2445">
        <v>0</v>
      </c>
    </row>
    <row r="2446" spans="1:7" x14ac:dyDescent="0.3">
      <c r="A2446" s="80">
        <v>45733</v>
      </c>
      <c r="B2446">
        <v>3010200</v>
      </c>
      <c r="C2446">
        <v>5000</v>
      </c>
      <c r="E2446" s="80">
        <v>45718</v>
      </c>
      <c r="F2446">
        <v>3010111</v>
      </c>
      <c r="G2446">
        <v>0</v>
      </c>
    </row>
    <row r="2447" spans="1:7" x14ac:dyDescent="0.3">
      <c r="A2447" s="80">
        <v>45733</v>
      </c>
      <c r="B2447">
        <v>3010200</v>
      </c>
      <c r="C2447">
        <v>5000</v>
      </c>
      <c r="E2447" s="80">
        <v>45717</v>
      </c>
      <c r="F2447">
        <v>3010111</v>
      </c>
      <c r="G2447">
        <v>0</v>
      </c>
    </row>
    <row r="2448" spans="1:7" x14ac:dyDescent="0.3">
      <c r="A2448" s="80">
        <v>45733</v>
      </c>
      <c r="B2448">
        <v>3010200</v>
      </c>
      <c r="C2448">
        <v>5000</v>
      </c>
      <c r="E2448" s="80">
        <v>45717</v>
      </c>
      <c r="F2448">
        <v>3010111</v>
      </c>
      <c r="G2448">
        <v>4613</v>
      </c>
    </row>
    <row r="2449" spans="1:7" x14ac:dyDescent="0.3">
      <c r="A2449" s="80">
        <v>45733</v>
      </c>
      <c r="B2449">
        <v>3010200</v>
      </c>
      <c r="C2449">
        <v>5000</v>
      </c>
      <c r="E2449" s="80">
        <v>45717</v>
      </c>
      <c r="F2449">
        <v>3010111</v>
      </c>
      <c r="G2449">
        <v>0</v>
      </c>
    </row>
    <row r="2450" spans="1:7" x14ac:dyDescent="0.3">
      <c r="A2450" s="80">
        <v>45733</v>
      </c>
      <c r="B2450">
        <v>3010200</v>
      </c>
      <c r="C2450">
        <v>5000</v>
      </c>
      <c r="E2450" s="80">
        <v>45717</v>
      </c>
      <c r="F2450">
        <v>3010111</v>
      </c>
      <c r="G2450">
        <v>2303</v>
      </c>
    </row>
    <row r="2451" spans="1:7" x14ac:dyDescent="0.3">
      <c r="A2451" s="80">
        <v>45732</v>
      </c>
      <c r="B2451">
        <v>3010200</v>
      </c>
      <c r="C2451">
        <v>5000</v>
      </c>
      <c r="E2451" s="80">
        <v>45717</v>
      </c>
      <c r="F2451">
        <v>3010111</v>
      </c>
      <c r="G2451">
        <v>0</v>
      </c>
    </row>
    <row r="2452" spans="1:7" x14ac:dyDescent="0.3">
      <c r="A2452" s="80">
        <v>45732</v>
      </c>
      <c r="B2452">
        <v>3010200</v>
      </c>
      <c r="C2452">
        <v>5000</v>
      </c>
      <c r="E2452" s="80">
        <v>45717</v>
      </c>
      <c r="F2452">
        <v>3010111</v>
      </c>
      <c r="G2452">
        <v>0</v>
      </c>
    </row>
    <row r="2453" spans="1:7" x14ac:dyDescent="0.3">
      <c r="A2453" s="80">
        <v>45731</v>
      </c>
      <c r="B2453">
        <v>3010200</v>
      </c>
      <c r="C2453">
        <v>5000</v>
      </c>
      <c r="E2453" s="80">
        <v>45717</v>
      </c>
      <c r="F2453">
        <v>3010111</v>
      </c>
      <c r="G2453">
        <v>0</v>
      </c>
    </row>
    <row r="2454" spans="1:7" x14ac:dyDescent="0.3">
      <c r="A2454" s="80">
        <v>45731</v>
      </c>
      <c r="B2454">
        <v>3010200</v>
      </c>
      <c r="C2454">
        <v>2630</v>
      </c>
      <c r="E2454" s="80">
        <v>45717</v>
      </c>
      <c r="F2454">
        <v>3010111</v>
      </c>
      <c r="G2454">
        <v>2303</v>
      </c>
    </row>
    <row r="2455" spans="1:7" x14ac:dyDescent="0.3">
      <c r="A2455" s="80">
        <v>45731</v>
      </c>
      <c r="B2455">
        <v>3010200</v>
      </c>
      <c r="C2455">
        <v>5000</v>
      </c>
      <c r="E2455" s="80">
        <v>45716</v>
      </c>
      <c r="F2455">
        <v>3010111</v>
      </c>
      <c r="G2455">
        <v>3773</v>
      </c>
    </row>
    <row r="2456" spans="1:7" x14ac:dyDescent="0.3">
      <c r="A2456" s="80">
        <v>45730</v>
      </c>
      <c r="B2456">
        <v>3010200</v>
      </c>
      <c r="C2456">
        <v>5000</v>
      </c>
      <c r="E2456" s="80">
        <v>45716</v>
      </c>
      <c r="F2456">
        <v>3010111</v>
      </c>
      <c r="G2456">
        <v>2303</v>
      </c>
    </row>
    <row r="2457" spans="1:7" x14ac:dyDescent="0.3">
      <c r="A2457" s="80">
        <v>45730</v>
      </c>
      <c r="B2457">
        <v>3010200</v>
      </c>
      <c r="C2457">
        <v>5000</v>
      </c>
      <c r="E2457" s="80">
        <v>45716</v>
      </c>
      <c r="F2457">
        <v>3010111</v>
      </c>
      <c r="G2457">
        <v>2303</v>
      </c>
    </row>
    <row r="2458" spans="1:7" x14ac:dyDescent="0.3">
      <c r="A2458" s="80">
        <v>45730</v>
      </c>
      <c r="B2458">
        <v>3010200</v>
      </c>
      <c r="C2458">
        <v>5000</v>
      </c>
      <c r="E2458" s="80">
        <v>45716</v>
      </c>
      <c r="F2458">
        <v>3010111</v>
      </c>
      <c r="G2458">
        <v>2303</v>
      </c>
    </row>
    <row r="2459" spans="1:7" x14ac:dyDescent="0.3">
      <c r="A2459" s="80">
        <v>45729</v>
      </c>
      <c r="B2459">
        <v>3010200</v>
      </c>
      <c r="C2459">
        <v>5000</v>
      </c>
      <c r="E2459" s="80">
        <v>45716</v>
      </c>
      <c r="F2459">
        <v>3010111</v>
      </c>
      <c r="G2459">
        <v>1672</v>
      </c>
    </row>
    <row r="2460" spans="1:7" x14ac:dyDescent="0.3">
      <c r="A2460" s="80">
        <v>45728</v>
      </c>
      <c r="B2460">
        <v>3010200</v>
      </c>
      <c r="C2460">
        <v>5000</v>
      </c>
      <c r="E2460" s="80">
        <v>45716</v>
      </c>
      <c r="F2460">
        <v>3010111</v>
      </c>
      <c r="G2460">
        <v>0</v>
      </c>
    </row>
    <row r="2461" spans="1:7" x14ac:dyDescent="0.3">
      <c r="A2461" s="80">
        <v>45728</v>
      </c>
      <c r="B2461">
        <v>3010200</v>
      </c>
      <c r="C2461">
        <v>5000</v>
      </c>
      <c r="E2461" s="80">
        <v>45716</v>
      </c>
      <c r="F2461">
        <v>3010111</v>
      </c>
      <c r="G2461">
        <v>0</v>
      </c>
    </row>
    <row r="2462" spans="1:7" x14ac:dyDescent="0.3">
      <c r="A2462" s="80">
        <v>45727</v>
      </c>
      <c r="B2462">
        <v>3010200</v>
      </c>
      <c r="C2462">
        <v>5000</v>
      </c>
      <c r="E2462" s="80">
        <v>45716</v>
      </c>
      <c r="F2462">
        <v>3010111</v>
      </c>
      <c r="G2462">
        <v>0</v>
      </c>
    </row>
    <row r="2463" spans="1:7" x14ac:dyDescent="0.3">
      <c r="A2463" s="80">
        <v>45727</v>
      </c>
      <c r="B2463">
        <v>3010200</v>
      </c>
      <c r="C2463">
        <v>5000</v>
      </c>
      <c r="E2463" s="80">
        <v>45715</v>
      </c>
      <c r="F2463">
        <v>3010111</v>
      </c>
      <c r="G2463">
        <v>1672</v>
      </c>
    </row>
    <row r="2464" spans="1:7" x14ac:dyDescent="0.3">
      <c r="A2464" s="80">
        <v>45727</v>
      </c>
      <c r="B2464">
        <v>3010200</v>
      </c>
      <c r="C2464">
        <v>17538</v>
      </c>
      <c r="E2464" s="80">
        <v>45715</v>
      </c>
      <c r="F2464">
        <v>3010111</v>
      </c>
      <c r="G2464">
        <v>3799</v>
      </c>
    </row>
    <row r="2465" spans="1:7" x14ac:dyDescent="0.3">
      <c r="A2465" s="80">
        <v>45727</v>
      </c>
      <c r="B2465">
        <v>3010200</v>
      </c>
      <c r="C2465">
        <v>5000</v>
      </c>
      <c r="E2465" s="80">
        <v>45715</v>
      </c>
      <c r="F2465">
        <v>3010111</v>
      </c>
      <c r="G2465">
        <v>1672</v>
      </c>
    </row>
    <row r="2466" spans="1:7" x14ac:dyDescent="0.3">
      <c r="A2466" s="80">
        <v>45727</v>
      </c>
      <c r="B2466">
        <v>3010200</v>
      </c>
      <c r="C2466">
        <v>10000</v>
      </c>
      <c r="E2466" s="80">
        <v>45715</v>
      </c>
      <c r="F2466">
        <v>3010111</v>
      </c>
      <c r="G2466">
        <v>0</v>
      </c>
    </row>
    <row r="2467" spans="1:7" x14ac:dyDescent="0.3">
      <c r="A2467" s="80">
        <v>45726</v>
      </c>
      <c r="B2467">
        <v>3010200</v>
      </c>
      <c r="C2467">
        <v>8769</v>
      </c>
      <c r="E2467" s="80">
        <v>45714</v>
      </c>
      <c r="F2467">
        <v>3010111</v>
      </c>
      <c r="G2467">
        <v>1672</v>
      </c>
    </row>
    <row r="2468" spans="1:7" x14ac:dyDescent="0.3">
      <c r="A2468" s="80">
        <v>45726</v>
      </c>
      <c r="B2468">
        <v>3010200</v>
      </c>
      <c r="C2468">
        <v>5000</v>
      </c>
      <c r="E2468" s="80">
        <v>45714</v>
      </c>
      <c r="F2468">
        <v>3010111</v>
      </c>
      <c r="G2468">
        <v>0</v>
      </c>
    </row>
    <row r="2469" spans="1:7" x14ac:dyDescent="0.3">
      <c r="A2469" s="80">
        <v>45726</v>
      </c>
      <c r="B2469">
        <v>3010200</v>
      </c>
      <c r="C2469">
        <v>5000</v>
      </c>
      <c r="E2469" s="80">
        <v>45714</v>
      </c>
      <c r="F2469">
        <v>3010111</v>
      </c>
      <c r="G2469">
        <v>1672</v>
      </c>
    </row>
    <row r="2470" spans="1:7" x14ac:dyDescent="0.3">
      <c r="A2470" s="80">
        <v>45726</v>
      </c>
      <c r="B2470">
        <v>3010200</v>
      </c>
      <c r="C2470">
        <v>5000</v>
      </c>
      <c r="E2470" s="80">
        <v>45714</v>
      </c>
      <c r="F2470">
        <v>3010111</v>
      </c>
      <c r="G2470">
        <v>1672</v>
      </c>
    </row>
    <row r="2471" spans="1:7" x14ac:dyDescent="0.3">
      <c r="A2471" s="80">
        <v>45726</v>
      </c>
      <c r="B2471">
        <v>3010200</v>
      </c>
      <c r="C2471">
        <v>5000</v>
      </c>
      <c r="E2471" s="80">
        <v>45713</v>
      </c>
      <c r="F2471">
        <v>3010111</v>
      </c>
      <c r="G2471">
        <v>1672</v>
      </c>
    </row>
    <row r="2472" spans="1:7" x14ac:dyDescent="0.3">
      <c r="A2472" s="80">
        <v>45725</v>
      </c>
      <c r="B2472">
        <v>3010200</v>
      </c>
      <c r="C2472">
        <v>5000</v>
      </c>
      <c r="E2472" s="80">
        <v>45713</v>
      </c>
      <c r="F2472">
        <v>3010111</v>
      </c>
      <c r="G2472">
        <v>1672</v>
      </c>
    </row>
    <row r="2473" spans="1:7" x14ac:dyDescent="0.3">
      <c r="A2473" s="80">
        <v>45725</v>
      </c>
      <c r="B2473">
        <v>3010200</v>
      </c>
      <c r="C2473">
        <v>5000</v>
      </c>
      <c r="E2473" s="80">
        <v>45713</v>
      </c>
      <c r="F2473">
        <v>3010111</v>
      </c>
      <c r="G2473">
        <v>3689</v>
      </c>
    </row>
    <row r="2474" spans="1:7" x14ac:dyDescent="0.3">
      <c r="A2474" s="80">
        <v>45725</v>
      </c>
      <c r="B2474">
        <v>3010200</v>
      </c>
      <c r="C2474">
        <v>5000</v>
      </c>
      <c r="E2474" s="80">
        <v>45713</v>
      </c>
      <c r="F2474">
        <v>3010111</v>
      </c>
      <c r="G2474">
        <v>1672</v>
      </c>
    </row>
    <row r="2475" spans="1:7" x14ac:dyDescent="0.3">
      <c r="A2475" s="80">
        <v>45725</v>
      </c>
      <c r="B2475">
        <v>3010200</v>
      </c>
      <c r="C2475">
        <v>2630</v>
      </c>
      <c r="E2475" s="80">
        <v>45712</v>
      </c>
      <c r="F2475">
        <v>3010111</v>
      </c>
      <c r="G2475">
        <v>3185</v>
      </c>
    </row>
    <row r="2476" spans="1:7" x14ac:dyDescent="0.3">
      <c r="A2476" s="80">
        <v>45725</v>
      </c>
      <c r="B2476">
        <v>3010200</v>
      </c>
      <c r="C2476">
        <v>5000</v>
      </c>
      <c r="E2476" s="80">
        <v>45712</v>
      </c>
      <c r="F2476">
        <v>3010111</v>
      </c>
      <c r="G2476">
        <v>3605</v>
      </c>
    </row>
    <row r="2477" spans="1:7" x14ac:dyDescent="0.3">
      <c r="A2477" s="80">
        <v>45725</v>
      </c>
      <c r="B2477">
        <v>3010200</v>
      </c>
      <c r="C2477">
        <v>5000</v>
      </c>
      <c r="E2477" s="80">
        <v>45712</v>
      </c>
      <c r="F2477">
        <v>3010111</v>
      </c>
      <c r="G2477">
        <v>1672</v>
      </c>
    </row>
    <row r="2478" spans="1:7" x14ac:dyDescent="0.3">
      <c r="A2478" s="80">
        <v>45725</v>
      </c>
      <c r="B2478">
        <v>3010200</v>
      </c>
      <c r="C2478">
        <v>5000</v>
      </c>
      <c r="E2478" s="80">
        <v>45712</v>
      </c>
      <c r="F2478">
        <v>3010111</v>
      </c>
      <c r="G2478">
        <v>2933</v>
      </c>
    </row>
    <row r="2479" spans="1:7" x14ac:dyDescent="0.3">
      <c r="A2479" s="80">
        <v>45725</v>
      </c>
      <c r="B2479">
        <v>3010200</v>
      </c>
      <c r="C2479">
        <v>5000</v>
      </c>
      <c r="E2479" s="80">
        <v>45712</v>
      </c>
      <c r="F2479">
        <v>3010111</v>
      </c>
      <c r="G2479">
        <v>4025</v>
      </c>
    </row>
    <row r="2480" spans="1:7" x14ac:dyDescent="0.3">
      <c r="A2480" s="80">
        <v>45725</v>
      </c>
      <c r="B2480">
        <v>3010200</v>
      </c>
      <c r="C2480">
        <v>5000</v>
      </c>
      <c r="E2480" s="80">
        <v>45711</v>
      </c>
      <c r="F2480">
        <v>3010111</v>
      </c>
      <c r="G2480">
        <v>1672</v>
      </c>
    </row>
    <row r="2481" spans="1:7" x14ac:dyDescent="0.3">
      <c r="A2481" s="80">
        <v>45725</v>
      </c>
      <c r="B2481">
        <v>3010200</v>
      </c>
      <c r="C2481">
        <v>5000</v>
      </c>
      <c r="E2481" s="80">
        <v>45711</v>
      </c>
      <c r="F2481">
        <v>3010111</v>
      </c>
      <c r="G2481">
        <v>3689</v>
      </c>
    </row>
    <row r="2482" spans="1:7" x14ac:dyDescent="0.3">
      <c r="A2482" s="80">
        <v>45724</v>
      </c>
      <c r="B2482">
        <v>3010200</v>
      </c>
      <c r="C2482">
        <v>5000</v>
      </c>
      <c r="E2482" s="80">
        <v>45710</v>
      </c>
      <c r="F2482">
        <v>3010111</v>
      </c>
      <c r="G2482">
        <v>5202</v>
      </c>
    </row>
    <row r="2483" spans="1:7" x14ac:dyDescent="0.3">
      <c r="A2483" s="80">
        <v>45724</v>
      </c>
      <c r="B2483">
        <v>3010200</v>
      </c>
      <c r="C2483">
        <v>5000</v>
      </c>
      <c r="E2483" s="80">
        <v>45710</v>
      </c>
      <c r="F2483">
        <v>3010111</v>
      </c>
      <c r="G2483">
        <v>1672</v>
      </c>
    </row>
    <row r="2484" spans="1:7" x14ac:dyDescent="0.3">
      <c r="A2484" s="80">
        <v>45723</v>
      </c>
      <c r="B2484">
        <v>3010200</v>
      </c>
      <c r="C2484">
        <v>5000</v>
      </c>
      <c r="E2484" s="80">
        <v>45710</v>
      </c>
      <c r="F2484">
        <v>3010111</v>
      </c>
      <c r="G2484">
        <v>1672</v>
      </c>
    </row>
    <row r="2485" spans="1:7" x14ac:dyDescent="0.3">
      <c r="A2485" s="80">
        <v>45723</v>
      </c>
      <c r="B2485">
        <v>3010200</v>
      </c>
      <c r="C2485">
        <v>5000</v>
      </c>
      <c r="E2485" s="80">
        <v>45710</v>
      </c>
      <c r="F2485">
        <v>3010111</v>
      </c>
      <c r="G2485">
        <v>4025</v>
      </c>
    </row>
    <row r="2486" spans="1:7" x14ac:dyDescent="0.3">
      <c r="A2486" s="80">
        <v>45723</v>
      </c>
      <c r="B2486">
        <v>3010200</v>
      </c>
      <c r="C2486">
        <v>5000</v>
      </c>
      <c r="E2486" s="80">
        <v>45710</v>
      </c>
      <c r="F2486">
        <v>3010111</v>
      </c>
      <c r="G2486">
        <v>3353</v>
      </c>
    </row>
    <row r="2487" spans="1:7" x14ac:dyDescent="0.3">
      <c r="A2487" s="80">
        <v>45723</v>
      </c>
      <c r="B2487">
        <v>3010200</v>
      </c>
      <c r="C2487">
        <v>5000</v>
      </c>
      <c r="E2487" s="80">
        <v>45710</v>
      </c>
      <c r="F2487">
        <v>3010111</v>
      </c>
      <c r="G2487">
        <v>3689</v>
      </c>
    </row>
    <row r="2488" spans="1:7" x14ac:dyDescent="0.3">
      <c r="A2488" s="80">
        <v>45722</v>
      </c>
      <c r="B2488">
        <v>3010200</v>
      </c>
      <c r="C2488">
        <v>5000</v>
      </c>
      <c r="E2488" s="80">
        <v>45710</v>
      </c>
      <c r="F2488">
        <v>3010111</v>
      </c>
      <c r="G2488">
        <v>4109</v>
      </c>
    </row>
    <row r="2489" spans="1:7" x14ac:dyDescent="0.3">
      <c r="A2489" s="80">
        <v>45722</v>
      </c>
      <c r="B2489">
        <v>3010200</v>
      </c>
      <c r="C2489">
        <v>5000</v>
      </c>
      <c r="E2489" s="80">
        <v>45710</v>
      </c>
      <c r="F2489">
        <v>3010111</v>
      </c>
      <c r="G2489">
        <v>0</v>
      </c>
    </row>
    <row r="2490" spans="1:7" x14ac:dyDescent="0.3">
      <c r="A2490" s="80">
        <v>45722</v>
      </c>
      <c r="B2490">
        <v>3010200</v>
      </c>
      <c r="C2490">
        <v>5000</v>
      </c>
      <c r="E2490" s="80">
        <v>45710</v>
      </c>
      <c r="F2490">
        <v>3010111</v>
      </c>
      <c r="G2490">
        <v>1672</v>
      </c>
    </row>
    <row r="2491" spans="1:7" x14ac:dyDescent="0.3">
      <c r="A2491" s="80">
        <v>45722</v>
      </c>
      <c r="B2491">
        <v>3010200</v>
      </c>
      <c r="C2491">
        <v>5000</v>
      </c>
      <c r="E2491" s="80">
        <v>45710</v>
      </c>
      <c r="F2491">
        <v>3010111</v>
      </c>
      <c r="G2491">
        <v>1672</v>
      </c>
    </row>
    <row r="2492" spans="1:7" x14ac:dyDescent="0.3">
      <c r="A2492" s="80">
        <v>45721</v>
      </c>
      <c r="B2492">
        <v>3010200</v>
      </c>
      <c r="C2492">
        <v>5000</v>
      </c>
      <c r="E2492" s="80">
        <v>45709</v>
      </c>
      <c r="F2492">
        <v>3010111</v>
      </c>
      <c r="G2492">
        <v>3269</v>
      </c>
    </row>
    <row r="2493" spans="1:7" x14ac:dyDescent="0.3">
      <c r="A2493" s="80">
        <v>45721</v>
      </c>
      <c r="B2493">
        <v>3010200</v>
      </c>
      <c r="C2493">
        <v>5000</v>
      </c>
      <c r="E2493" s="80">
        <v>45709</v>
      </c>
      <c r="F2493">
        <v>3010111</v>
      </c>
      <c r="G2493">
        <v>0</v>
      </c>
    </row>
    <row r="2494" spans="1:7" x14ac:dyDescent="0.3">
      <c r="A2494" s="80">
        <v>45721</v>
      </c>
      <c r="B2494">
        <v>3010200</v>
      </c>
      <c r="C2494">
        <v>5000</v>
      </c>
      <c r="E2494" s="80">
        <v>45709</v>
      </c>
      <c r="F2494">
        <v>3010111</v>
      </c>
      <c r="G2494">
        <v>0</v>
      </c>
    </row>
    <row r="2495" spans="1:7" x14ac:dyDescent="0.3">
      <c r="A2495" s="80">
        <v>45720</v>
      </c>
      <c r="B2495">
        <v>3010200</v>
      </c>
      <c r="C2495">
        <v>5000</v>
      </c>
      <c r="E2495" s="80">
        <v>45709</v>
      </c>
      <c r="F2495">
        <v>3010111</v>
      </c>
      <c r="G2495">
        <v>1672</v>
      </c>
    </row>
    <row r="2496" spans="1:7" x14ac:dyDescent="0.3">
      <c r="A2496" s="80">
        <v>45720</v>
      </c>
      <c r="B2496">
        <v>3010200</v>
      </c>
      <c r="C2496">
        <v>5000</v>
      </c>
      <c r="E2496" s="80">
        <v>45709</v>
      </c>
      <c r="F2496">
        <v>3010111</v>
      </c>
      <c r="G2496">
        <v>1672</v>
      </c>
    </row>
    <row r="2497" spans="1:7" x14ac:dyDescent="0.3">
      <c r="A2497" s="80">
        <v>45720</v>
      </c>
      <c r="B2497">
        <v>3010200</v>
      </c>
      <c r="C2497">
        <v>8769</v>
      </c>
      <c r="E2497" s="80">
        <v>45709</v>
      </c>
      <c r="F2497">
        <v>3010111</v>
      </c>
      <c r="G2497">
        <v>1672</v>
      </c>
    </row>
    <row r="2498" spans="1:7" x14ac:dyDescent="0.3">
      <c r="A2498" s="80">
        <v>45720</v>
      </c>
      <c r="B2498">
        <v>3010200</v>
      </c>
      <c r="C2498">
        <v>5000</v>
      </c>
      <c r="E2498" s="80">
        <v>45709</v>
      </c>
      <c r="F2498">
        <v>3010111</v>
      </c>
      <c r="G2498">
        <v>5034</v>
      </c>
    </row>
    <row r="2499" spans="1:7" x14ac:dyDescent="0.3">
      <c r="A2499" s="80">
        <v>45719</v>
      </c>
      <c r="B2499">
        <v>3010200</v>
      </c>
      <c r="C2499">
        <v>5000</v>
      </c>
      <c r="E2499" s="80">
        <v>45709</v>
      </c>
      <c r="F2499">
        <v>3010111</v>
      </c>
      <c r="G2499">
        <v>0</v>
      </c>
    </row>
    <row r="2500" spans="1:7" x14ac:dyDescent="0.3">
      <c r="A2500" s="80">
        <v>45719</v>
      </c>
      <c r="B2500">
        <v>3010200</v>
      </c>
      <c r="C2500">
        <v>10000</v>
      </c>
      <c r="E2500" s="80">
        <v>45709</v>
      </c>
      <c r="F2500">
        <v>3010111</v>
      </c>
      <c r="G2500">
        <v>0</v>
      </c>
    </row>
    <row r="2501" spans="1:7" x14ac:dyDescent="0.3">
      <c r="A2501" s="80">
        <v>45719</v>
      </c>
      <c r="B2501">
        <v>3010200</v>
      </c>
      <c r="C2501">
        <v>5000</v>
      </c>
      <c r="E2501" s="80">
        <v>45709</v>
      </c>
      <c r="F2501">
        <v>3010111</v>
      </c>
      <c r="G2501">
        <v>1672</v>
      </c>
    </row>
    <row r="2502" spans="1:7" x14ac:dyDescent="0.3">
      <c r="A2502" s="80">
        <v>45719</v>
      </c>
      <c r="B2502">
        <v>3010200</v>
      </c>
      <c r="C2502">
        <v>5000</v>
      </c>
      <c r="E2502" s="80">
        <v>45709</v>
      </c>
      <c r="F2502">
        <v>3010111</v>
      </c>
      <c r="G2502">
        <v>3353</v>
      </c>
    </row>
    <row r="2503" spans="1:7" x14ac:dyDescent="0.3">
      <c r="A2503" s="80">
        <v>45718</v>
      </c>
      <c r="B2503">
        <v>3010200</v>
      </c>
      <c r="C2503">
        <v>5000</v>
      </c>
      <c r="E2503" s="80">
        <v>45709</v>
      </c>
      <c r="F2503">
        <v>3010111</v>
      </c>
      <c r="G2503">
        <v>1672</v>
      </c>
    </row>
    <row r="2504" spans="1:7" x14ac:dyDescent="0.3">
      <c r="A2504" s="80">
        <v>45718</v>
      </c>
      <c r="B2504">
        <v>3010200</v>
      </c>
      <c r="C2504">
        <v>5000</v>
      </c>
      <c r="E2504" s="80">
        <v>45708</v>
      </c>
      <c r="F2504">
        <v>3010111</v>
      </c>
      <c r="G2504">
        <v>3353</v>
      </c>
    </row>
    <row r="2505" spans="1:7" x14ac:dyDescent="0.3">
      <c r="A2505" s="80">
        <v>45718</v>
      </c>
      <c r="B2505">
        <v>3010200</v>
      </c>
      <c r="C2505">
        <v>5000</v>
      </c>
      <c r="E2505" s="80">
        <v>45708</v>
      </c>
      <c r="F2505">
        <v>3010111</v>
      </c>
      <c r="G2505">
        <v>1672</v>
      </c>
    </row>
    <row r="2506" spans="1:7" x14ac:dyDescent="0.3">
      <c r="A2506" s="80">
        <v>45718</v>
      </c>
      <c r="B2506">
        <v>3010200</v>
      </c>
      <c r="C2506">
        <v>8769</v>
      </c>
      <c r="E2506" s="80">
        <v>45708</v>
      </c>
      <c r="F2506">
        <v>3010111</v>
      </c>
      <c r="G2506">
        <v>4109</v>
      </c>
    </row>
    <row r="2507" spans="1:7" x14ac:dyDescent="0.3">
      <c r="A2507" s="80">
        <v>45718</v>
      </c>
      <c r="B2507">
        <v>3010200</v>
      </c>
      <c r="C2507">
        <v>5000</v>
      </c>
      <c r="E2507" s="80">
        <v>45708</v>
      </c>
      <c r="F2507">
        <v>3010111</v>
      </c>
      <c r="G2507">
        <v>1672</v>
      </c>
    </row>
    <row r="2508" spans="1:7" x14ac:dyDescent="0.3">
      <c r="A2508" s="80">
        <v>45718</v>
      </c>
      <c r="B2508">
        <v>3010200</v>
      </c>
      <c r="C2508">
        <v>5000</v>
      </c>
      <c r="E2508" s="80">
        <v>45708</v>
      </c>
      <c r="F2508">
        <v>3010111</v>
      </c>
      <c r="G2508">
        <v>1672</v>
      </c>
    </row>
    <row r="2509" spans="1:7" x14ac:dyDescent="0.3">
      <c r="A2509" s="80">
        <v>45718</v>
      </c>
      <c r="B2509">
        <v>3010200</v>
      </c>
      <c r="C2509">
        <v>8769</v>
      </c>
      <c r="E2509" s="80">
        <v>45708</v>
      </c>
      <c r="F2509">
        <v>3010111</v>
      </c>
      <c r="G2509">
        <v>0</v>
      </c>
    </row>
    <row r="2510" spans="1:7" x14ac:dyDescent="0.3">
      <c r="A2510" s="80">
        <v>45718</v>
      </c>
      <c r="B2510">
        <v>3010200</v>
      </c>
      <c r="C2510">
        <v>5000</v>
      </c>
      <c r="E2510" s="80">
        <v>45708</v>
      </c>
      <c r="F2510">
        <v>3010111</v>
      </c>
      <c r="G2510">
        <v>0</v>
      </c>
    </row>
    <row r="2511" spans="1:7" x14ac:dyDescent="0.3">
      <c r="A2511" s="80">
        <v>45718</v>
      </c>
      <c r="B2511">
        <v>3010200</v>
      </c>
      <c r="C2511">
        <v>2630</v>
      </c>
      <c r="E2511" s="80">
        <v>45707</v>
      </c>
      <c r="F2511">
        <v>3010111</v>
      </c>
      <c r="G2511">
        <v>1672</v>
      </c>
    </row>
    <row r="2512" spans="1:7" x14ac:dyDescent="0.3">
      <c r="A2512" s="80">
        <v>45718</v>
      </c>
      <c r="B2512">
        <v>3010200</v>
      </c>
      <c r="C2512">
        <v>5000</v>
      </c>
      <c r="E2512" s="80">
        <v>45705</v>
      </c>
      <c r="F2512">
        <v>3010111</v>
      </c>
      <c r="G2512">
        <v>0</v>
      </c>
    </row>
    <row r="2513" spans="1:7" x14ac:dyDescent="0.3">
      <c r="A2513" s="80">
        <v>45717</v>
      </c>
      <c r="B2513">
        <v>3010200</v>
      </c>
      <c r="C2513">
        <v>5000</v>
      </c>
      <c r="E2513" s="80">
        <v>45705</v>
      </c>
      <c r="F2513">
        <v>3010111</v>
      </c>
      <c r="G2513">
        <v>3605</v>
      </c>
    </row>
    <row r="2514" spans="1:7" x14ac:dyDescent="0.3">
      <c r="A2514" s="80">
        <v>45717</v>
      </c>
      <c r="B2514">
        <v>3010200</v>
      </c>
      <c r="C2514">
        <v>5000</v>
      </c>
      <c r="E2514" s="80">
        <v>45705</v>
      </c>
      <c r="F2514">
        <v>3010111</v>
      </c>
      <c r="G2514">
        <v>0</v>
      </c>
    </row>
    <row r="2515" spans="1:7" x14ac:dyDescent="0.3">
      <c r="A2515" s="80">
        <v>45717</v>
      </c>
      <c r="B2515">
        <v>3010200</v>
      </c>
      <c r="C2515">
        <v>5000</v>
      </c>
      <c r="E2515" s="80">
        <v>45704</v>
      </c>
      <c r="F2515">
        <v>3010111</v>
      </c>
      <c r="G2515">
        <v>3353</v>
      </c>
    </row>
    <row r="2516" spans="1:7" x14ac:dyDescent="0.3">
      <c r="A2516" s="80">
        <v>45717</v>
      </c>
      <c r="B2516">
        <v>3010200</v>
      </c>
      <c r="C2516">
        <v>5000</v>
      </c>
      <c r="E2516" s="80">
        <v>45704</v>
      </c>
      <c r="F2516">
        <v>3010111</v>
      </c>
      <c r="G2516">
        <v>0</v>
      </c>
    </row>
    <row r="2517" spans="1:7" x14ac:dyDescent="0.3">
      <c r="A2517" s="80">
        <v>45717</v>
      </c>
      <c r="B2517">
        <v>3010200</v>
      </c>
      <c r="C2517">
        <v>5000</v>
      </c>
      <c r="E2517" s="80">
        <v>45704</v>
      </c>
      <c r="F2517">
        <v>3010111</v>
      </c>
      <c r="G2517">
        <v>3101</v>
      </c>
    </row>
    <row r="2518" spans="1:7" x14ac:dyDescent="0.3">
      <c r="A2518" s="80">
        <v>45717</v>
      </c>
      <c r="B2518">
        <v>3010200</v>
      </c>
      <c r="C2518">
        <v>5000</v>
      </c>
      <c r="E2518" s="80">
        <v>45703</v>
      </c>
      <c r="F2518">
        <v>3010111</v>
      </c>
      <c r="G2518">
        <v>1672</v>
      </c>
    </row>
    <row r="2519" spans="1:7" x14ac:dyDescent="0.3">
      <c r="A2519" s="80">
        <v>45717</v>
      </c>
      <c r="B2519">
        <v>3010200</v>
      </c>
      <c r="C2519">
        <v>5000</v>
      </c>
      <c r="E2519" s="80">
        <v>45703</v>
      </c>
      <c r="F2519">
        <v>3010111</v>
      </c>
      <c r="G2519">
        <v>3353</v>
      </c>
    </row>
    <row r="2520" spans="1:7" x14ac:dyDescent="0.3">
      <c r="A2520" s="80">
        <v>45717</v>
      </c>
      <c r="B2520">
        <v>3010200</v>
      </c>
      <c r="C2520">
        <v>5000</v>
      </c>
      <c r="E2520" s="80">
        <v>45703</v>
      </c>
      <c r="F2520">
        <v>3010111</v>
      </c>
      <c r="G2520">
        <v>1672</v>
      </c>
    </row>
    <row r="2521" spans="1:7" x14ac:dyDescent="0.3">
      <c r="A2521" s="80">
        <v>45716</v>
      </c>
      <c r="B2521">
        <v>3010200</v>
      </c>
      <c r="C2521">
        <v>5000</v>
      </c>
      <c r="E2521" s="80">
        <v>45703</v>
      </c>
      <c r="F2521">
        <v>3010111</v>
      </c>
      <c r="G2521">
        <v>1672</v>
      </c>
    </row>
    <row r="2522" spans="1:7" x14ac:dyDescent="0.3">
      <c r="A2522" s="80">
        <v>45716</v>
      </c>
      <c r="B2522">
        <v>3010200</v>
      </c>
      <c r="C2522">
        <v>5000</v>
      </c>
      <c r="E2522" s="80">
        <v>45702</v>
      </c>
      <c r="F2522">
        <v>3010111</v>
      </c>
      <c r="G2522">
        <v>0</v>
      </c>
    </row>
    <row r="2523" spans="1:7" x14ac:dyDescent="0.3">
      <c r="A2523" s="80">
        <v>45716</v>
      </c>
      <c r="B2523">
        <v>3010200</v>
      </c>
      <c r="C2523">
        <v>8769</v>
      </c>
      <c r="E2523" s="80">
        <v>45702</v>
      </c>
      <c r="F2523">
        <v>3010111</v>
      </c>
      <c r="G2523">
        <v>0</v>
      </c>
    </row>
    <row r="2524" spans="1:7" x14ac:dyDescent="0.3">
      <c r="A2524" s="80">
        <v>45716</v>
      </c>
      <c r="B2524">
        <v>3010200</v>
      </c>
      <c r="C2524">
        <v>5000</v>
      </c>
      <c r="E2524" s="80">
        <v>45701</v>
      </c>
      <c r="F2524">
        <v>3010111</v>
      </c>
      <c r="G2524">
        <v>3689</v>
      </c>
    </row>
    <row r="2525" spans="1:7" x14ac:dyDescent="0.3">
      <c r="A2525" s="80">
        <v>45716</v>
      </c>
      <c r="B2525">
        <v>3010200</v>
      </c>
      <c r="C2525">
        <v>5000</v>
      </c>
      <c r="E2525" s="80">
        <v>45701</v>
      </c>
      <c r="F2525">
        <v>3010111</v>
      </c>
      <c r="G2525">
        <v>3605</v>
      </c>
    </row>
    <row r="2526" spans="1:7" x14ac:dyDescent="0.3">
      <c r="A2526" s="80">
        <v>45716</v>
      </c>
      <c r="B2526">
        <v>3010200</v>
      </c>
      <c r="C2526">
        <v>500</v>
      </c>
      <c r="E2526" s="80">
        <v>45701</v>
      </c>
      <c r="F2526">
        <v>3010111</v>
      </c>
      <c r="G2526">
        <v>1672</v>
      </c>
    </row>
    <row r="2527" spans="1:7" x14ac:dyDescent="0.3">
      <c r="A2527" s="80">
        <v>45716</v>
      </c>
      <c r="B2527">
        <v>3010200</v>
      </c>
      <c r="C2527">
        <v>5000</v>
      </c>
      <c r="E2527" s="80">
        <v>45699</v>
      </c>
      <c r="F2527">
        <v>3010111</v>
      </c>
      <c r="G2527">
        <v>0</v>
      </c>
    </row>
    <row r="2528" spans="1:7" x14ac:dyDescent="0.3">
      <c r="A2528" s="80">
        <v>45716</v>
      </c>
      <c r="B2528">
        <v>3010200</v>
      </c>
      <c r="C2528">
        <v>5000</v>
      </c>
      <c r="E2528" s="80">
        <v>45699</v>
      </c>
      <c r="F2528">
        <v>3010111</v>
      </c>
      <c r="G2528">
        <v>2933</v>
      </c>
    </row>
    <row r="2529" spans="1:7" x14ac:dyDescent="0.3">
      <c r="A2529" s="80">
        <v>45715</v>
      </c>
      <c r="B2529">
        <v>3010200</v>
      </c>
      <c r="C2529">
        <v>8769</v>
      </c>
      <c r="E2529" s="80">
        <v>45699</v>
      </c>
      <c r="F2529">
        <v>3010111</v>
      </c>
      <c r="G2529">
        <v>0</v>
      </c>
    </row>
    <row r="2530" spans="1:7" x14ac:dyDescent="0.3">
      <c r="A2530" s="80">
        <v>45715</v>
      </c>
      <c r="B2530">
        <v>3010200</v>
      </c>
      <c r="C2530">
        <v>5000</v>
      </c>
      <c r="E2530" s="80">
        <v>45699</v>
      </c>
      <c r="F2530">
        <v>3010111</v>
      </c>
      <c r="G2530">
        <v>3773</v>
      </c>
    </row>
    <row r="2531" spans="1:7" x14ac:dyDescent="0.3">
      <c r="A2531" s="80">
        <v>45715</v>
      </c>
      <c r="B2531">
        <v>3010200</v>
      </c>
      <c r="C2531">
        <v>5000</v>
      </c>
      <c r="E2531" s="80">
        <v>45698</v>
      </c>
      <c r="F2531">
        <v>3010111</v>
      </c>
      <c r="G2531">
        <v>0</v>
      </c>
    </row>
    <row r="2532" spans="1:7" x14ac:dyDescent="0.3">
      <c r="A2532" s="80">
        <v>45715</v>
      </c>
      <c r="B2532">
        <v>3010200</v>
      </c>
      <c r="C2532">
        <v>5000</v>
      </c>
      <c r="E2532" s="80">
        <v>45698</v>
      </c>
      <c r="F2532">
        <v>3010111</v>
      </c>
      <c r="G2532">
        <v>1672</v>
      </c>
    </row>
    <row r="2533" spans="1:7" x14ac:dyDescent="0.3">
      <c r="A2533" s="80">
        <v>45714</v>
      </c>
      <c r="B2533">
        <v>3010200</v>
      </c>
      <c r="C2533">
        <v>5000</v>
      </c>
      <c r="E2533" s="80">
        <v>45698</v>
      </c>
      <c r="F2533">
        <v>3010111</v>
      </c>
      <c r="G2533">
        <v>1672</v>
      </c>
    </row>
    <row r="2534" spans="1:7" x14ac:dyDescent="0.3">
      <c r="A2534" s="80">
        <v>45714</v>
      </c>
      <c r="B2534">
        <v>3010200</v>
      </c>
      <c r="C2534">
        <v>500</v>
      </c>
      <c r="E2534" s="80">
        <v>45698</v>
      </c>
      <c r="F2534">
        <v>3010111</v>
      </c>
      <c r="G2534">
        <v>3941</v>
      </c>
    </row>
    <row r="2535" spans="1:7" x14ac:dyDescent="0.3">
      <c r="A2535" s="80">
        <v>45714</v>
      </c>
      <c r="B2535">
        <v>3010200</v>
      </c>
      <c r="C2535">
        <v>5000</v>
      </c>
      <c r="E2535" s="80">
        <v>45698</v>
      </c>
      <c r="F2535">
        <v>3010111</v>
      </c>
      <c r="G2535">
        <v>0</v>
      </c>
    </row>
    <row r="2536" spans="1:7" x14ac:dyDescent="0.3">
      <c r="A2536" s="80">
        <v>45714</v>
      </c>
      <c r="B2536">
        <v>3010200</v>
      </c>
      <c r="C2536">
        <v>5000</v>
      </c>
      <c r="E2536" s="80">
        <v>45698</v>
      </c>
      <c r="F2536">
        <v>3010111</v>
      </c>
      <c r="G2536">
        <v>0</v>
      </c>
    </row>
    <row r="2537" spans="1:7" x14ac:dyDescent="0.3">
      <c r="A2537" s="80">
        <v>45713</v>
      </c>
      <c r="B2537">
        <v>3010200</v>
      </c>
      <c r="C2537">
        <v>5000</v>
      </c>
      <c r="E2537" s="80">
        <v>45697</v>
      </c>
      <c r="F2537">
        <v>3010111</v>
      </c>
      <c r="G2537">
        <v>0</v>
      </c>
    </row>
    <row r="2538" spans="1:7" x14ac:dyDescent="0.3">
      <c r="A2538" s="80">
        <v>45713</v>
      </c>
      <c r="B2538">
        <v>3010200</v>
      </c>
      <c r="C2538">
        <v>5000</v>
      </c>
      <c r="E2538" s="80">
        <v>45697</v>
      </c>
      <c r="F2538">
        <v>3010111</v>
      </c>
      <c r="G2538">
        <v>0</v>
      </c>
    </row>
    <row r="2539" spans="1:7" x14ac:dyDescent="0.3">
      <c r="A2539" s="80">
        <v>45713</v>
      </c>
      <c r="B2539">
        <v>3010200</v>
      </c>
      <c r="C2539">
        <v>5000</v>
      </c>
      <c r="E2539" s="80">
        <v>45696</v>
      </c>
      <c r="F2539">
        <v>3010111</v>
      </c>
      <c r="G2539">
        <v>0</v>
      </c>
    </row>
    <row r="2540" spans="1:7" x14ac:dyDescent="0.3">
      <c r="A2540" s="80">
        <v>45713</v>
      </c>
      <c r="B2540">
        <v>3010200</v>
      </c>
      <c r="C2540">
        <v>5000</v>
      </c>
      <c r="E2540" s="80">
        <v>45696</v>
      </c>
      <c r="F2540">
        <v>3010111</v>
      </c>
      <c r="G2540">
        <v>0</v>
      </c>
    </row>
    <row r="2541" spans="1:7" x14ac:dyDescent="0.3">
      <c r="A2541" s="80">
        <v>45712</v>
      </c>
      <c r="B2541">
        <v>3010200</v>
      </c>
      <c r="C2541">
        <v>5000</v>
      </c>
      <c r="E2541" s="80">
        <v>45696</v>
      </c>
      <c r="F2541">
        <v>3010111</v>
      </c>
      <c r="G2541">
        <v>3353</v>
      </c>
    </row>
    <row r="2542" spans="1:7" x14ac:dyDescent="0.3">
      <c r="A2542" s="80">
        <v>45712</v>
      </c>
      <c r="B2542">
        <v>3010200</v>
      </c>
      <c r="C2542">
        <v>5000</v>
      </c>
      <c r="E2542" s="80">
        <v>45696</v>
      </c>
      <c r="F2542">
        <v>3010111</v>
      </c>
      <c r="G2542">
        <v>1672</v>
      </c>
    </row>
    <row r="2543" spans="1:7" x14ac:dyDescent="0.3">
      <c r="A2543" s="80">
        <v>45712</v>
      </c>
      <c r="B2543">
        <v>3010200</v>
      </c>
      <c r="C2543">
        <v>5000</v>
      </c>
      <c r="E2543" s="80">
        <v>45696</v>
      </c>
      <c r="F2543">
        <v>3010111</v>
      </c>
      <c r="G2543">
        <v>4109</v>
      </c>
    </row>
    <row r="2544" spans="1:7" x14ac:dyDescent="0.3">
      <c r="A2544" s="80">
        <v>45712</v>
      </c>
      <c r="B2544">
        <v>3010200</v>
      </c>
      <c r="C2544">
        <v>8769</v>
      </c>
      <c r="E2544" s="80">
        <v>45695</v>
      </c>
      <c r="F2544">
        <v>3010111</v>
      </c>
      <c r="G2544">
        <v>5034</v>
      </c>
    </row>
    <row r="2545" spans="1:7" x14ac:dyDescent="0.3">
      <c r="A2545" s="80">
        <v>45712</v>
      </c>
      <c r="B2545">
        <v>3010200</v>
      </c>
      <c r="C2545">
        <v>5000</v>
      </c>
      <c r="E2545" s="80">
        <v>45695</v>
      </c>
      <c r="F2545">
        <v>3010111</v>
      </c>
      <c r="G2545">
        <v>1672</v>
      </c>
    </row>
    <row r="2546" spans="1:7" x14ac:dyDescent="0.3">
      <c r="A2546" s="80">
        <v>45711</v>
      </c>
      <c r="B2546">
        <v>3010200</v>
      </c>
      <c r="C2546">
        <v>5000</v>
      </c>
      <c r="E2546" s="80">
        <v>45695</v>
      </c>
      <c r="F2546">
        <v>3010111</v>
      </c>
      <c r="G2546">
        <v>0</v>
      </c>
    </row>
    <row r="2547" spans="1:7" x14ac:dyDescent="0.3">
      <c r="A2547" s="80">
        <v>45711</v>
      </c>
      <c r="B2547">
        <v>3010200</v>
      </c>
      <c r="C2547">
        <v>5000</v>
      </c>
      <c r="E2547" s="80">
        <v>45695</v>
      </c>
      <c r="F2547">
        <v>3010111</v>
      </c>
      <c r="G2547">
        <v>3017</v>
      </c>
    </row>
    <row r="2548" spans="1:7" x14ac:dyDescent="0.3">
      <c r="A2548" s="80">
        <v>45710</v>
      </c>
      <c r="B2548">
        <v>3010200</v>
      </c>
      <c r="C2548">
        <v>5000</v>
      </c>
      <c r="E2548" s="80">
        <v>45695</v>
      </c>
      <c r="F2548">
        <v>3010111</v>
      </c>
      <c r="G2548">
        <v>1672</v>
      </c>
    </row>
    <row r="2549" spans="1:7" x14ac:dyDescent="0.3">
      <c r="A2549" s="80">
        <v>45710</v>
      </c>
      <c r="B2549">
        <v>3010200</v>
      </c>
      <c r="C2549">
        <v>5000</v>
      </c>
      <c r="E2549" s="80">
        <v>45695</v>
      </c>
      <c r="F2549">
        <v>3010111</v>
      </c>
      <c r="G2549">
        <v>0</v>
      </c>
    </row>
    <row r="2550" spans="1:7" x14ac:dyDescent="0.3">
      <c r="A2550" s="80">
        <v>45710</v>
      </c>
      <c r="B2550">
        <v>3010200</v>
      </c>
      <c r="C2550">
        <v>5000</v>
      </c>
      <c r="E2550" s="80">
        <v>45694</v>
      </c>
      <c r="F2550">
        <v>3010111</v>
      </c>
      <c r="G2550">
        <v>3101</v>
      </c>
    </row>
    <row r="2551" spans="1:7" x14ac:dyDescent="0.3">
      <c r="A2551" s="80">
        <v>45710</v>
      </c>
      <c r="B2551">
        <v>3010200</v>
      </c>
      <c r="C2551">
        <v>5000</v>
      </c>
      <c r="E2551" s="80">
        <v>45694</v>
      </c>
      <c r="F2551">
        <v>3010111</v>
      </c>
      <c r="G2551">
        <v>3605</v>
      </c>
    </row>
    <row r="2552" spans="1:7" x14ac:dyDescent="0.3">
      <c r="A2552" s="80">
        <v>45710</v>
      </c>
      <c r="B2552">
        <v>3010200</v>
      </c>
      <c r="C2552">
        <v>5000</v>
      </c>
      <c r="E2552" s="80">
        <v>45694</v>
      </c>
      <c r="F2552">
        <v>3010111</v>
      </c>
      <c r="G2552">
        <v>1672</v>
      </c>
    </row>
    <row r="2553" spans="1:7" x14ac:dyDescent="0.3">
      <c r="A2553" s="80">
        <v>45710</v>
      </c>
      <c r="B2553">
        <v>3010200</v>
      </c>
      <c r="C2553">
        <v>5000</v>
      </c>
      <c r="E2553" s="80">
        <v>45694</v>
      </c>
      <c r="F2553">
        <v>3010111</v>
      </c>
      <c r="G2553">
        <v>1672</v>
      </c>
    </row>
    <row r="2554" spans="1:7" x14ac:dyDescent="0.3">
      <c r="A2554" s="80">
        <v>45710</v>
      </c>
      <c r="B2554">
        <v>3010200</v>
      </c>
      <c r="C2554">
        <v>5000</v>
      </c>
      <c r="E2554" s="80">
        <v>45694</v>
      </c>
      <c r="F2554">
        <v>3010111</v>
      </c>
      <c r="G2554">
        <v>1672</v>
      </c>
    </row>
    <row r="2555" spans="1:7" x14ac:dyDescent="0.3">
      <c r="A2555" s="80">
        <v>45710</v>
      </c>
      <c r="B2555">
        <v>3010200</v>
      </c>
      <c r="C2555">
        <v>4500</v>
      </c>
      <c r="E2555" s="80">
        <v>45694</v>
      </c>
      <c r="F2555">
        <v>3010111</v>
      </c>
      <c r="G2555">
        <v>0</v>
      </c>
    </row>
    <row r="2556" spans="1:7" x14ac:dyDescent="0.3">
      <c r="A2556" s="80">
        <v>45710</v>
      </c>
      <c r="B2556">
        <v>3010200</v>
      </c>
      <c r="C2556">
        <v>5000</v>
      </c>
      <c r="E2556" s="80">
        <v>45694</v>
      </c>
      <c r="F2556">
        <v>3010111</v>
      </c>
      <c r="G2556">
        <v>3605</v>
      </c>
    </row>
    <row r="2557" spans="1:7" x14ac:dyDescent="0.3">
      <c r="A2557" s="80">
        <v>45710</v>
      </c>
      <c r="B2557">
        <v>3010200</v>
      </c>
      <c r="C2557">
        <v>5000</v>
      </c>
      <c r="E2557" s="80">
        <v>45694</v>
      </c>
      <c r="F2557">
        <v>3010111</v>
      </c>
      <c r="G2557">
        <v>0</v>
      </c>
    </row>
    <row r="2558" spans="1:7" x14ac:dyDescent="0.3">
      <c r="A2558" s="80">
        <v>45709</v>
      </c>
      <c r="B2558">
        <v>3010200</v>
      </c>
      <c r="C2558">
        <v>5000</v>
      </c>
      <c r="E2558" s="80">
        <v>45694</v>
      </c>
      <c r="F2558">
        <v>3010111</v>
      </c>
      <c r="G2558">
        <v>0</v>
      </c>
    </row>
    <row r="2559" spans="1:7" x14ac:dyDescent="0.3">
      <c r="A2559" s="80">
        <v>45709</v>
      </c>
      <c r="B2559">
        <v>3010200</v>
      </c>
      <c r="C2559">
        <v>5000</v>
      </c>
      <c r="E2559" s="80">
        <v>45694</v>
      </c>
      <c r="F2559">
        <v>3010111</v>
      </c>
      <c r="G2559">
        <v>0</v>
      </c>
    </row>
    <row r="2560" spans="1:7" x14ac:dyDescent="0.3">
      <c r="A2560" s="80">
        <v>45709</v>
      </c>
      <c r="B2560">
        <v>3010200</v>
      </c>
      <c r="C2560">
        <v>3000</v>
      </c>
      <c r="E2560" s="80">
        <v>45694</v>
      </c>
      <c r="F2560">
        <v>3010111</v>
      </c>
      <c r="G2560">
        <v>1672</v>
      </c>
    </row>
    <row r="2561" spans="1:7" x14ac:dyDescent="0.3">
      <c r="A2561" s="80">
        <v>45709</v>
      </c>
      <c r="B2561">
        <v>3010200</v>
      </c>
      <c r="C2561">
        <v>5000</v>
      </c>
      <c r="E2561" s="80">
        <v>45693</v>
      </c>
      <c r="F2561">
        <v>3010111</v>
      </c>
      <c r="G2561">
        <v>3353</v>
      </c>
    </row>
    <row r="2562" spans="1:7" x14ac:dyDescent="0.3">
      <c r="A2562" s="80">
        <v>45709</v>
      </c>
      <c r="B2562">
        <v>3010200</v>
      </c>
      <c r="C2562">
        <v>5000</v>
      </c>
      <c r="E2562" s="80">
        <v>45693</v>
      </c>
      <c r="F2562">
        <v>3010111</v>
      </c>
      <c r="G2562">
        <v>3101</v>
      </c>
    </row>
    <row r="2563" spans="1:7" x14ac:dyDescent="0.3">
      <c r="A2563" s="80">
        <v>45709</v>
      </c>
      <c r="B2563">
        <v>3010200</v>
      </c>
      <c r="C2563">
        <v>5000</v>
      </c>
      <c r="E2563" s="80">
        <v>45693</v>
      </c>
      <c r="F2563">
        <v>3010111</v>
      </c>
      <c r="G2563">
        <v>5454</v>
      </c>
    </row>
    <row r="2564" spans="1:7" x14ac:dyDescent="0.3">
      <c r="A2564" s="80">
        <v>45709</v>
      </c>
      <c r="B2564">
        <v>3010200</v>
      </c>
      <c r="C2564">
        <v>5000</v>
      </c>
      <c r="E2564" s="80">
        <v>45693</v>
      </c>
      <c r="F2564">
        <v>3010111</v>
      </c>
      <c r="G2564">
        <v>0</v>
      </c>
    </row>
    <row r="2565" spans="1:7" x14ac:dyDescent="0.3">
      <c r="A2565" s="80">
        <v>45709</v>
      </c>
      <c r="B2565">
        <v>3010200</v>
      </c>
      <c r="C2565">
        <v>5000</v>
      </c>
      <c r="E2565" s="80">
        <v>45693</v>
      </c>
      <c r="F2565">
        <v>3010111</v>
      </c>
      <c r="G2565">
        <v>3101</v>
      </c>
    </row>
    <row r="2566" spans="1:7" x14ac:dyDescent="0.3">
      <c r="A2566" s="80">
        <v>45709</v>
      </c>
      <c r="B2566">
        <v>3010200</v>
      </c>
      <c r="C2566">
        <v>5000</v>
      </c>
      <c r="E2566" s="80">
        <v>45693</v>
      </c>
      <c r="F2566">
        <v>3010111</v>
      </c>
      <c r="G2566">
        <v>0</v>
      </c>
    </row>
    <row r="2567" spans="1:7" x14ac:dyDescent="0.3">
      <c r="A2567" s="80">
        <v>45709</v>
      </c>
      <c r="B2567">
        <v>3010200</v>
      </c>
      <c r="C2567">
        <v>5000</v>
      </c>
      <c r="E2567" s="80">
        <v>45693</v>
      </c>
      <c r="F2567">
        <v>3010111</v>
      </c>
      <c r="G2567">
        <v>4025</v>
      </c>
    </row>
    <row r="2568" spans="1:7" x14ac:dyDescent="0.3">
      <c r="A2568" s="80">
        <v>45709</v>
      </c>
      <c r="B2568">
        <v>3010200</v>
      </c>
      <c r="C2568">
        <v>5000</v>
      </c>
      <c r="E2568" s="80">
        <v>45693</v>
      </c>
      <c r="F2568">
        <v>3010111</v>
      </c>
      <c r="G2568">
        <v>3605</v>
      </c>
    </row>
    <row r="2569" spans="1:7" x14ac:dyDescent="0.3">
      <c r="A2569" s="80">
        <v>45709</v>
      </c>
      <c r="B2569">
        <v>3010200</v>
      </c>
      <c r="C2569">
        <v>5000</v>
      </c>
      <c r="E2569" s="80">
        <v>45693</v>
      </c>
      <c r="F2569">
        <v>3010111</v>
      </c>
      <c r="G2569">
        <v>1672</v>
      </c>
    </row>
    <row r="2570" spans="1:7" x14ac:dyDescent="0.3">
      <c r="A2570" s="80">
        <v>45708</v>
      </c>
      <c r="B2570">
        <v>3010200</v>
      </c>
      <c r="C2570">
        <v>5000</v>
      </c>
      <c r="E2570" s="80">
        <v>45693</v>
      </c>
      <c r="F2570">
        <v>3010111</v>
      </c>
      <c r="G2570">
        <v>3605</v>
      </c>
    </row>
    <row r="2571" spans="1:7" x14ac:dyDescent="0.3">
      <c r="A2571" s="80">
        <v>45708</v>
      </c>
      <c r="B2571">
        <v>3010200</v>
      </c>
      <c r="C2571">
        <v>5000</v>
      </c>
      <c r="E2571" s="80">
        <v>45693</v>
      </c>
      <c r="F2571">
        <v>3010111</v>
      </c>
      <c r="G2571">
        <v>0</v>
      </c>
    </row>
    <row r="2572" spans="1:7" x14ac:dyDescent="0.3">
      <c r="A2572" s="80">
        <v>45708</v>
      </c>
      <c r="B2572">
        <v>3010200</v>
      </c>
      <c r="C2572">
        <v>5000</v>
      </c>
      <c r="E2572" s="80">
        <v>45692</v>
      </c>
      <c r="F2572">
        <v>3010111</v>
      </c>
      <c r="G2572">
        <v>1672</v>
      </c>
    </row>
    <row r="2573" spans="1:7" x14ac:dyDescent="0.3">
      <c r="A2573" s="80">
        <v>45708</v>
      </c>
      <c r="B2573">
        <v>3010200</v>
      </c>
      <c r="C2573">
        <v>8769</v>
      </c>
      <c r="E2573" s="80">
        <v>45692</v>
      </c>
      <c r="F2573">
        <v>3010111</v>
      </c>
      <c r="G2573">
        <v>0</v>
      </c>
    </row>
    <row r="2574" spans="1:7" x14ac:dyDescent="0.3">
      <c r="A2574" s="80">
        <v>45708</v>
      </c>
      <c r="B2574">
        <v>3010200</v>
      </c>
      <c r="C2574">
        <v>5000</v>
      </c>
      <c r="E2574" s="80">
        <v>45692</v>
      </c>
      <c r="F2574">
        <v>3010111</v>
      </c>
      <c r="G2574">
        <v>1672</v>
      </c>
    </row>
    <row r="2575" spans="1:7" x14ac:dyDescent="0.3">
      <c r="A2575" s="80">
        <v>45708</v>
      </c>
      <c r="B2575">
        <v>3010200</v>
      </c>
      <c r="C2575">
        <v>8769</v>
      </c>
      <c r="E2575" s="80">
        <v>45692</v>
      </c>
      <c r="F2575">
        <v>3010111</v>
      </c>
      <c r="G2575">
        <v>8479</v>
      </c>
    </row>
    <row r="2576" spans="1:7" x14ac:dyDescent="0.3">
      <c r="A2576" s="80">
        <v>45708</v>
      </c>
      <c r="B2576">
        <v>3010200</v>
      </c>
      <c r="C2576">
        <v>5000</v>
      </c>
      <c r="E2576" s="80">
        <v>45692</v>
      </c>
      <c r="F2576">
        <v>3010111</v>
      </c>
      <c r="G2576">
        <v>1672</v>
      </c>
    </row>
    <row r="2577" spans="1:7" x14ac:dyDescent="0.3">
      <c r="A2577" s="80">
        <v>45707</v>
      </c>
      <c r="B2577">
        <v>3010200</v>
      </c>
      <c r="C2577">
        <v>8769</v>
      </c>
      <c r="E2577" s="80">
        <v>45692</v>
      </c>
      <c r="F2577">
        <v>3010111</v>
      </c>
      <c r="G2577">
        <v>1672</v>
      </c>
    </row>
    <row r="2578" spans="1:7" x14ac:dyDescent="0.3">
      <c r="A2578" s="80">
        <v>45705</v>
      </c>
      <c r="B2578">
        <v>3010200</v>
      </c>
      <c r="C2578">
        <v>8769</v>
      </c>
      <c r="E2578" s="80">
        <v>45692</v>
      </c>
      <c r="F2578">
        <v>3010111</v>
      </c>
      <c r="G2578">
        <v>3017</v>
      </c>
    </row>
    <row r="2579" spans="1:7" x14ac:dyDescent="0.3">
      <c r="A2579" s="80">
        <v>45705</v>
      </c>
      <c r="B2579">
        <v>3010200</v>
      </c>
      <c r="C2579">
        <v>5000</v>
      </c>
      <c r="E2579" s="80">
        <v>45692</v>
      </c>
      <c r="F2579">
        <v>3010111</v>
      </c>
      <c r="G2579">
        <v>3605</v>
      </c>
    </row>
    <row r="2580" spans="1:7" x14ac:dyDescent="0.3">
      <c r="A2580" s="80">
        <v>45705</v>
      </c>
      <c r="B2580">
        <v>3010200</v>
      </c>
      <c r="C2580">
        <v>8769</v>
      </c>
      <c r="E2580" s="80">
        <v>45691</v>
      </c>
      <c r="F2580">
        <v>3010111</v>
      </c>
      <c r="G2580">
        <v>3017</v>
      </c>
    </row>
    <row r="2581" spans="1:7" x14ac:dyDescent="0.3">
      <c r="A2581" s="80">
        <v>45704</v>
      </c>
      <c r="B2581">
        <v>3010200</v>
      </c>
      <c r="C2581">
        <v>8769</v>
      </c>
      <c r="E2581" s="80">
        <v>45691</v>
      </c>
      <c r="F2581">
        <v>3010111</v>
      </c>
      <c r="G2581">
        <v>1672</v>
      </c>
    </row>
    <row r="2582" spans="1:7" x14ac:dyDescent="0.3">
      <c r="A2582" s="80">
        <v>45704</v>
      </c>
      <c r="B2582">
        <v>3010200</v>
      </c>
      <c r="C2582">
        <v>8769</v>
      </c>
      <c r="E2582" s="80">
        <v>45691</v>
      </c>
      <c r="F2582">
        <v>3010111</v>
      </c>
      <c r="G2582">
        <v>0</v>
      </c>
    </row>
    <row r="2583" spans="1:7" x14ac:dyDescent="0.3">
      <c r="A2583" s="80">
        <v>45704</v>
      </c>
      <c r="B2583">
        <v>3010200</v>
      </c>
      <c r="C2583">
        <v>5000</v>
      </c>
      <c r="E2583" s="80">
        <v>45691</v>
      </c>
      <c r="F2583">
        <v>3010111</v>
      </c>
      <c r="G2583">
        <v>0</v>
      </c>
    </row>
    <row r="2584" spans="1:7" x14ac:dyDescent="0.3">
      <c r="A2584" s="80">
        <v>45703</v>
      </c>
      <c r="B2584">
        <v>3010200</v>
      </c>
      <c r="C2584">
        <v>8769</v>
      </c>
      <c r="E2584" s="80">
        <v>45691</v>
      </c>
      <c r="F2584">
        <v>3010111</v>
      </c>
      <c r="G2584">
        <v>1672</v>
      </c>
    </row>
    <row r="2585" spans="1:7" x14ac:dyDescent="0.3">
      <c r="A2585" s="80">
        <v>45703</v>
      </c>
      <c r="B2585">
        <v>3010200</v>
      </c>
      <c r="C2585">
        <v>5000</v>
      </c>
      <c r="E2585" s="80">
        <v>45691</v>
      </c>
      <c r="F2585">
        <v>3010111</v>
      </c>
      <c r="G2585">
        <v>3605</v>
      </c>
    </row>
    <row r="2586" spans="1:7" x14ac:dyDescent="0.3">
      <c r="A2586" s="80">
        <v>45703</v>
      </c>
      <c r="B2586">
        <v>3010200</v>
      </c>
      <c r="C2586">
        <v>5000</v>
      </c>
      <c r="E2586" s="80">
        <v>45690</v>
      </c>
      <c r="F2586">
        <v>3010111</v>
      </c>
      <c r="G2586">
        <v>3941</v>
      </c>
    </row>
    <row r="2587" spans="1:7" x14ac:dyDescent="0.3">
      <c r="A2587" s="80">
        <v>45703</v>
      </c>
      <c r="B2587">
        <v>3010200</v>
      </c>
      <c r="C2587">
        <v>5000</v>
      </c>
      <c r="E2587" s="80">
        <v>45690</v>
      </c>
      <c r="F2587">
        <v>3010111</v>
      </c>
      <c r="G2587">
        <v>0</v>
      </c>
    </row>
    <row r="2588" spans="1:7" x14ac:dyDescent="0.3">
      <c r="A2588" s="80">
        <v>45702</v>
      </c>
      <c r="B2588">
        <v>3010200</v>
      </c>
      <c r="C2588">
        <v>5000</v>
      </c>
      <c r="E2588" s="80">
        <v>45690</v>
      </c>
      <c r="F2588">
        <v>3010111</v>
      </c>
      <c r="G2588">
        <v>1672</v>
      </c>
    </row>
    <row r="2589" spans="1:7" x14ac:dyDescent="0.3">
      <c r="A2589" s="80">
        <v>45702</v>
      </c>
      <c r="B2589">
        <v>3010200</v>
      </c>
      <c r="C2589">
        <v>8769</v>
      </c>
      <c r="E2589" s="80">
        <v>45690</v>
      </c>
      <c r="F2589">
        <v>3010111</v>
      </c>
      <c r="G2589">
        <v>3773</v>
      </c>
    </row>
    <row r="2590" spans="1:7" x14ac:dyDescent="0.3">
      <c r="A2590" s="80">
        <v>45701</v>
      </c>
      <c r="B2590">
        <v>3010200</v>
      </c>
      <c r="C2590">
        <v>8769</v>
      </c>
      <c r="E2590" s="80">
        <v>45690</v>
      </c>
      <c r="F2590">
        <v>3010111</v>
      </c>
      <c r="G2590">
        <v>3353</v>
      </c>
    </row>
    <row r="2591" spans="1:7" x14ac:dyDescent="0.3">
      <c r="A2591" s="80">
        <v>45701</v>
      </c>
      <c r="B2591">
        <v>3010200</v>
      </c>
      <c r="C2591">
        <v>8769</v>
      </c>
      <c r="E2591" s="80">
        <v>45690</v>
      </c>
      <c r="F2591">
        <v>3010111</v>
      </c>
      <c r="G2591">
        <v>1672</v>
      </c>
    </row>
    <row r="2592" spans="1:7" x14ac:dyDescent="0.3">
      <c r="A2592" s="80">
        <v>45701</v>
      </c>
      <c r="B2592">
        <v>3010200</v>
      </c>
      <c r="C2592">
        <v>8769</v>
      </c>
      <c r="E2592" s="80">
        <v>45690</v>
      </c>
      <c r="F2592">
        <v>3010111</v>
      </c>
      <c r="G2592">
        <v>3017</v>
      </c>
    </row>
    <row r="2593" spans="1:7" x14ac:dyDescent="0.3">
      <c r="A2593" s="80">
        <v>45699</v>
      </c>
      <c r="B2593">
        <v>3010200</v>
      </c>
      <c r="C2593">
        <v>5000</v>
      </c>
      <c r="E2593" s="80">
        <v>45690</v>
      </c>
      <c r="F2593">
        <v>3010111</v>
      </c>
      <c r="G2593">
        <v>1672</v>
      </c>
    </row>
    <row r="2594" spans="1:7" x14ac:dyDescent="0.3">
      <c r="A2594" s="80">
        <v>45699</v>
      </c>
      <c r="B2594">
        <v>3010200</v>
      </c>
      <c r="C2594">
        <v>8769</v>
      </c>
      <c r="E2594" s="80">
        <v>45690</v>
      </c>
      <c r="F2594">
        <v>3010111</v>
      </c>
      <c r="G2594">
        <v>1672</v>
      </c>
    </row>
    <row r="2595" spans="1:7" x14ac:dyDescent="0.3">
      <c r="A2595" s="80">
        <v>45699</v>
      </c>
      <c r="B2595">
        <v>3010200</v>
      </c>
      <c r="C2595">
        <v>8769</v>
      </c>
      <c r="E2595" s="80">
        <v>45690</v>
      </c>
      <c r="F2595">
        <v>3010111</v>
      </c>
      <c r="G2595">
        <v>0</v>
      </c>
    </row>
    <row r="2596" spans="1:7" x14ac:dyDescent="0.3">
      <c r="A2596" s="80">
        <v>45699</v>
      </c>
      <c r="B2596">
        <v>3010200</v>
      </c>
      <c r="C2596">
        <v>2630</v>
      </c>
      <c r="E2596" s="80">
        <v>45690</v>
      </c>
      <c r="F2596">
        <v>3010111</v>
      </c>
      <c r="G2596">
        <v>1672</v>
      </c>
    </row>
    <row r="2597" spans="1:7" x14ac:dyDescent="0.3">
      <c r="A2597" s="80">
        <v>45698</v>
      </c>
      <c r="B2597">
        <v>3010200</v>
      </c>
      <c r="C2597">
        <v>8769</v>
      </c>
      <c r="E2597" s="80">
        <v>45690</v>
      </c>
      <c r="F2597">
        <v>3010111</v>
      </c>
      <c r="G2597">
        <v>3185</v>
      </c>
    </row>
    <row r="2598" spans="1:7" x14ac:dyDescent="0.3">
      <c r="A2598" s="80">
        <v>45698</v>
      </c>
      <c r="B2598">
        <v>3010200</v>
      </c>
      <c r="C2598">
        <v>6400</v>
      </c>
      <c r="E2598" s="80">
        <v>45690</v>
      </c>
      <c r="F2598">
        <v>3010111</v>
      </c>
      <c r="G2598">
        <v>3605</v>
      </c>
    </row>
    <row r="2599" spans="1:7" x14ac:dyDescent="0.3">
      <c r="A2599" s="80">
        <v>45698</v>
      </c>
      <c r="B2599">
        <v>3010200</v>
      </c>
      <c r="C2599">
        <v>8769</v>
      </c>
      <c r="E2599" s="80">
        <v>45690</v>
      </c>
      <c r="F2599">
        <v>3010111</v>
      </c>
      <c r="G2599">
        <v>1672</v>
      </c>
    </row>
    <row r="2600" spans="1:7" x14ac:dyDescent="0.3">
      <c r="A2600" s="80">
        <v>45698</v>
      </c>
      <c r="B2600">
        <v>3010200</v>
      </c>
      <c r="C2600">
        <v>8769</v>
      </c>
      <c r="E2600" s="80">
        <v>45690</v>
      </c>
      <c r="F2600">
        <v>3010111</v>
      </c>
      <c r="G2600">
        <v>4613</v>
      </c>
    </row>
    <row r="2601" spans="1:7" x14ac:dyDescent="0.3">
      <c r="A2601" s="80">
        <v>45698</v>
      </c>
      <c r="B2601">
        <v>3010200</v>
      </c>
      <c r="C2601">
        <v>8769</v>
      </c>
      <c r="E2601" s="80">
        <v>45690</v>
      </c>
      <c r="F2601">
        <v>3010111</v>
      </c>
      <c r="G2601">
        <v>0</v>
      </c>
    </row>
    <row r="2602" spans="1:7" x14ac:dyDescent="0.3">
      <c r="A2602" s="80">
        <v>45698</v>
      </c>
      <c r="B2602">
        <v>3010200</v>
      </c>
      <c r="C2602">
        <v>6400</v>
      </c>
      <c r="E2602" s="80">
        <v>45690</v>
      </c>
      <c r="F2602">
        <v>3010111</v>
      </c>
      <c r="G2602">
        <v>0</v>
      </c>
    </row>
    <row r="2603" spans="1:7" x14ac:dyDescent="0.3">
      <c r="A2603" s="80">
        <v>45697</v>
      </c>
      <c r="B2603">
        <v>3010200</v>
      </c>
      <c r="C2603">
        <v>8769</v>
      </c>
      <c r="E2603" s="80">
        <v>45690</v>
      </c>
      <c r="F2603">
        <v>3010111</v>
      </c>
      <c r="G2603">
        <v>0</v>
      </c>
    </row>
    <row r="2604" spans="1:7" x14ac:dyDescent="0.3">
      <c r="A2604" s="80">
        <v>45697</v>
      </c>
      <c r="B2604">
        <v>3010200</v>
      </c>
      <c r="C2604">
        <v>5000</v>
      </c>
      <c r="E2604" s="80">
        <v>45690</v>
      </c>
      <c r="F2604">
        <v>3010111</v>
      </c>
      <c r="G2604">
        <v>0</v>
      </c>
    </row>
    <row r="2605" spans="1:7" x14ac:dyDescent="0.3">
      <c r="A2605" s="80">
        <v>45696</v>
      </c>
      <c r="B2605">
        <v>3010200</v>
      </c>
      <c r="C2605">
        <v>6400</v>
      </c>
      <c r="E2605" s="80">
        <v>45690</v>
      </c>
      <c r="F2605">
        <v>3010111</v>
      </c>
      <c r="G2605">
        <v>0</v>
      </c>
    </row>
    <row r="2606" spans="1:7" x14ac:dyDescent="0.3">
      <c r="A2606" s="80">
        <v>45696</v>
      </c>
      <c r="B2606">
        <v>3010200</v>
      </c>
      <c r="C2606">
        <v>5000</v>
      </c>
      <c r="E2606" s="80">
        <v>45690</v>
      </c>
      <c r="F2606">
        <v>3010111</v>
      </c>
      <c r="G2606">
        <v>0</v>
      </c>
    </row>
    <row r="2607" spans="1:7" x14ac:dyDescent="0.3">
      <c r="A2607" s="80">
        <v>45696</v>
      </c>
      <c r="B2607">
        <v>3010200</v>
      </c>
      <c r="C2607">
        <v>5000</v>
      </c>
      <c r="E2607" s="80">
        <v>45690</v>
      </c>
      <c r="F2607">
        <v>3010111</v>
      </c>
      <c r="G2607">
        <v>0</v>
      </c>
    </row>
    <row r="2608" spans="1:7" x14ac:dyDescent="0.3">
      <c r="A2608" s="80">
        <v>45696</v>
      </c>
      <c r="B2608">
        <v>3010200</v>
      </c>
      <c r="C2608">
        <v>8769</v>
      </c>
      <c r="E2608" s="80">
        <v>45689</v>
      </c>
      <c r="F2608">
        <v>3010111</v>
      </c>
      <c r="G2608">
        <v>0</v>
      </c>
    </row>
    <row r="2609" spans="1:7" x14ac:dyDescent="0.3">
      <c r="A2609" s="80">
        <v>45696</v>
      </c>
      <c r="B2609">
        <v>3010200</v>
      </c>
      <c r="C2609">
        <v>5000</v>
      </c>
      <c r="E2609" s="80">
        <v>45689</v>
      </c>
      <c r="F2609">
        <v>3010111</v>
      </c>
      <c r="G2609">
        <v>3353</v>
      </c>
    </row>
    <row r="2610" spans="1:7" x14ac:dyDescent="0.3">
      <c r="A2610" s="80">
        <v>45695</v>
      </c>
      <c r="B2610">
        <v>3010200</v>
      </c>
      <c r="C2610">
        <v>5000</v>
      </c>
      <c r="E2610" s="80">
        <v>45689</v>
      </c>
      <c r="F2610">
        <v>3010111</v>
      </c>
      <c r="G2610">
        <v>0</v>
      </c>
    </row>
    <row r="2611" spans="1:7" x14ac:dyDescent="0.3">
      <c r="A2611" s="80">
        <v>45695</v>
      </c>
      <c r="B2611">
        <v>3010200</v>
      </c>
      <c r="C2611">
        <v>5000</v>
      </c>
      <c r="E2611" s="80">
        <v>45689</v>
      </c>
      <c r="F2611">
        <v>3010111</v>
      </c>
      <c r="G2611">
        <v>1672</v>
      </c>
    </row>
    <row r="2612" spans="1:7" x14ac:dyDescent="0.3">
      <c r="A2612" s="80">
        <v>45695</v>
      </c>
      <c r="B2612">
        <v>3010200</v>
      </c>
      <c r="C2612">
        <v>5000</v>
      </c>
      <c r="E2612" s="80">
        <v>45689</v>
      </c>
      <c r="F2612">
        <v>3010111</v>
      </c>
      <c r="G2612">
        <v>1672</v>
      </c>
    </row>
    <row r="2613" spans="1:7" x14ac:dyDescent="0.3">
      <c r="A2613" s="80">
        <v>45695</v>
      </c>
      <c r="B2613">
        <v>3010200</v>
      </c>
      <c r="C2613">
        <v>5000</v>
      </c>
      <c r="E2613" s="80">
        <v>45689</v>
      </c>
      <c r="F2613">
        <v>3010111</v>
      </c>
      <c r="G2613">
        <v>1672</v>
      </c>
    </row>
    <row r="2614" spans="1:7" x14ac:dyDescent="0.3">
      <c r="A2614" s="80">
        <v>45695</v>
      </c>
      <c r="B2614">
        <v>3010200</v>
      </c>
      <c r="C2614">
        <v>5000</v>
      </c>
      <c r="E2614" s="80">
        <v>45688</v>
      </c>
      <c r="F2614">
        <v>3010111</v>
      </c>
      <c r="G2614">
        <v>0</v>
      </c>
    </row>
    <row r="2615" spans="1:7" x14ac:dyDescent="0.3">
      <c r="A2615" s="80">
        <v>45695</v>
      </c>
      <c r="B2615">
        <v>3010200</v>
      </c>
      <c r="C2615">
        <v>5000</v>
      </c>
      <c r="E2615" s="80">
        <v>45688</v>
      </c>
      <c r="F2615">
        <v>3010111</v>
      </c>
      <c r="G2615">
        <v>1672</v>
      </c>
    </row>
    <row r="2616" spans="1:7" x14ac:dyDescent="0.3">
      <c r="A2616" s="80">
        <v>45694</v>
      </c>
      <c r="B2616">
        <v>3010200</v>
      </c>
      <c r="C2616">
        <v>5000</v>
      </c>
      <c r="E2616" s="80">
        <v>45688</v>
      </c>
      <c r="F2616">
        <v>3010111</v>
      </c>
      <c r="G2616">
        <v>3799</v>
      </c>
    </row>
    <row r="2617" spans="1:7" x14ac:dyDescent="0.3">
      <c r="A2617" s="80">
        <v>45694</v>
      </c>
      <c r="B2617">
        <v>3010200</v>
      </c>
      <c r="C2617">
        <v>5000</v>
      </c>
      <c r="E2617" s="80">
        <v>45688</v>
      </c>
      <c r="F2617">
        <v>3010111</v>
      </c>
      <c r="G2617">
        <v>0</v>
      </c>
    </row>
    <row r="2618" spans="1:7" x14ac:dyDescent="0.3">
      <c r="A2618" s="80">
        <v>45694</v>
      </c>
      <c r="B2618">
        <v>3010200</v>
      </c>
      <c r="C2618">
        <v>5000</v>
      </c>
      <c r="E2618" s="80">
        <v>45688</v>
      </c>
      <c r="F2618">
        <v>3010111</v>
      </c>
      <c r="G2618">
        <v>0</v>
      </c>
    </row>
    <row r="2619" spans="1:7" x14ac:dyDescent="0.3">
      <c r="A2619" s="80">
        <v>45694</v>
      </c>
      <c r="B2619">
        <v>3010200</v>
      </c>
      <c r="C2619">
        <v>8769</v>
      </c>
      <c r="E2619" s="80">
        <v>45688</v>
      </c>
      <c r="F2619">
        <v>3010111</v>
      </c>
      <c r="G2619">
        <v>1672</v>
      </c>
    </row>
    <row r="2620" spans="1:7" x14ac:dyDescent="0.3">
      <c r="A2620" s="80">
        <v>45694</v>
      </c>
      <c r="B2620">
        <v>3010200</v>
      </c>
      <c r="C2620">
        <v>5000</v>
      </c>
      <c r="E2620" s="80">
        <v>45687</v>
      </c>
      <c r="F2620">
        <v>3010111</v>
      </c>
      <c r="G2620">
        <v>1672</v>
      </c>
    </row>
    <row r="2621" spans="1:7" x14ac:dyDescent="0.3">
      <c r="A2621" s="80">
        <v>45694</v>
      </c>
      <c r="B2621">
        <v>3010200</v>
      </c>
      <c r="C2621">
        <v>500</v>
      </c>
      <c r="E2621" s="80">
        <v>45687</v>
      </c>
      <c r="F2621">
        <v>3010111</v>
      </c>
      <c r="G2621">
        <v>3017</v>
      </c>
    </row>
    <row r="2622" spans="1:7" x14ac:dyDescent="0.3">
      <c r="A2622" s="80">
        <v>45694</v>
      </c>
      <c r="B2622">
        <v>3010200</v>
      </c>
      <c r="C2622">
        <v>5000</v>
      </c>
      <c r="E2622" s="80">
        <v>45687</v>
      </c>
      <c r="F2622">
        <v>3010111</v>
      </c>
      <c r="G2622">
        <v>1672</v>
      </c>
    </row>
    <row r="2623" spans="1:7" x14ac:dyDescent="0.3">
      <c r="A2623" s="80">
        <v>45694</v>
      </c>
      <c r="B2623">
        <v>3010200</v>
      </c>
      <c r="C2623">
        <v>17538</v>
      </c>
      <c r="E2623" s="80">
        <v>45687</v>
      </c>
      <c r="F2623">
        <v>3010111</v>
      </c>
      <c r="G2623">
        <v>1672</v>
      </c>
    </row>
    <row r="2624" spans="1:7" x14ac:dyDescent="0.3">
      <c r="A2624" s="80">
        <v>45694</v>
      </c>
      <c r="B2624">
        <v>3010200</v>
      </c>
      <c r="C2624">
        <v>5000</v>
      </c>
      <c r="E2624" s="80">
        <v>45687</v>
      </c>
      <c r="F2624">
        <v>3010111</v>
      </c>
      <c r="G2624">
        <v>2176</v>
      </c>
    </row>
    <row r="2625" spans="1:7" x14ac:dyDescent="0.3">
      <c r="A2625" s="80">
        <v>45694</v>
      </c>
      <c r="B2625">
        <v>3010200</v>
      </c>
      <c r="C2625">
        <v>5000</v>
      </c>
      <c r="E2625" s="80">
        <v>45687</v>
      </c>
      <c r="F2625">
        <v>3010111</v>
      </c>
      <c r="G2625">
        <v>1672</v>
      </c>
    </row>
    <row r="2626" spans="1:7" x14ac:dyDescent="0.3">
      <c r="A2626" s="80">
        <v>45694</v>
      </c>
      <c r="B2626">
        <v>3010200</v>
      </c>
      <c r="C2626">
        <v>5000</v>
      </c>
      <c r="E2626" s="80">
        <v>45687</v>
      </c>
      <c r="F2626">
        <v>3010111</v>
      </c>
      <c r="G2626">
        <v>0</v>
      </c>
    </row>
    <row r="2627" spans="1:7" x14ac:dyDescent="0.3">
      <c r="A2627" s="80">
        <v>45693</v>
      </c>
      <c r="B2627">
        <v>3010200</v>
      </c>
      <c r="C2627">
        <v>5000</v>
      </c>
      <c r="E2627" s="80">
        <v>45687</v>
      </c>
      <c r="F2627">
        <v>3010111</v>
      </c>
      <c r="G2627">
        <v>0</v>
      </c>
    </row>
    <row r="2628" spans="1:7" x14ac:dyDescent="0.3">
      <c r="A2628" s="80">
        <v>45693</v>
      </c>
      <c r="B2628">
        <v>3010200</v>
      </c>
      <c r="C2628">
        <v>5000</v>
      </c>
      <c r="E2628" s="80">
        <v>45687</v>
      </c>
      <c r="F2628">
        <v>3010111</v>
      </c>
      <c r="G2628">
        <v>0</v>
      </c>
    </row>
    <row r="2629" spans="1:7" x14ac:dyDescent="0.3">
      <c r="A2629" s="80">
        <v>45693</v>
      </c>
      <c r="B2629">
        <v>3010200</v>
      </c>
      <c r="C2629">
        <v>5000</v>
      </c>
      <c r="E2629" s="80">
        <v>45687</v>
      </c>
      <c r="F2629">
        <v>3010111</v>
      </c>
      <c r="G2629">
        <v>0</v>
      </c>
    </row>
    <row r="2630" spans="1:7" x14ac:dyDescent="0.3">
      <c r="A2630" s="80">
        <v>45693</v>
      </c>
      <c r="B2630">
        <v>3010200</v>
      </c>
      <c r="C2630">
        <v>8769</v>
      </c>
      <c r="E2630" s="80">
        <v>45687</v>
      </c>
      <c r="F2630">
        <v>3010111</v>
      </c>
      <c r="G2630">
        <v>3185</v>
      </c>
    </row>
    <row r="2631" spans="1:7" x14ac:dyDescent="0.3">
      <c r="A2631" s="80">
        <v>45693</v>
      </c>
      <c r="B2631">
        <v>3010200</v>
      </c>
      <c r="C2631">
        <v>8769</v>
      </c>
      <c r="E2631" s="80">
        <v>45687</v>
      </c>
      <c r="F2631">
        <v>3010111</v>
      </c>
      <c r="G2631">
        <v>1672</v>
      </c>
    </row>
    <row r="2632" spans="1:7" x14ac:dyDescent="0.3">
      <c r="A2632" s="80">
        <v>45693</v>
      </c>
      <c r="B2632">
        <v>3010200</v>
      </c>
      <c r="C2632">
        <v>8769</v>
      </c>
      <c r="E2632" s="80">
        <v>45687</v>
      </c>
      <c r="F2632">
        <v>3010111</v>
      </c>
      <c r="G2632">
        <v>1672</v>
      </c>
    </row>
    <row r="2633" spans="1:7" x14ac:dyDescent="0.3">
      <c r="A2633" s="80">
        <v>45693</v>
      </c>
      <c r="B2633">
        <v>3010200</v>
      </c>
      <c r="C2633">
        <v>5000</v>
      </c>
      <c r="E2633" s="80">
        <v>45687</v>
      </c>
      <c r="F2633">
        <v>3010111</v>
      </c>
      <c r="G2633">
        <v>1672</v>
      </c>
    </row>
    <row r="2634" spans="1:7" x14ac:dyDescent="0.3">
      <c r="A2634" s="80">
        <v>45693</v>
      </c>
      <c r="B2634">
        <v>3010200</v>
      </c>
      <c r="C2634">
        <v>5000</v>
      </c>
      <c r="E2634" s="80">
        <v>45687</v>
      </c>
      <c r="F2634">
        <v>3010111</v>
      </c>
      <c r="G2634">
        <v>0</v>
      </c>
    </row>
    <row r="2635" spans="1:7" x14ac:dyDescent="0.3">
      <c r="A2635" s="80">
        <v>45693</v>
      </c>
      <c r="B2635">
        <v>3010200</v>
      </c>
      <c r="C2635">
        <v>5000</v>
      </c>
      <c r="E2635" s="80">
        <v>45687</v>
      </c>
      <c r="F2635">
        <v>3010111</v>
      </c>
      <c r="G2635">
        <v>1672</v>
      </c>
    </row>
    <row r="2636" spans="1:7" x14ac:dyDescent="0.3">
      <c r="A2636" s="80">
        <v>45693</v>
      </c>
      <c r="B2636">
        <v>3010200</v>
      </c>
      <c r="C2636">
        <v>5000</v>
      </c>
      <c r="E2636" s="80">
        <v>45687</v>
      </c>
      <c r="F2636">
        <v>3010111</v>
      </c>
      <c r="G2636">
        <v>0</v>
      </c>
    </row>
    <row r="2637" spans="1:7" x14ac:dyDescent="0.3">
      <c r="A2637" s="80">
        <v>45693</v>
      </c>
      <c r="B2637">
        <v>3010200</v>
      </c>
      <c r="C2637">
        <v>8769</v>
      </c>
      <c r="E2637" s="80">
        <v>45686</v>
      </c>
      <c r="F2637">
        <v>3010111</v>
      </c>
      <c r="G2637">
        <v>0</v>
      </c>
    </row>
    <row r="2638" spans="1:7" x14ac:dyDescent="0.3">
      <c r="A2638" s="80">
        <v>45692</v>
      </c>
      <c r="B2638">
        <v>3010200</v>
      </c>
      <c r="C2638">
        <v>8769</v>
      </c>
      <c r="E2638" s="80">
        <v>45686</v>
      </c>
      <c r="F2638">
        <v>3010111</v>
      </c>
      <c r="G2638">
        <v>1672</v>
      </c>
    </row>
    <row r="2639" spans="1:7" x14ac:dyDescent="0.3">
      <c r="A2639" s="80">
        <v>45692</v>
      </c>
      <c r="B2639">
        <v>3010200</v>
      </c>
      <c r="C2639">
        <v>8769</v>
      </c>
      <c r="E2639" s="80">
        <v>45686</v>
      </c>
      <c r="F2639">
        <v>3010111</v>
      </c>
      <c r="G2639">
        <v>3353</v>
      </c>
    </row>
    <row r="2640" spans="1:7" x14ac:dyDescent="0.3">
      <c r="A2640" s="80">
        <v>45692</v>
      </c>
      <c r="B2640">
        <v>3010200</v>
      </c>
      <c r="C2640">
        <v>8769</v>
      </c>
      <c r="E2640" s="80">
        <v>45686</v>
      </c>
      <c r="F2640">
        <v>3010111</v>
      </c>
      <c r="G2640">
        <v>1672</v>
      </c>
    </row>
    <row r="2641" spans="1:7" x14ac:dyDescent="0.3">
      <c r="A2641" s="80">
        <v>45692</v>
      </c>
      <c r="B2641">
        <v>3010200</v>
      </c>
      <c r="C2641">
        <v>5000</v>
      </c>
      <c r="E2641" s="80">
        <v>45686</v>
      </c>
      <c r="F2641">
        <v>3010111</v>
      </c>
      <c r="G2641">
        <v>3689</v>
      </c>
    </row>
    <row r="2642" spans="1:7" x14ac:dyDescent="0.3">
      <c r="A2642" s="80">
        <v>45692</v>
      </c>
      <c r="B2642">
        <v>3010200</v>
      </c>
      <c r="C2642">
        <v>5000</v>
      </c>
      <c r="E2642" s="80">
        <v>45686</v>
      </c>
      <c r="F2642">
        <v>3010111</v>
      </c>
      <c r="G2642">
        <v>3017</v>
      </c>
    </row>
    <row r="2643" spans="1:7" x14ac:dyDescent="0.3">
      <c r="A2643" s="80">
        <v>45692</v>
      </c>
      <c r="B2643">
        <v>3010200</v>
      </c>
      <c r="C2643">
        <v>5000</v>
      </c>
      <c r="E2643" s="80">
        <v>45686</v>
      </c>
      <c r="F2643">
        <v>3010111</v>
      </c>
      <c r="G2643">
        <v>0</v>
      </c>
    </row>
    <row r="2644" spans="1:7" x14ac:dyDescent="0.3">
      <c r="A2644" s="80">
        <v>45692</v>
      </c>
      <c r="B2644">
        <v>3010200</v>
      </c>
      <c r="C2644">
        <v>5000</v>
      </c>
      <c r="E2644" s="80">
        <v>45686</v>
      </c>
      <c r="F2644">
        <v>3010111</v>
      </c>
      <c r="G2644">
        <v>1672</v>
      </c>
    </row>
    <row r="2645" spans="1:7" x14ac:dyDescent="0.3">
      <c r="A2645" s="80">
        <v>45692</v>
      </c>
      <c r="B2645">
        <v>3010200</v>
      </c>
      <c r="C2645">
        <v>5000</v>
      </c>
      <c r="E2645" s="80">
        <v>45686</v>
      </c>
      <c r="F2645">
        <v>3010111</v>
      </c>
      <c r="G2645">
        <v>4445</v>
      </c>
    </row>
    <row r="2646" spans="1:7" x14ac:dyDescent="0.3">
      <c r="A2646" s="80">
        <v>45691</v>
      </c>
      <c r="B2646">
        <v>3010200</v>
      </c>
      <c r="C2646">
        <v>8769</v>
      </c>
      <c r="E2646" s="80">
        <v>45686</v>
      </c>
      <c r="F2646">
        <v>3010111</v>
      </c>
      <c r="G2646">
        <v>4025</v>
      </c>
    </row>
    <row r="2647" spans="1:7" x14ac:dyDescent="0.3">
      <c r="A2647" s="80">
        <v>45691</v>
      </c>
      <c r="B2647">
        <v>3010200</v>
      </c>
      <c r="C2647">
        <v>5000</v>
      </c>
      <c r="E2647" s="80">
        <v>45686</v>
      </c>
      <c r="F2647">
        <v>3010111</v>
      </c>
      <c r="G2647">
        <v>1672</v>
      </c>
    </row>
    <row r="2648" spans="1:7" x14ac:dyDescent="0.3">
      <c r="A2648" s="80">
        <v>45691</v>
      </c>
      <c r="B2648">
        <v>3010200</v>
      </c>
      <c r="C2648">
        <v>8769</v>
      </c>
      <c r="E2648" s="80">
        <v>45686</v>
      </c>
      <c r="F2648">
        <v>3010111</v>
      </c>
      <c r="G2648">
        <v>1672</v>
      </c>
    </row>
    <row r="2649" spans="1:7" x14ac:dyDescent="0.3">
      <c r="A2649" s="80">
        <v>45691</v>
      </c>
      <c r="B2649">
        <v>3010200</v>
      </c>
      <c r="C2649">
        <v>5000</v>
      </c>
      <c r="E2649" s="80">
        <v>45685</v>
      </c>
      <c r="F2649">
        <v>3010111</v>
      </c>
      <c r="G2649">
        <v>0</v>
      </c>
    </row>
    <row r="2650" spans="1:7" x14ac:dyDescent="0.3">
      <c r="A2650" s="80">
        <v>45691</v>
      </c>
      <c r="B2650">
        <v>3010200</v>
      </c>
      <c r="C2650">
        <v>8769</v>
      </c>
      <c r="E2650" s="80">
        <v>45685</v>
      </c>
      <c r="F2650">
        <v>3010111</v>
      </c>
      <c r="G2650">
        <v>1672</v>
      </c>
    </row>
    <row r="2651" spans="1:7" x14ac:dyDescent="0.3">
      <c r="A2651" s="80">
        <v>45691</v>
      </c>
      <c r="B2651">
        <v>3010200</v>
      </c>
      <c r="C2651">
        <v>5000</v>
      </c>
      <c r="E2651" s="80">
        <v>45685</v>
      </c>
      <c r="F2651">
        <v>3010111</v>
      </c>
      <c r="G2651">
        <v>1672</v>
      </c>
    </row>
    <row r="2652" spans="1:7" x14ac:dyDescent="0.3">
      <c r="A2652" s="80">
        <v>45690</v>
      </c>
      <c r="B2652">
        <v>3010200</v>
      </c>
      <c r="C2652">
        <v>5000</v>
      </c>
      <c r="E2652" s="80">
        <v>45685</v>
      </c>
      <c r="F2652">
        <v>3010111</v>
      </c>
      <c r="G2652">
        <v>3185</v>
      </c>
    </row>
    <row r="2653" spans="1:7" x14ac:dyDescent="0.3">
      <c r="A2653" s="80">
        <v>45690</v>
      </c>
      <c r="B2653">
        <v>3010200</v>
      </c>
      <c r="C2653">
        <v>5000</v>
      </c>
      <c r="E2653" s="80">
        <v>45685</v>
      </c>
      <c r="F2653">
        <v>3010111</v>
      </c>
      <c r="G2653">
        <v>1672</v>
      </c>
    </row>
    <row r="2654" spans="1:7" x14ac:dyDescent="0.3">
      <c r="A2654" s="80">
        <v>45690</v>
      </c>
      <c r="B2654">
        <v>3010200</v>
      </c>
      <c r="C2654">
        <v>8769</v>
      </c>
      <c r="E2654" s="80">
        <v>45685</v>
      </c>
      <c r="F2654">
        <v>3010111</v>
      </c>
      <c r="G2654">
        <v>1672</v>
      </c>
    </row>
    <row r="2655" spans="1:7" x14ac:dyDescent="0.3">
      <c r="A2655" s="80">
        <v>45690</v>
      </c>
      <c r="B2655">
        <v>3010200</v>
      </c>
      <c r="C2655">
        <v>5000</v>
      </c>
      <c r="E2655" s="80">
        <v>45685</v>
      </c>
      <c r="F2655">
        <v>3010111</v>
      </c>
      <c r="G2655">
        <v>3353</v>
      </c>
    </row>
    <row r="2656" spans="1:7" x14ac:dyDescent="0.3">
      <c r="A2656" s="80">
        <v>45690</v>
      </c>
      <c r="B2656">
        <v>3010200</v>
      </c>
      <c r="C2656">
        <v>5000</v>
      </c>
      <c r="E2656" s="80">
        <v>45685</v>
      </c>
      <c r="F2656">
        <v>3010111</v>
      </c>
      <c r="G2656">
        <v>1672</v>
      </c>
    </row>
    <row r="2657" spans="1:7" x14ac:dyDescent="0.3">
      <c r="A2657" s="80">
        <v>45690</v>
      </c>
      <c r="B2657">
        <v>3010200</v>
      </c>
      <c r="C2657">
        <v>5000</v>
      </c>
      <c r="E2657" s="80">
        <v>45684</v>
      </c>
      <c r="F2657">
        <v>3010111</v>
      </c>
      <c r="G2657">
        <v>1672</v>
      </c>
    </row>
    <row r="2658" spans="1:7" x14ac:dyDescent="0.3">
      <c r="A2658" s="80">
        <v>45690</v>
      </c>
      <c r="B2658">
        <v>3010200</v>
      </c>
      <c r="C2658">
        <v>5000</v>
      </c>
      <c r="E2658" s="80">
        <v>45684</v>
      </c>
      <c r="F2658">
        <v>3010111</v>
      </c>
      <c r="G2658">
        <v>1672</v>
      </c>
    </row>
    <row r="2659" spans="1:7" x14ac:dyDescent="0.3">
      <c r="A2659" s="80">
        <v>45690</v>
      </c>
      <c r="B2659">
        <v>3010200</v>
      </c>
      <c r="C2659">
        <v>5000</v>
      </c>
      <c r="E2659" s="80">
        <v>45684</v>
      </c>
      <c r="F2659">
        <v>3010111</v>
      </c>
      <c r="G2659">
        <v>0</v>
      </c>
    </row>
    <row r="2660" spans="1:7" x14ac:dyDescent="0.3">
      <c r="A2660" s="80">
        <v>45690</v>
      </c>
      <c r="B2660">
        <v>3010200</v>
      </c>
      <c r="C2660">
        <v>5000</v>
      </c>
      <c r="E2660" s="80">
        <v>45684</v>
      </c>
      <c r="F2660">
        <v>3010111</v>
      </c>
      <c r="G2660">
        <v>1672</v>
      </c>
    </row>
    <row r="2661" spans="1:7" x14ac:dyDescent="0.3">
      <c r="A2661" s="80">
        <v>45690</v>
      </c>
      <c r="B2661">
        <v>3010200</v>
      </c>
      <c r="C2661">
        <v>5000</v>
      </c>
      <c r="E2661" s="80">
        <v>45684</v>
      </c>
      <c r="F2661">
        <v>3010111</v>
      </c>
      <c r="G2661">
        <v>3521</v>
      </c>
    </row>
    <row r="2662" spans="1:7" x14ac:dyDescent="0.3">
      <c r="A2662" s="80">
        <v>45690</v>
      </c>
      <c r="B2662">
        <v>3010200</v>
      </c>
      <c r="C2662">
        <v>5000</v>
      </c>
      <c r="E2662" s="80">
        <v>45684</v>
      </c>
      <c r="F2662">
        <v>3010111</v>
      </c>
      <c r="G2662">
        <v>3521</v>
      </c>
    </row>
    <row r="2663" spans="1:7" x14ac:dyDescent="0.3">
      <c r="A2663" s="80">
        <v>45690</v>
      </c>
      <c r="B2663">
        <v>3010200</v>
      </c>
      <c r="C2663">
        <v>5000</v>
      </c>
      <c r="E2663" s="80">
        <v>45684</v>
      </c>
      <c r="F2663">
        <v>3010111</v>
      </c>
      <c r="G2663">
        <v>0</v>
      </c>
    </row>
    <row r="2664" spans="1:7" x14ac:dyDescent="0.3">
      <c r="A2664" s="80">
        <v>45690</v>
      </c>
      <c r="B2664">
        <v>3010200</v>
      </c>
      <c r="C2664">
        <v>5000</v>
      </c>
      <c r="E2664" s="80">
        <v>45684</v>
      </c>
      <c r="F2664">
        <v>3010111</v>
      </c>
      <c r="G2664">
        <v>0</v>
      </c>
    </row>
    <row r="2665" spans="1:7" x14ac:dyDescent="0.3">
      <c r="A2665" s="80">
        <v>45690</v>
      </c>
      <c r="B2665">
        <v>3010200</v>
      </c>
      <c r="C2665">
        <v>5000</v>
      </c>
      <c r="E2665" s="80">
        <v>45683</v>
      </c>
      <c r="F2665">
        <v>3010111</v>
      </c>
      <c r="G2665">
        <v>3017</v>
      </c>
    </row>
    <row r="2666" spans="1:7" x14ac:dyDescent="0.3">
      <c r="A2666" s="80">
        <v>45690</v>
      </c>
      <c r="B2666">
        <v>3010200</v>
      </c>
      <c r="C2666">
        <v>5000</v>
      </c>
      <c r="E2666" s="80">
        <v>45683</v>
      </c>
      <c r="F2666">
        <v>3010111</v>
      </c>
      <c r="G2666">
        <v>3185</v>
      </c>
    </row>
    <row r="2667" spans="1:7" x14ac:dyDescent="0.3">
      <c r="A2667" s="80">
        <v>45690</v>
      </c>
      <c r="B2667">
        <v>3010200</v>
      </c>
      <c r="C2667">
        <v>8769</v>
      </c>
      <c r="E2667" s="80">
        <v>45683</v>
      </c>
      <c r="F2667">
        <v>3010111</v>
      </c>
      <c r="G2667">
        <v>1672</v>
      </c>
    </row>
    <row r="2668" spans="1:7" x14ac:dyDescent="0.3">
      <c r="A2668" s="80">
        <v>45690</v>
      </c>
      <c r="B2668">
        <v>3010200</v>
      </c>
      <c r="C2668">
        <v>5000</v>
      </c>
      <c r="E2668" s="80">
        <v>45683</v>
      </c>
      <c r="F2668">
        <v>3010111</v>
      </c>
      <c r="G2668">
        <v>0</v>
      </c>
    </row>
    <row r="2669" spans="1:7" x14ac:dyDescent="0.3">
      <c r="A2669" s="80">
        <v>45690</v>
      </c>
      <c r="B2669">
        <v>3010200</v>
      </c>
      <c r="C2669">
        <v>2630</v>
      </c>
      <c r="E2669" s="80">
        <v>45683</v>
      </c>
      <c r="F2669">
        <v>3010111</v>
      </c>
      <c r="G2669">
        <v>3017</v>
      </c>
    </row>
    <row r="2670" spans="1:7" x14ac:dyDescent="0.3">
      <c r="A2670" s="80">
        <v>45690</v>
      </c>
      <c r="B2670">
        <v>3010200</v>
      </c>
      <c r="C2670">
        <v>10000</v>
      </c>
      <c r="E2670" s="80">
        <v>45683</v>
      </c>
      <c r="F2670">
        <v>3010111</v>
      </c>
      <c r="G2670">
        <v>1672</v>
      </c>
    </row>
    <row r="2671" spans="1:7" x14ac:dyDescent="0.3">
      <c r="A2671" s="80">
        <v>45690</v>
      </c>
      <c r="B2671">
        <v>3010200</v>
      </c>
      <c r="C2671">
        <v>5000</v>
      </c>
      <c r="E2671" s="80">
        <v>45683</v>
      </c>
      <c r="F2671">
        <v>3010111</v>
      </c>
      <c r="G2671">
        <v>1672</v>
      </c>
    </row>
    <row r="2672" spans="1:7" x14ac:dyDescent="0.3">
      <c r="A2672" s="80">
        <v>45690</v>
      </c>
      <c r="B2672">
        <v>3010200</v>
      </c>
      <c r="C2672">
        <v>5000</v>
      </c>
      <c r="E2672" s="80">
        <v>45683</v>
      </c>
      <c r="F2672">
        <v>3010111</v>
      </c>
      <c r="G2672">
        <v>1672</v>
      </c>
    </row>
    <row r="2673" spans="1:7" x14ac:dyDescent="0.3">
      <c r="A2673" s="80">
        <v>45690</v>
      </c>
      <c r="B2673">
        <v>3010200</v>
      </c>
      <c r="C2673">
        <v>5000</v>
      </c>
      <c r="E2673" s="80">
        <v>45682</v>
      </c>
      <c r="F2673">
        <v>3010111</v>
      </c>
      <c r="G2673">
        <v>2933</v>
      </c>
    </row>
    <row r="2674" spans="1:7" x14ac:dyDescent="0.3">
      <c r="A2674" s="80">
        <v>45689</v>
      </c>
      <c r="B2674">
        <v>3010200</v>
      </c>
      <c r="C2674">
        <v>5000</v>
      </c>
      <c r="E2674" s="80">
        <v>45682</v>
      </c>
      <c r="F2674">
        <v>3010111</v>
      </c>
      <c r="G2674">
        <v>5034</v>
      </c>
    </row>
    <row r="2675" spans="1:7" x14ac:dyDescent="0.3">
      <c r="A2675" s="80">
        <v>45689</v>
      </c>
      <c r="B2675">
        <v>3010200</v>
      </c>
      <c r="C2675">
        <v>5000</v>
      </c>
      <c r="E2675" s="80">
        <v>45682</v>
      </c>
      <c r="F2675">
        <v>3010111</v>
      </c>
      <c r="G2675">
        <v>0</v>
      </c>
    </row>
    <row r="2676" spans="1:7" x14ac:dyDescent="0.3">
      <c r="A2676" s="80">
        <v>45689</v>
      </c>
      <c r="B2676">
        <v>3010200</v>
      </c>
      <c r="C2676">
        <v>5000</v>
      </c>
      <c r="E2676" s="80">
        <v>45682</v>
      </c>
      <c r="F2676">
        <v>3010111</v>
      </c>
      <c r="G2676">
        <v>3605</v>
      </c>
    </row>
    <row r="2677" spans="1:7" x14ac:dyDescent="0.3">
      <c r="A2677" s="80">
        <v>45689</v>
      </c>
      <c r="B2677">
        <v>3010200</v>
      </c>
      <c r="C2677">
        <v>8769</v>
      </c>
      <c r="E2677" s="80">
        <v>45682</v>
      </c>
      <c r="F2677">
        <v>3010111</v>
      </c>
      <c r="G2677">
        <v>1672</v>
      </c>
    </row>
    <row r="2678" spans="1:7" x14ac:dyDescent="0.3">
      <c r="A2678" s="80">
        <v>45689</v>
      </c>
      <c r="B2678">
        <v>3010200</v>
      </c>
      <c r="C2678">
        <v>5000</v>
      </c>
      <c r="E2678" s="80">
        <v>45682</v>
      </c>
      <c r="F2678">
        <v>3010111</v>
      </c>
      <c r="G2678">
        <v>0</v>
      </c>
    </row>
    <row r="2679" spans="1:7" x14ac:dyDescent="0.3">
      <c r="A2679" s="80">
        <v>45689</v>
      </c>
      <c r="B2679">
        <v>3010200</v>
      </c>
      <c r="C2679">
        <v>5000</v>
      </c>
      <c r="E2679" s="80">
        <v>45682</v>
      </c>
      <c r="F2679">
        <v>3010111</v>
      </c>
      <c r="G2679">
        <v>3689</v>
      </c>
    </row>
    <row r="2680" spans="1:7" x14ac:dyDescent="0.3">
      <c r="A2680" s="80">
        <v>45688</v>
      </c>
      <c r="B2680">
        <v>3010200</v>
      </c>
      <c r="C2680">
        <v>10000</v>
      </c>
      <c r="E2680" s="80">
        <v>45682</v>
      </c>
      <c r="F2680">
        <v>3010111</v>
      </c>
      <c r="G2680">
        <v>3941</v>
      </c>
    </row>
    <row r="2681" spans="1:7" x14ac:dyDescent="0.3">
      <c r="A2681" s="80">
        <v>45688</v>
      </c>
      <c r="B2681">
        <v>3010200</v>
      </c>
      <c r="C2681">
        <v>5000</v>
      </c>
      <c r="E2681" s="80">
        <v>45682</v>
      </c>
      <c r="F2681">
        <v>3010111</v>
      </c>
      <c r="G2681">
        <v>3689</v>
      </c>
    </row>
    <row r="2682" spans="1:7" x14ac:dyDescent="0.3">
      <c r="A2682" s="80">
        <v>45688</v>
      </c>
      <c r="B2682">
        <v>3010200</v>
      </c>
      <c r="C2682">
        <v>5000</v>
      </c>
      <c r="E2682" s="80">
        <v>45682</v>
      </c>
      <c r="F2682">
        <v>3010111</v>
      </c>
      <c r="G2682">
        <v>0</v>
      </c>
    </row>
    <row r="2683" spans="1:7" x14ac:dyDescent="0.3">
      <c r="A2683" s="80">
        <v>45688</v>
      </c>
      <c r="B2683">
        <v>3010200</v>
      </c>
      <c r="C2683">
        <v>8769</v>
      </c>
      <c r="E2683" s="80">
        <v>45682</v>
      </c>
      <c r="F2683">
        <v>3010111</v>
      </c>
      <c r="G2683">
        <v>0</v>
      </c>
    </row>
    <row r="2684" spans="1:7" x14ac:dyDescent="0.3">
      <c r="A2684" s="80">
        <v>45688</v>
      </c>
      <c r="B2684">
        <v>3010200</v>
      </c>
      <c r="C2684">
        <v>5000</v>
      </c>
      <c r="E2684" s="80">
        <v>45682</v>
      </c>
      <c r="F2684">
        <v>3010111</v>
      </c>
      <c r="G2684">
        <v>0</v>
      </c>
    </row>
    <row r="2685" spans="1:7" x14ac:dyDescent="0.3">
      <c r="A2685" s="80">
        <v>45688</v>
      </c>
      <c r="B2685">
        <v>3010200</v>
      </c>
      <c r="C2685">
        <v>5000</v>
      </c>
      <c r="E2685" s="80">
        <v>45682</v>
      </c>
      <c r="F2685">
        <v>3010111</v>
      </c>
      <c r="G2685">
        <v>1672</v>
      </c>
    </row>
    <row r="2686" spans="1:7" x14ac:dyDescent="0.3">
      <c r="A2686" s="80">
        <v>45687</v>
      </c>
      <c r="B2686">
        <v>3010200</v>
      </c>
      <c r="C2686">
        <v>5000</v>
      </c>
      <c r="E2686" s="80">
        <v>45682</v>
      </c>
      <c r="F2686">
        <v>3010111</v>
      </c>
      <c r="G2686">
        <v>3605</v>
      </c>
    </row>
    <row r="2687" spans="1:7" x14ac:dyDescent="0.3">
      <c r="A2687" s="80">
        <v>45687</v>
      </c>
      <c r="B2687">
        <v>3010200</v>
      </c>
      <c r="C2687">
        <v>8769</v>
      </c>
      <c r="E2687" s="80">
        <v>45682</v>
      </c>
      <c r="F2687">
        <v>3010111</v>
      </c>
      <c r="G2687">
        <v>1672</v>
      </c>
    </row>
    <row r="2688" spans="1:7" x14ac:dyDescent="0.3">
      <c r="A2688" s="80">
        <v>45687</v>
      </c>
      <c r="B2688">
        <v>3010200</v>
      </c>
      <c r="C2688">
        <v>5000</v>
      </c>
      <c r="E2688" s="80">
        <v>45681</v>
      </c>
      <c r="F2688">
        <v>3010111</v>
      </c>
      <c r="G2688">
        <v>1672</v>
      </c>
    </row>
    <row r="2689" spans="1:7" x14ac:dyDescent="0.3">
      <c r="A2689" s="80">
        <v>45687</v>
      </c>
      <c r="B2689">
        <v>3010200</v>
      </c>
      <c r="C2689">
        <v>5000</v>
      </c>
      <c r="E2689" s="80">
        <v>45681</v>
      </c>
      <c r="F2689">
        <v>3010111</v>
      </c>
      <c r="G2689">
        <v>0</v>
      </c>
    </row>
    <row r="2690" spans="1:7" x14ac:dyDescent="0.3">
      <c r="A2690" s="80">
        <v>45687</v>
      </c>
      <c r="B2690">
        <v>3010200</v>
      </c>
      <c r="C2690">
        <v>8769</v>
      </c>
      <c r="E2690" s="80">
        <v>45681</v>
      </c>
      <c r="F2690">
        <v>3010111</v>
      </c>
      <c r="G2690">
        <v>3185</v>
      </c>
    </row>
    <row r="2691" spans="1:7" x14ac:dyDescent="0.3">
      <c r="A2691" s="80">
        <v>45687</v>
      </c>
      <c r="B2691">
        <v>3010200</v>
      </c>
      <c r="C2691">
        <v>8769</v>
      </c>
      <c r="E2691" s="80">
        <v>45681</v>
      </c>
      <c r="F2691">
        <v>3010111</v>
      </c>
      <c r="G2691">
        <v>3521</v>
      </c>
    </row>
    <row r="2692" spans="1:7" x14ac:dyDescent="0.3">
      <c r="A2692" s="80">
        <v>45687</v>
      </c>
      <c r="B2692">
        <v>3010200</v>
      </c>
      <c r="C2692">
        <v>5000</v>
      </c>
      <c r="E2692" s="80">
        <v>45681</v>
      </c>
      <c r="F2692">
        <v>3010111</v>
      </c>
      <c r="G2692">
        <v>0</v>
      </c>
    </row>
    <row r="2693" spans="1:7" x14ac:dyDescent="0.3">
      <c r="A2693" s="80">
        <v>45687</v>
      </c>
      <c r="B2693">
        <v>3010200</v>
      </c>
      <c r="C2693">
        <v>8769</v>
      </c>
      <c r="E2693" s="80">
        <v>45681</v>
      </c>
      <c r="F2693">
        <v>3010111</v>
      </c>
      <c r="G2693">
        <v>5034</v>
      </c>
    </row>
    <row r="2694" spans="1:7" x14ac:dyDescent="0.3">
      <c r="A2694" s="80">
        <v>45687</v>
      </c>
      <c r="B2694">
        <v>3010200</v>
      </c>
      <c r="C2694">
        <v>5000</v>
      </c>
      <c r="E2694" s="80">
        <v>45681</v>
      </c>
      <c r="F2694">
        <v>3010111</v>
      </c>
      <c r="G2694">
        <v>1672</v>
      </c>
    </row>
    <row r="2695" spans="1:7" x14ac:dyDescent="0.3">
      <c r="A2695" s="80">
        <v>45687</v>
      </c>
      <c r="B2695">
        <v>3010200</v>
      </c>
      <c r="C2695">
        <v>5000</v>
      </c>
      <c r="E2695" s="80">
        <v>45681</v>
      </c>
      <c r="F2695">
        <v>3010111</v>
      </c>
      <c r="G2695">
        <v>0</v>
      </c>
    </row>
    <row r="2696" spans="1:7" x14ac:dyDescent="0.3">
      <c r="A2696" s="80">
        <v>45687</v>
      </c>
      <c r="B2696">
        <v>3010200</v>
      </c>
      <c r="C2696">
        <v>8769</v>
      </c>
      <c r="E2696" s="80">
        <v>45680</v>
      </c>
      <c r="F2696">
        <v>3010111</v>
      </c>
      <c r="G2696">
        <v>3017</v>
      </c>
    </row>
    <row r="2697" spans="1:7" x14ac:dyDescent="0.3">
      <c r="A2697" s="80">
        <v>45687</v>
      </c>
      <c r="B2697">
        <v>3010200</v>
      </c>
      <c r="C2697">
        <v>8769</v>
      </c>
      <c r="E2697" s="80">
        <v>45680</v>
      </c>
      <c r="F2697">
        <v>3010111</v>
      </c>
      <c r="G2697">
        <v>0</v>
      </c>
    </row>
    <row r="2698" spans="1:7" x14ac:dyDescent="0.3">
      <c r="A2698" s="80">
        <v>45687</v>
      </c>
      <c r="B2698">
        <v>3010200</v>
      </c>
      <c r="C2698">
        <v>5000</v>
      </c>
      <c r="E2698" s="80">
        <v>45680</v>
      </c>
      <c r="F2698">
        <v>3010111</v>
      </c>
      <c r="G2698">
        <v>1672</v>
      </c>
    </row>
    <row r="2699" spans="1:7" x14ac:dyDescent="0.3">
      <c r="A2699" s="80">
        <v>45687</v>
      </c>
      <c r="B2699">
        <v>3010200</v>
      </c>
      <c r="C2699">
        <v>5000</v>
      </c>
      <c r="E2699" s="80">
        <v>45680</v>
      </c>
      <c r="F2699">
        <v>3010111</v>
      </c>
      <c r="G2699">
        <v>3773</v>
      </c>
    </row>
    <row r="2700" spans="1:7" x14ac:dyDescent="0.3">
      <c r="A2700" s="80">
        <v>45687</v>
      </c>
      <c r="B2700">
        <v>3010200</v>
      </c>
      <c r="C2700">
        <v>5000</v>
      </c>
      <c r="E2700" s="80">
        <v>45680</v>
      </c>
      <c r="F2700">
        <v>3010111</v>
      </c>
      <c r="G2700">
        <v>3521</v>
      </c>
    </row>
    <row r="2701" spans="1:7" x14ac:dyDescent="0.3">
      <c r="A2701" s="80">
        <v>45687</v>
      </c>
      <c r="B2701">
        <v>3010200</v>
      </c>
      <c r="C2701">
        <v>5000</v>
      </c>
      <c r="E2701" s="80">
        <v>45680</v>
      </c>
      <c r="F2701">
        <v>3010111</v>
      </c>
      <c r="G2701">
        <v>1672</v>
      </c>
    </row>
    <row r="2702" spans="1:7" x14ac:dyDescent="0.3">
      <c r="A2702" s="80">
        <v>45687</v>
      </c>
      <c r="B2702">
        <v>3010200</v>
      </c>
      <c r="C2702">
        <v>5000</v>
      </c>
      <c r="E2702" s="80">
        <v>45680</v>
      </c>
      <c r="F2702">
        <v>3010111</v>
      </c>
      <c r="G2702">
        <v>0</v>
      </c>
    </row>
    <row r="2703" spans="1:7" x14ac:dyDescent="0.3">
      <c r="A2703" s="80">
        <v>45686</v>
      </c>
      <c r="B2703">
        <v>3010200</v>
      </c>
      <c r="C2703">
        <v>10000</v>
      </c>
      <c r="E2703" s="80">
        <v>45679</v>
      </c>
      <c r="F2703">
        <v>3010111</v>
      </c>
      <c r="G2703">
        <v>5118</v>
      </c>
    </row>
    <row r="2704" spans="1:7" x14ac:dyDescent="0.3">
      <c r="A2704" s="80">
        <v>45686</v>
      </c>
      <c r="B2704">
        <v>3010200</v>
      </c>
      <c r="C2704">
        <v>5000</v>
      </c>
      <c r="E2704" s="80">
        <v>45679</v>
      </c>
      <c r="F2704">
        <v>3010111</v>
      </c>
      <c r="G2704">
        <v>1672</v>
      </c>
    </row>
    <row r="2705" spans="1:7" x14ac:dyDescent="0.3">
      <c r="A2705" s="80">
        <v>45686</v>
      </c>
      <c r="B2705">
        <v>3010200</v>
      </c>
      <c r="C2705">
        <v>5000</v>
      </c>
      <c r="E2705" s="80">
        <v>45679</v>
      </c>
      <c r="F2705">
        <v>3010111</v>
      </c>
      <c r="G2705">
        <v>1672</v>
      </c>
    </row>
    <row r="2706" spans="1:7" x14ac:dyDescent="0.3">
      <c r="A2706" s="80">
        <v>45686</v>
      </c>
      <c r="B2706">
        <v>3010200</v>
      </c>
      <c r="C2706">
        <v>5000</v>
      </c>
      <c r="E2706" s="80">
        <v>45679</v>
      </c>
      <c r="F2706">
        <v>3010111</v>
      </c>
      <c r="G2706">
        <v>0</v>
      </c>
    </row>
    <row r="2707" spans="1:7" x14ac:dyDescent="0.3">
      <c r="A2707" s="80">
        <v>45686</v>
      </c>
      <c r="B2707">
        <v>3010200</v>
      </c>
      <c r="C2707">
        <v>5000</v>
      </c>
      <c r="E2707" s="80">
        <v>45679</v>
      </c>
      <c r="F2707">
        <v>3010111</v>
      </c>
      <c r="G2707">
        <v>0</v>
      </c>
    </row>
    <row r="2708" spans="1:7" x14ac:dyDescent="0.3">
      <c r="A2708" s="80">
        <v>45686</v>
      </c>
      <c r="B2708">
        <v>3010200</v>
      </c>
      <c r="C2708">
        <v>5000</v>
      </c>
      <c r="E2708" s="80">
        <v>45679</v>
      </c>
      <c r="F2708">
        <v>3010111</v>
      </c>
      <c r="G2708">
        <v>1672</v>
      </c>
    </row>
    <row r="2709" spans="1:7" x14ac:dyDescent="0.3">
      <c r="A2709" s="80">
        <v>45686</v>
      </c>
      <c r="B2709">
        <v>3010200</v>
      </c>
      <c r="C2709">
        <v>5000</v>
      </c>
      <c r="E2709" s="80">
        <v>45679</v>
      </c>
      <c r="F2709">
        <v>3010111</v>
      </c>
      <c r="G2709">
        <v>0</v>
      </c>
    </row>
    <row r="2710" spans="1:7" x14ac:dyDescent="0.3">
      <c r="A2710" s="80">
        <v>45686</v>
      </c>
      <c r="B2710">
        <v>3010200</v>
      </c>
      <c r="C2710">
        <v>5000</v>
      </c>
      <c r="E2710" s="80">
        <v>45679</v>
      </c>
      <c r="F2710">
        <v>3010111</v>
      </c>
      <c r="G2710">
        <v>1672</v>
      </c>
    </row>
    <row r="2711" spans="1:7" x14ac:dyDescent="0.3">
      <c r="A2711" s="80">
        <v>45686</v>
      </c>
      <c r="B2711">
        <v>3010200</v>
      </c>
      <c r="C2711">
        <v>5000</v>
      </c>
      <c r="E2711" s="80">
        <v>45679</v>
      </c>
      <c r="F2711">
        <v>3010111</v>
      </c>
      <c r="G2711">
        <v>1672</v>
      </c>
    </row>
    <row r="2712" spans="1:7" x14ac:dyDescent="0.3">
      <c r="A2712" s="80">
        <v>45686</v>
      </c>
      <c r="B2712">
        <v>3010200</v>
      </c>
      <c r="C2712">
        <v>5000</v>
      </c>
      <c r="E2712" s="80">
        <v>45678</v>
      </c>
      <c r="F2712">
        <v>3010111</v>
      </c>
      <c r="G2712">
        <v>1672</v>
      </c>
    </row>
    <row r="2713" spans="1:7" x14ac:dyDescent="0.3">
      <c r="A2713" s="80">
        <v>45686</v>
      </c>
      <c r="B2713">
        <v>3010200</v>
      </c>
      <c r="C2713">
        <v>5000</v>
      </c>
      <c r="E2713" s="80">
        <v>45678</v>
      </c>
      <c r="F2713">
        <v>3010111</v>
      </c>
      <c r="G2713">
        <v>3353</v>
      </c>
    </row>
    <row r="2714" spans="1:7" x14ac:dyDescent="0.3">
      <c r="A2714" s="80">
        <v>45686</v>
      </c>
      <c r="B2714">
        <v>3010200</v>
      </c>
      <c r="C2714">
        <v>5000</v>
      </c>
      <c r="E2714" s="80">
        <v>45678</v>
      </c>
      <c r="F2714">
        <v>3010111</v>
      </c>
      <c r="G2714">
        <v>0</v>
      </c>
    </row>
    <row r="2715" spans="1:7" x14ac:dyDescent="0.3">
      <c r="A2715" s="80">
        <v>45685</v>
      </c>
      <c r="B2715">
        <v>3010200</v>
      </c>
      <c r="C2715">
        <v>5000</v>
      </c>
      <c r="E2715" s="80">
        <v>45678</v>
      </c>
      <c r="F2715">
        <v>3010111</v>
      </c>
      <c r="G2715">
        <v>3941</v>
      </c>
    </row>
    <row r="2716" spans="1:7" x14ac:dyDescent="0.3">
      <c r="A2716" s="80">
        <v>45685</v>
      </c>
      <c r="B2716">
        <v>3010200</v>
      </c>
      <c r="C2716">
        <v>5000</v>
      </c>
      <c r="E2716" s="80">
        <v>45678</v>
      </c>
      <c r="F2716">
        <v>3010111</v>
      </c>
      <c r="G2716">
        <v>1672</v>
      </c>
    </row>
    <row r="2717" spans="1:7" x14ac:dyDescent="0.3">
      <c r="A2717" s="80">
        <v>45685</v>
      </c>
      <c r="B2717">
        <v>3010200</v>
      </c>
      <c r="C2717">
        <v>5000</v>
      </c>
      <c r="E2717" s="80">
        <v>45678</v>
      </c>
      <c r="F2717">
        <v>3010111</v>
      </c>
      <c r="G2717">
        <v>1672</v>
      </c>
    </row>
    <row r="2718" spans="1:7" x14ac:dyDescent="0.3">
      <c r="A2718" s="80">
        <v>45685</v>
      </c>
      <c r="B2718">
        <v>3010200</v>
      </c>
      <c r="C2718">
        <v>5000</v>
      </c>
      <c r="E2718" s="80">
        <v>45678</v>
      </c>
      <c r="F2718">
        <v>3010111</v>
      </c>
      <c r="G2718">
        <v>1672</v>
      </c>
    </row>
    <row r="2719" spans="1:7" x14ac:dyDescent="0.3">
      <c r="A2719" s="80">
        <v>45685</v>
      </c>
      <c r="B2719">
        <v>3010200</v>
      </c>
      <c r="C2719">
        <v>5000</v>
      </c>
      <c r="E2719" s="80">
        <v>45678</v>
      </c>
      <c r="F2719">
        <v>3010111</v>
      </c>
      <c r="G2719">
        <v>1672</v>
      </c>
    </row>
    <row r="2720" spans="1:7" x14ac:dyDescent="0.3">
      <c r="A2720" s="80">
        <v>45685</v>
      </c>
      <c r="B2720">
        <v>3010200</v>
      </c>
      <c r="C2720">
        <v>5000</v>
      </c>
      <c r="E2720" s="80">
        <v>45678</v>
      </c>
      <c r="F2720">
        <v>3010111</v>
      </c>
      <c r="G2720">
        <v>1672</v>
      </c>
    </row>
    <row r="2721" spans="1:7" x14ac:dyDescent="0.3">
      <c r="A2721" s="80">
        <v>45685</v>
      </c>
      <c r="B2721">
        <v>3010200</v>
      </c>
      <c r="C2721">
        <v>5000</v>
      </c>
      <c r="E2721" s="80">
        <v>45678</v>
      </c>
      <c r="F2721">
        <v>3010111</v>
      </c>
      <c r="G2721">
        <v>3521</v>
      </c>
    </row>
    <row r="2722" spans="1:7" x14ac:dyDescent="0.3">
      <c r="A2722" s="80">
        <v>45685</v>
      </c>
      <c r="B2722">
        <v>3010200</v>
      </c>
      <c r="C2722">
        <v>5000</v>
      </c>
      <c r="E2722" s="80">
        <v>45678</v>
      </c>
      <c r="F2722">
        <v>3010111</v>
      </c>
      <c r="G2722">
        <v>1672</v>
      </c>
    </row>
    <row r="2723" spans="1:7" x14ac:dyDescent="0.3">
      <c r="A2723" s="80">
        <v>45684</v>
      </c>
      <c r="B2723">
        <v>3010200</v>
      </c>
      <c r="C2723">
        <v>5000</v>
      </c>
      <c r="E2723" s="80">
        <v>45678</v>
      </c>
      <c r="F2723">
        <v>3010111</v>
      </c>
      <c r="G2723">
        <v>1672</v>
      </c>
    </row>
    <row r="2724" spans="1:7" x14ac:dyDescent="0.3">
      <c r="A2724" s="80">
        <v>45684</v>
      </c>
      <c r="B2724">
        <v>3010200</v>
      </c>
      <c r="C2724">
        <v>5000</v>
      </c>
      <c r="E2724" s="80">
        <v>45678</v>
      </c>
      <c r="F2724">
        <v>3010111</v>
      </c>
      <c r="G2724">
        <v>1672</v>
      </c>
    </row>
    <row r="2725" spans="1:7" x14ac:dyDescent="0.3">
      <c r="A2725" s="80">
        <v>45684</v>
      </c>
      <c r="B2725">
        <v>3010200</v>
      </c>
      <c r="C2725">
        <v>5000</v>
      </c>
      <c r="E2725" s="80">
        <v>45678</v>
      </c>
      <c r="F2725">
        <v>3010111</v>
      </c>
      <c r="G2725">
        <v>3185</v>
      </c>
    </row>
    <row r="2726" spans="1:7" x14ac:dyDescent="0.3">
      <c r="A2726" s="80">
        <v>45684</v>
      </c>
      <c r="B2726">
        <v>3010200</v>
      </c>
      <c r="C2726">
        <v>5000</v>
      </c>
      <c r="E2726" s="80">
        <v>45677</v>
      </c>
      <c r="F2726">
        <v>3010111</v>
      </c>
      <c r="G2726">
        <v>1672</v>
      </c>
    </row>
    <row r="2727" spans="1:7" x14ac:dyDescent="0.3">
      <c r="A2727" s="80">
        <v>45684</v>
      </c>
      <c r="B2727">
        <v>3010200</v>
      </c>
      <c r="C2727">
        <v>5000</v>
      </c>
      <c r="E2727" s="80">
        <v>45677</v>
      </c>
      <c r="F2727">
        <v>3010111</v>
      </c>
      <c r="G2727">
        <v>4025</v>
      </c>
    </row>
    <row r="2728" spans="1:7" x14ac:dyDescent="0.3">
      <c r="A2728" s="80">
        <v>45684</v>
      </c>
      <c r="B2728">
        <v>3010200</v>
      </c>
      <c r="C2728">
        <v>5000</v>
      </c>
      <c r="E2728" s="80">
        <v>45677</v>
      </c>
      <c r="F2728">
        <v>3010111</v>
      </c>
      <c r="G2728">
        <v>1672</v>
      </c>
    </row>
    <row r="2729" spans="1:7" x14ac:dyDescent="0.3">
      <c r="A2729" s="80">
        <v>45684</v>
      </c>
      <c r="B2729">
        <v>3010200</v>
      </c>
      <c r="C2729">
        <v>10000</v>
      </c>
      <c r="E2729" s="80">
        <v>45677</v>
      </c>
      <c r="F2729">
        <v>3010111</v>
      </c>
      <c r="G2729">
        <v>0</v>
      </c>
    </row>
    <row r="2730" spans="1:7" x14ac:dyDescent="0.3">
      <c r="A2730" s="80">
        <v>45684</v>
      </c>
      <c r="B2730">
        <v>3010200</v>
      </c>
      <c r="C2730">
        <v>5000</v>
      </c>
      <c r="E2730" s="80">
        <v>45677</v>
      </c>
      <c r="F2730">
        <v>3010111</v>
      </c>
      <c r="G2730">
        <v>1672</v>
      </c>
    </row>
    <row r="2731" spans="1:7" x14ac:dyDescent="0.3">
      <c r="A2731" s="80">
        <v>45683</v>
      </c>
      <c r="B2731">
        <v>3010200</v>
      </c>
      <c r="C2731">
        <v>5000</v>
      </c>
      <c r="E2731" s="80">
        <v>45677</v>
      </c>
      <c r="F2731">
        <v>3010111</v>
      </c>
      <c r="G2731">
        <v>1672</v>
      </c>
    </row>
    <row r="2732" spans="1:7" x14ac:dyDescent="0.3">
      <c r="A2732" s="80">
        <v>45683</v>
      </c>
      <c r="B2732">
        <v>3010200</v>
      </c>
      <c r="C2732">
        <v>5000</v>
      </c>
      <c r="E2732" s="80">
        <v>45676</v>
      </c>
      <c r="F2732">
        <v>3010111</v>
      </c>
      <c r="G2732">
        <v>1672</v>
      </c>
    </row>
    <row r="2733" spans="1:7" x14ac:dyDescent="0.3">
      <c r="A2733" s="80">
        <v>45683</v>
      </c>
      <c r="B2733">
        <v>3010200</v>
      </c>
      <c r="C2733">
        <v>5000</v>
      </c>
      <c r="E2733" s="80">
        <v>45676</v>
      </c>
      <c r="F2733">
        <v>3010111</v>
      </c>
      <c r="G2733">
        <v>5790</v>
      </c>
    </row>
    <row r="2734" spans="1:7" x14ac:dyDescent="0.3">
      <c r="A2734" s="80">
        <v>45683</v>
      </c>
      <c r="B2734">
        <v>3010200</v>
      </c>
      <c r="C2734">
        <v>5000</v>
      </c>
      <c r="E2734" s="80">
        <v>45676</v>
      </c>
      <c r="F2734">
        <v>3010111</v>
      </c>
      <c r="G2734">
        <v>0</v>
      </c>
    </row>
    <row r="2735" spans="1:7" x14ac:dyDescent="0.3">
      <c r="A2735" s="80">
        <v>45683</v>
      </c>
      <c r="B2735">
        <v>3010200</v>
      </c>
      <c r="C2735">
        <v>5000</v>
      </c>
      <c r="E2735" s="80">
        <v>45676</v>
      </c>
      <c r="F2735">
        <v>3010111</v>
      </c>
      <c r="G2735">
        <v>1672</v>
      </c>
    </row>
    <row r="2736" spans="1:7" x14ac:dyDescent="0.3">
      <c r="A2736" s="80">
        <v>45683</v>
      </c>
      <c r="B2736">
        <v>3010200</v>
      </c>
      <c r="C2736">
        <v>5000</v>
      </c>
      <c r="E2736" s="80">
        <v>45676</v>
      </c>
      <c r="F2736">
        <v>3010111</v>
      </c>
      <c r="G2736">
        <v>1672</v>
      </c>
    </row>
    <row r="2737" spans="1:7" x14ac:dyDescent="0.3">
      <c r="A2737" s="80">
        <v>45683</v>
      </c>
      <c r="B2737">
        <v>3010200</v>
      </c>
      <c r="C2737">
        <v>5000</v>
      </c>
      <c r="E2737" s="80">
        <v>45676</v>
      </c>
      <c r="F2737">
        <v>3010111</v>
      </c>
      <c r="G2737">
        <v>3689</v>
      </c>
    </row>
    <row r="2738" spans="1:7" x14ac:dyDescent="0.3">
      <c r="A2738" s="80">
        <v>45683</v>
      </c>
      <c r="B2738">
        <v>3010200</v>
      </c>
      <c r="C2738">
        <v>5000</v>
      </c>
      <c r="E2738" s="80">
        <v>45676</v>
      </c>
      <c r="F2738">
        <v>3010111</v>
      </c>
      <c r="G2738">
        <v>3521</v>
      </c>
    </row>
    <row r="2739" spans="1:7" x14ac:dyDescent="0.3">
      <c r="A2739" s="80">
        <v>45682</v>
      </c>
      <c r="B2739">
        <v>3010200</v>
      </c>
      <c r="C2739">
        <v>5000</v>
      </c>
      <c r="E2739" s="80">
        <v>45676</v>
      </c>
      <c r="F2739">
        <v>3010111</v>
      </c>
      <c r="G2739">
        <v>1672</v>
      </c>
    </row>
    <row r="2740" spans="1:7" x14ac:dyDescent="0.3">
      <c r="A2740" s="80">
        <v>45682</v>
      </c>
      <c r="B2740">
        <v>3010200</v>
      </c>
      <c r="C2740">
        <v>5000</v>
      </c>
      <c r="E2740" s="80">
        <v>45676</v>
      </c>
      <c r="F2740">
        <v>3010111</v>
      </c>
      <c r="G2740">
        <v>0</v>
      </c>
    </row>
    <row r="2741" spans="1:7" x14ac:dyDescent="0.3">
      <c r="A2741" s="80">
        <v>45682</v>
      </c>
      <c r="B2741">
        <v>3010200</v>
      </c>
      <c r="C2741">
        <v>5000</v>
      </c>
      <c r="E2741" s="80">
        <v>45676</v>
      </c>
      <c r="F2741">
        <v>3010111</v>
      </c>
      <c r="G2741">
        <v>1672</v>
      </c>
    </row>
    <row r="2742" spans="1:7" x14ac:dyDescent="0.3">
      <c r="A2742" s="80">
        <v>45682</v>
      </c>
      <c r="B2742">
        <v>3010200</v>
      </c>
      <c r="C2742">
        <v>5000</v>
      </c>
      <c r="E2742" s="80">
        <v>45676</v>
      </c>
      <c r="F2742">
        <v>3010111</v>
      </c>
      <c r="G2742">
        <v>0</v>
      </c>
    </row>
    <row r="2743" spans="1:7" x14ac:dyDescent="0.3">
      <c r="A2743" s="80">
        <v>45682</v>
      </c>
      <c r="B2743">
        <v>3010200</v>
      </c>
      <c r="C2743">
        <v>5000</v>
      </c>
      <c r="E2743" s="80">
        <v>45676</v>
      </c>
      <c r="F2743">
        <v>3010111</v>
      </c>
      <c r="G2743">
        <v>0</v>
      </c>
    </row>
    <row r="2744" spans="1:7" x14ac:dyDescent="0.3">
      <c r="A2744" s="80">
        <v>45682</v>
      </c>
      <c r="B2744">
        <v>3010200</v>
      </c>
      <c r="C2744">
        <v>5000</v>
      </c>
      <c r="E2744" s="80">
        <v>45676</v>
      </c>
      <c r="F2744">
        <v>3010111</v>
      </c>
      <c r="G2744">
        <v>0</v>
      </c>
    </row>
    <row r="2745" spans="1:7" x14ac:dyDescent="0.3">
      <c r="A2745" s="80">
        <v>45682</v>
      </c>
      <c r="B2745">
        <v>3010200</v>
      </c>
      <c r="C2745">
        <v>5000</v>
      </c>
      <c r="E2745" s="80">
        <v>45676</v>
      </c>
      <c r="F2745">
        <v>3010111</v>
      </c>
      <c r="G2745">
        <v>1672</v>
      </c>
    </row>
    <row r="2746" spans="1:7" x14ac:dyDescent="0.3">
      <c r="A2746" s="80">
        <v>45682</v>
      </c>
      <c r="B2746">
        <v>3010200</v>
      </c>
      <c r="C2746">
        <v>5000</v>
      </c>
      <c r="E2746" s="80">
        <v>45676</v>
      </c>
      <c r="F2746">
        <v>3010111</v>
      </c>
      <c r="G2746">
        <v>3941</v>
      </c>
    </row>
    <row r="2747" spans="1:7" x14ac:dyDescent="0.3">
      <c r="A2747" s="80">
        <v>45682</v>
      </c>
      <c r="B2747">
        <v>3010200</v>
      </c>
      <c r="C2747">
        <v>5000</v>
      </c>
      <c r="E2747" s="80">
        <v>45676</v>
      </c>
      <c r="F2747">
        <v>3010111</v>
      </c>
      <c r="G2747">
        <v>1672</v>
      </c>
    </row>
    <row r="2748" spans="1:7" x14ac:dyDescent="0.3">
      <c r="A2748" s="80">
        <v>45682</v>
      </c>
      <c r="B2748">
        <v>3010200</v>
      </c>
      <c r="C2748">
        <v>5000</v>
      </c>
      <c r="E2748" s="80">
        <v>45676</v>
      </c>
      <c r="F2748">
        <v>3010111</v>
      </c>
      <c r="G2748">
        <v>3353</v>
      </c>
    </row>
    <row r="2749" spans="1:7" x14ac:dyDescent="0.3">
      <c r="A2749" s="80">
        <v>45682</v>
      </c>
      <c r="B2749">
        <v>3010200</v>
      </c>
      <c r="C2749">
        <v>5000</v>
      </c>
      <c r="E2749" s="80">
        <v>45676</v>
      </c>
      <c r="F2749">
        <v>3010111</v>
      </c>
      <c r="G2749">
        <v>1672</v>
      </c>
    </row>
    <row r="2750" spans="1:7" x14ac:dyDescent="0.3">
      <c r="A2750" s="80">
        <v>45682</v>
      </c>
      <c r="B2750">
        <v>3010200</v>
      </c>
      <c r="C2750">
        <v>5000</v>
      </c>
      <c r="E2750" s="80">
        <v>45675</v>
      </c>
      <c r="F2750">
        <v>3010111</v>
      </c>
      <c r="G2750">
        <v>1672</v>
      </c>
    </row>
    <row r="2751" spans="1:7" x14ac:dyDescent="0.3">
      <c r="A2751" s="80">
        <v>45682</v>
      </c>
      <c r="B2751">
        <v>3010200</v>
      </c>
      <c r="C2751">
        <v>5000</v>
      </c>
      <c r="E2751" s="80">
        <v>45675</v>
      </c>
      <c r="F2751">
        <v>3010111</v>
      </c>
      <c r="G2751">
        <v>0</v>
      </c>
    </row>
    <row r="2752" spans="1:7" x14ac:dyDescent="0.3">
      <c r="A2752" s="80">
        <v>45682</v>
      </c>
      <c r="B2752">
        <v>3010200</v>
      </c>
      <c r="C2752">
        <v>5000</v>
      </c>
      <c r="E2752" s="80">
        <v>45675</v>
      </c>
      <c r="F2752">
        <v>3010111</v>
      </c>
      <c r="G2752">
        <v>3017</v>
      </c>
    </row>
    <row r="2753" spans="1:7" x14ac:dyDescent="0.3">
      <c r="A2753" s="80">
        <v>45682</v>
      </c>
      <c r="B2753">
        <v>3010200</v>
      </c>
      <c r="C2753">
        <v>5000</v>
      </c>
      <c r="E2753" s="80">
        <v>45675</v>
      </c>
      <c r="F2753">
        <v>3010111</v>
      </c>
      <c r="G2753">
        <v>0</v>
      </c>
    </row>
    <row r="2754" spans="1:7" x14ac:dyDescent="0.3">
      <c r="A2754" s="80">
        <v>45681</v>
      </c>
      <c r="B2754">
        <v>3010200</v>
      </c>
      <c r="C2754">
        <v>5000</v>
      </c>
      <c r="E2754" s="80">
        <v>45675</v>
      </c>
      <c r="F2754">
        <v>3010111</v>
      </c>
      <c r="G2754">
        <v>3521</v>
      </c>
    </row>
    <row r="2755" spans="1:7" x14ac:dyDescent="0.3">
      <c r="A2755" s="80">
        <v>45681</v>
      </c>
      <c r="B2755">
        <v>3010200</v>
      </c>
      <c r="C2755">
        <v>5000</v>
      </c>
      <c r="E2755" s="80">
        <v>45675</v>
      </c>
      <c r="F2755">
        <v>3010111</v>
      </c>
      <c r="G2755">
        <v>0</v>
      </c>
    </row>
    <row r="2756" spans="1:7" x14ac:dyDescent="0.3">
      <c r="A2756" s="80">
        <v>45681</v>
      </c>
      <c r="B2756">
        <v>3010200</v>
      </c>
      <c r="C2756">
        <v>5000</v>
      </c>
      <c r="E2756" s="80">
        <v>45675</v>
      </c>
      <c r="F2756">
        <v>3010111</v>
      </c>
      <c r="G2756">
        <v>1672</v>
      </c>
    </row>
    <row r="2757" spans="1:7" x14ac:dyDescent="0.3">
      <c r="A2757" s="80">
        <v>45681</v>
      </c>
      <c r="B2757">
        <v>3010200</v>
      </c>
      <c r="C2757">
        <v>5000</v>
      </c>
      <c r="E2757" s="80">
        <v>45675</v>
      </c>
      <c r="F2757">
        <v>3010111</v>
      </c>
      <c r="G2757">
        <v>1672</v>
      </c>
    </row>
    <row r="2758" spans="1:7" x14ac:dyDescent="0.3">
      <c r="A2758" s="80">
        <v>45681</v>
      </c>
      <c r="B2758">
        <v>3010200</v>
      </c>
      <c r="C2758">
        <v>5000</v>
      </c>
      <c r="E2758" s="80">
        <v>45675</v>
      </c>
      <c r="F2758">
        <v>3010111</v>
      </c>
      <c r="G2758">
        <v>1672</v>
      </c>
    </row>
    <row r="2759" spans="1:7" x14ac:dyDescent="0.3">
      <c r="A2759" s="80">
        <v>45681</v>
      </c>
      <c r="B2759">
        <v>3010200</v>
      </c>
      <c r="C2759">
        <v>5000</v>
      </c>
      <c r="E2759" s="80">
        <v>45675</v>
      </c>
      <c r="F2759">
        <v>3010111</v>
      </c>
      <c r="G2759">
        <v>1672</v>
      </c>
    </row>
    <row r="2760" spans="1:7" x14ac:dyDescent="0.3">
      <c r="A2760" s="80">
        <v>45681</v>
      </c>
      <c r="B2760">
        <v>3010200</v>
      </c>
      <c r="C2760">
        <v>5000</v>
      </c>
      <c r="E2760" s="80">
        <v>45675</v>
      </c>
      <c r="F2760">
        <v>3010111</v>
      </c>
      <c r="G2760">
        <v>5370</v>
      </c>
    </row>
    <row r="2761" spans="1:7" x14ac:dyDescent="0.3">
      <c r="A2761" s="80">
        <v>45681</v>
      </c>
      <c r="B2761">
        <v>3010200</v>
      </c>
      <c r="C2761">
        <v>5000</v>
      </c>
      <c r="E2761" s="80">
        <v>45674</v>
      </c>
      <c r="F2761">
        <v>3010111</v>
      </c>
      <c r="G2761">
        <v>5706</v>
      </c>
    </row>
    <row r="2762" spans="1:7" x14ac:dyDescent="0.3">
      <c r="A2762" s="80">
        <v>45680</v>
      </c>
      <c r="B2762">
        <v>3010200</v>
      </c>
      <c r="C2762">
        <v>5000</v>
      </c>
      <c r="E2762" s="80">
        <v>45674</v>
      </c>
      <c r="F2762">
        <v>3010111</v>
      </c>
      <c r="G2762">
        <v>0</v>
      </c>
    </row>
    <row r="2763" spans="1:7" x14ac:dyDescent="0.3">
      <c r="A2763" s="80">
        <v>45680</v>
      </c>
      <c r="B2763">
        <v>3010200</v>
      </c>
      <c r="C2763">
        <v>5000</v>
      </c>
      <c r="E2763" s="80">
        <v>45674</v>
      </c>
      <c r="F2763">
        <v>3010111</v>
      </c>
      <c r="G2763">
        <v>0</v>
      </c>
    </row>
    <row r="2764" spans="1:7" x14ac:dyDescent="0.3">
      <c r="A2764" s="80">
        <v>45680</v>
      </c>
      <c r="B2764">
        <v>3010200</v>
      </c>
      <c r="C2764">
        <v>5000</v>
      </c>
      <c r="E2764" s="80">
        <v>45674</v>
      </c>
      <c r="F2764">
        <v>3010111</v>
      </c>
      <c r="G2764">
        <v>1672</v>
      </c>
    </row>
    <row r="2765" spans="1:7" x14ac:dyDescent="0.3">
      <c r="A2765" s="80">
        <v>45680</v>
      </c>
      <c r="B2765">
        <v>3010200</v>
      </c>
      <c r="C2765">
        <v>5000</v>
      </c>
      <c r="E2765" s="80">
        <v>45674</v>
      </c>
      <c r="F2765">
        <v>3010111</v>
      </c>
      <c r="G2765">
        <v>3017</v>
      </c>
    </row>
    <row r="2766" spans="1:7" x14ac:dyDescent="0.3">
      <c r="A2766" s="80">
        <v>45680</v>
      </c>
      <c r="B2766">
        <v>3010200</v>
      </c>
      <c r="C2766">
        <v>5000</v>
      </c>
      <c r="E2766" s="80">
        <v>45674</v>
      </c>
      <c r="F2766">
        <v>3010111</v>
      </c>
      <c r="G2766">
        <v>0</v>
      </c>
    </row>
    <row r="2767" spans="1:7" x14ac:dyDescent="0.3">
      <c r="A2767" s="80">
        <v>45680</v>
      </c>
      <c r="B2767">
        <v>3010200</v>
      </c>
      <c r="C2767">
        <v>5000</v>
      </c>
      <c r="E2767" s="80">
        <v>45674</v>
      </c>
      <c r="F2767">
        <v>3010111</v>
      </c>
      <c r="G2767">
        <v>1672</v>
      </c>
    </row>
    <row r="2768" spans="1:7" x14ac:dyDescent="0.3">
      <c r="A2768" s="80">
        <v>45680</v>
      </c>
      <c r="B2768">
        <v>3010200</v>
      </c>
      <c r="C2768">
        <v>5000</v>
      </c>
      <c r="E2768" s="80">
        <v>45674</v>
      </c>
      <c r="F2768">
        <v>3010111</v>
      </c>
      <c r="G2768">
        <v>4193</v>
      </c>
    </row>
    <row r="2769" spans="1:7" x14ac:dyDescent="0.3">
      <c r="A2769" s="80">
        <v>45679</v>
      </c>
      <c r="B2769">
        <v>3010200</v>
      </c>
      <c r="C2769">
        <v>5000</v>
      </c>
      <c r="E2769" s="80">
        <v>45674</v>
      </c>
      <c r="F2769">
        <v>3010111</v>
      </c>
      <c r="G2769">
        <v>0</v>
      </c>
    </row>
    <row r="2770" spans="1:7" x14ac:dyDescent="0.3">
      <c r="A2770" s="80">
        <v>45679</v>
      </c>
      <c r="B2770">
        <v>3010200</v>
      </c>
      <c r="C2770">
        <v>5000</v>
      </c>
      <c r="E2770" s="80">
        <v>45674</v>
      </c>
      <c r="F2770">
        <v>3010111</v>
      </c>
      <c r="G2770">
        <v>0</v>
      </c>
    </row>
    <row r="2771" spans="1:7" x14ac:dyDescent="0.3">
      <c r="A2771" s="80">
        <v>45679</v>
      </c>
      <c r="B2771">
        <v>3010200</v>
      </c>
      <c r="C2771">
        <v>5000</v>
      </c>
      <c r="E2771" s="80">
        <v>45674</v>
      </c>
      <c r="F2771">
        <v>3010111</v>
      </c>
      <c r="G2771">
        <v>1672</v>
      </c>
    </row>
    <row r="2772" spans="1:7" x14ac:dyDescent="0.3">
      <c r="A2772" s="80">
        <v>45679</v>
      </c>
      <c r="B2772">
        <v>3010200</v>
      </c>
      <c r="C2772">
        <v>5000</v>
      </c>
      <c r="E2772" s="80">
        <v>45673</v>
      </c>
      <c r="F2772">
        <v>3010111</v>
      </c>
      <c r="G2772">
        <v>1672</v>
      </c>
    </row>
    <row r="2773" spans="1:7" x14ac:dyDescent="0.3">
      <c r="A2773" s="80">
        <v>45679</v>
      </c>
      <c r="B2773">
        <v>3010200</v>
      </c>
      <c r="C2773">
        <v>5000</v>
      </c>
      <c r="E2773" s="80">
        <v>45673</v>
      </c>
      <c r="F2773">
        <v>3010111</v>
      </c>
      <c r="G2773">
        <v>1672</v>
      </c>
    </row>
    <row r="2774" spans="1:7" x14ac:dyDescent="0.3">
      <c r="A2774" s="80">
        <v>45679</v>
      </c>
      <c r="B2774">
        <v>3010200</v>
      </c>
      <c r="C2774">
        <v>5000</v>
      </c>
      <c r="E2774" s="80">
        <v>45673</v>
      </c>
      <c r="F2774">
        <v>3010111</v>
      </c>
      <c r="G2774">
        <v>1672</v>
      </c>
    </row>
    <row r="2775" spans="1:7" x14ac:dyDescent="0.3">
      <c r="A2775" s="80">
        <v>45679</v>
      </c>
      <c r="B2775">
        <v>3010200</v>
      </c>
      <c r="C2775">
        <v>10000</v>
      </c>
      <c r="E2775" s="80">
        <v>45673</v>
      </c>
      <c r="F2775">
        <v>3010111</v>
      </c>
      <c r="G2775">
        <v>1672</v>
      </c>
    </row>
    <row r="2776" spans="1:7" x14ac:dyDescent="0.3">
      <c r="A2776" s="80">
        <v>45679</v>
      </c>
      <c r="B2776">
        <v>3010200</v>
      </c>
      <c r="C2776">
        <v>5000</v>
      </c>
      <c r="E2776" s="80">
        <v>45673</v>
      </c>
      <c r="F2776">
        <v>3010111</v>
      </c>
      <c r="G2776">
        <v>1672</v>
      </c>
    </row>
    <row r="2777" spans="1:7" x14ac:dyDescent="0.3">
      <c r="A2777" s="80">
        <v>45679</v>
      </c>
      <c r="B2777">
        <v>3010200</v>
      </c>
      <c r="C2777">
        <v>5000</v>
      </c>
      <c r="E2777" s="80">
        <v>45673</v>
      </c>
      <c r="F2777">
        <v>3010111</v>
      </c>
      <c r="G2777">
        <v>0</v>
      </c>
    </row>
    <row r="2778" spans="1:7" x14ac:dyDescent="0.3">
      <c r="A2778" s="80">
        <v>45678</v>
      </c>
      <c r="B2778">
        <v>3010200</v>
      </c>
      <c r="C2778">
        <v>5000</v>
      </c>
      <c r="E2778" s="80">
        <v>45672</v>
      </c>
      <c r="F2778">
        <v>3010111</v>
      </c>
      <c r="G2778">
        <v>1672</v>
      </c>
    </row>
    <row r="2779" spans="1:7" x14ac:dyDescent="0.3">
      <c r="A2779" s="80">
        <v>45678</v>
      </c>
      <c r="B2779">
        <v>3010200</v>
      </c>
      <c r="C2779">
        <v>5000</v>
      </c>
      <c r="E2779" s="80">
        <v>45672</v>
      </c>
      <c r="F2779">
        <v>3010111</v>
      </c>
      <c r="G2779">
        <v>3941</v>
      </c>
    </row>
    <row r="2780" spans="1:7" x14ac:dyDescent="0.3">
      <c r="A2780" s="80">
        <v>45678</v>
      </c>
      <c r="B2780">
        <v>3010200</v>
      </c>
      <c r="C2780">
        <v>5000</v>
      </c>
      <c r="E2780" s="80">
        <v>45672</v>
      </c>
      <c r="F2780">
        <v>3010111</v>
      </c>
      <c r="G2780">
        <v>3605</v>
      </c>
    </row>
    <row r="2781" spans="1:7" x14ac:dyDescent="0.3">
      <c r="A2781" s="80">
        <v>45678</v>
      </c>
      <c r="B2781">
        <v>3010200</v>
      </c>
      <c r="C2781">
        <v>5000</v>
      </c>
      <c r="E2781" s="80">
        <v>45672</v>
      </c>
      <c r="F2781">
        <v>3010111</v>
      </c>
      <c r="G2781">
        <v>1672</v>
      </c>
    </row>
    <row r="2782" spans="1:7" x14ac:dyDescent="0.3">
      <c r="A2782" s="80">
        <v>45678</v>
      </c>
      <c r="B2782">
        <v>3010200</v>
      </c>
      <c r="C2782">
        <v>5000</v>
      </c>
      <c r="E2782" s="80">
        <v>45672</v>
      </c>
      <c r="F2782">
        <v>3010111</v>
      </c>
      <c r="G2782">
        <v>1672</v>
      </c>
    </row>
    <row r="2783" spans="1:7" x14ac:dyDescent="0.3">
      <c r="A2783" s="80">
        <v>45678</v>
      </c>
      <c r="B2783">
        <v>3010200</v>
      </c>
      <c r="C2783">
        <v>5000</v>
      </c>
      <c r="E2783" s="80">
        <v>45672</v>
      </c>
      <c r="F2783">
        <v>3010111</v>
      </c>
      <c r="G2783">
        <v>1672</v>
      </c>
    </row>
    <row r="2784" spans="1:7" x14ac:dyDescent="0.3">
      <c r="A2784" s="80">
        <v>45678</v>
      </c>
      <c r="B2784">
        <v>3010200</v>
      </c>
      <c r="C2784">
        <v>5000</v>
      </c>
      <c r="E2784" s="80">
        <v>45672</v>
      </c>
      <c r="F2784">
        <v>3010111</v>
      </c>
      <c r="G2784">
        <v>1672</v>
      </c>
    </row>
    <row r="2785" spans="1:7" x14ac:dyDescent="0.3">
      <c r="A2785" s="80">
        <v>45678</v>
      </c>
      <c r="B2785">
        <v>3010200</v>
      </c>
      <c r="C2785">
        <v>5000</v>
      </c>
      <c r="E2785" s="80">
        <v>45672</v>
      </c>
      <c r="F2785">
        <v>3010111</v>
      </c>
      <c r="G2785">
        <v>0</v>
      </c>
    </row>
    <row r="2786" spans="1:7" x14ac:dyDescent="0.3">
      <c r="A2786" s="80">
        <v>45678</v>
      </c>
      <c r="B2786">
        <v>3010200</v>
      </c>
      <c r="C2786">
        <v>5000</v>
      </c>
      <c r="E2786" s="80">
        <v>45672</v>
      </c>
      <c r="F2786">
        <v>3010111</v>
      </c>
      <c r="G2786">
        <v>0</v>
      </c>
    </row>
    <row r="2787" spans="1:7" x14ac:dyDescent="0.3">
      <c r="A2787" s="80">
        <v>45678</v>
      </c>
      <c r="B2787">
        <v>3010200</v>
      </c>
      <c r="C2787">
        <v>5000</v>
      </c>
      <c r="E2787" s="80">
        <v>45672</v>
      </c>
      <c r="F2787">
        <v>3010111</v>
      </c>
      <c r="G2787">
        <v>3353</v>
      </c>
    </row>
    <row r="2788" spans="1:7" x14ac:dyDescent="0.3">
      <c r="A2788" s="80">
        <v>45678</v>
      </c>
      <c r="B2788">
        <v>3010200</v>
      </c>
      <c r="C2788">
        <v>5000</v>
      </c>
      <c r="E2788" s="80">
        <v>45672</v>
      </c>
      <c r="F2788">
        <v>3010111</v>
      </c>
      <c r="G2788">
        <v>1672</v>
      </c>
    </row>
    <row r="2789" spans="1:7" x14ac:dyDescent="0.3">
      <c r="A2789" s="80">
        <v>45678</v>
      </c>
      <c r="B2789">
        <v>3010200</v>
      </c>
      <c r="C2789">
        <v>5000</v>
      </c>
      <c r="E2789" s="80">
        <v>45672</v>
      </c>
      <c r="F2789">
        <v>3010111</v>
      </c>
      <c r="G2789">
        <v>1672</v>
      </c>
    </row>
    <row r="2790" spans="1:7" x14ac:dyDescent="0.3">
      <c r="A2790" s="80">
        <v>45678</v>
      </c>
      <c r="B2790">
        <v>3010200</v>
      </c>
      <c r="C2790">
        <v>5000</v>
      </c>
      <c r="E2790" s="80">
        <v>45672</v>
      </c>
      <c r="F2790">
        <v>3010111</v>
      </c>
      <c r="G2790">
        <v>1672</v>
      </c>
    </row>
    <row r="2791" spans="1:7" x14ac:dyDescent="0.3">
      <c r="A2791" s="80">
        <v>45678</v>
      </c>
      <c r="B2791">
        <v>3010200</v>
      </c>
      <c r="C2791">
        <v>5000</v>
      </c>
      <c r="E2791" s="80">
        <v>45671</v>
      </c>
      <c r="F2791">
        <v>3010111</v>
      </c>
      <c r="G2791">
        <v>3941</v>
      </c>
    </row>
    <row r="2792" spans="1:7" x14ac:dyDescent="0.3">
      <c r="A2792" s="80">
        <v>45677</v>
      </c>
      <c r="B2792">
        <v>3010200</v>
      </c>
      <c r="C2792">
        <v>5000</v>
      </c>
      <c r="E2792" s="80">
        <v>45671</v>
      </c>
      <c r="F2792">
        <v>3010111</v>
      </c>
      <c r="G2792">
        <v>4025</v>
      </c>
    </row>
    <row r="2793" spans="1:7" x14ac:dyDescent="0.3">
      <c r="A2793" s="80">
        <v>45677</v>
      </c>
      <c r="B2793">
        <v>3010200</v>
      </c>
      <c r="C2793">
        <v>5000</v>
      </c>
      <c r="E2793" s="80">
        <v>45671</v>
      </c>
      <c r="F2793">
        <v>3010111</v>
      </c>
      <c r="G2793">
        <v>1672</v>
      </c>
    </row>
    <row r="2794" spans="1:7" x14ac:dyDescent="0.3">
      <c r="A2794" s="80">
        <v>45677</v>
      </c>
      <c r="B2794">
        <v>3010200</v>
      </c>
      <c r="C2794">
        <v>5000</v>
      </c>
      <c r="E2794" s="80">
        <v>45671</v>
      </c>
      <c r="F2794">
        <v>3010111</v>
      </c>
      <c r="G2794">
        <v>1672</v>
      </c>
    </row>
    <row r="2795" spans="1:7" x14ac:dyDescent="0.3">
      <c r="A2795" s="80">
        <v>45677</v>
      </c>
      <c r="B2795">
        <v>3010200</v>
      </c>
      <c r="C2795">
        <v>5000</v>
      </c>
      <c r="E2795" s="80">
        <v>45671</v>
      </c>
      <c r="F2795">
        <v>3010111</v>
      </c>
      <c r="G2795">
        <v>0</v>
      </c>
    </row>
    <row r="2796" spans="1:7" x14ac:dyDescent="0.3">
      <c r="A2796" s="80">
        <v>45677</v>
      </c>
      <c r="B2796">
        <v>3010200</v>
      </c>
      <c r="C2796">
        <v>5000</v>
      </c>
      <c r="E2796" s="80">
        <v>45671</v>
      </c>
      <c r="F2796">
        <v>3010111</v>
      </c>
      <c r="G2796">
        <v>0</v>
      </c>
    </row>
    <row r="2797" spans="1:7" x14ac:dyDescent="0.3">
      <c r="A2797" s="80">
        <v>45677</v>
      </c>
      <c r="B2797">
        <v>3010200</v>
      </c>
      <c r="C2797">
        <v>5000</v>
      </c>
      <c r="E2797" s="80">
        <v>45671</v>
      </c>
      <c r="F2797">
        <v>3010111</v>
      </c>
      <c r="G2797">
        <v>1672</v>
      </c>
    </row>
    <row r="2798" spans="1:7" x14ac:dyDescent="0.3">
      <c r="A2798" s="80">
        <v>45676</v>
      </c>
      <c r="B2798">
        <v>3010200</v>
      </c>
      <c r="C2798">
        <v>5000</v>
      </c>
      <c r="E2798" s="80">
        <v>45671</v>
      </c>
      <c r="F2798">
        <v>3010111</v>
      </c>
      <c r="G2798">
        <v>0</v>
      </c>
    </row>
    <row r="2799" spans="1:7" x14ac:dyDescent="0.3">
      <c r="A2799" s="80">
        <v>45676</v>
      </c>
      <c r="B2799">
        <v>3010200</v>
      </c>
      <c r="C2799">
        <v>5000</v>
      </c>
      <c r="E2799" s="80">
        <v>45671</v>
      </c>
      <c r="F2799">
        <v>3010111</v>
      </c>
      <c r="G2799">
        <v>0</v>
      </c>
    </row>
    <row r="2800" spans="1:7" x14ac:dyDescent="0.3">
      <c r="A2800" s="80">
        <v>45676</v>
      </c>
      <c r="B2800">
        <v>3010200</v>
      </c>
      <c r="C2800">
        <v>5000</v>
      </c>
      <c r="E2800" s="80">
        <v>45670</v>
      </c>
      <c r="F2800">
        <v>3010111</v>
      </c>
      <c r="G2800">
        <v>3521</v>
      </c>
    </row>
    <row r="2801" spans="1:7" x14ac:dyDescent="0.3">
      <c r="A2801" s="80">
        <v>45676</v>
      </c>
      <c r="B2801">
        <v>3010200</v>
      </c>
      <c r="C2801">
        <v>5000</v>
      </c>
      <c r="E2801" s="80">
        <v>45670</v>
      </c>
      <c r="F2801">
        <v>3010111</v>
      </c>
      <c r="G2801">
        <v>3353</v>
      </c>
    </row>
    <row r="2802" spans="1:7" x14ac:dyDescent="0.3">
      <c r="A2802" s="80">
        <v>45676</v>
      </c>
      <c r="B2802">
        <v>3010200</v>
      </c>
      <c r="C2802">
        <v>5000</v>
      </c>
      <c r="E2802" s="80">
        <v>45670</v>
      </c>
      <c r="F2802">
        <v>3010111</v>
      </c>
      <c r="G2802">
        <v>1672</v>
      </c>
    </row>
    <row r="2803" spans="1:7" x14ac:dyDescent="0.3">
      <c r="A2803" s="80">
        <v>45676</v>
      </c>
      <c r="B2803">
        <v>3010200</v>
      </c>
      <c r="C2803">
        <v>5000</v>
      </c>
      <c r="E2803" s="80">
        <v>45670</v>
      </c>
      <c r="F2803">
        <v>3010111</v>
      </c>
      <c r="G2803">
        <v>1672</v>
      </c>
    </row>
    <row r="2804" spans="1:7" x14ac:dyDescent="0.3">
      <c r="A2804" s="80">
        <v>45676</v>
      </c>
      <c r="B2804">
        <v>3010200</v>
      </c>
      <c r="C2804">
        <v>5000</v>
      </c>
      <c r="E2804" s="80">
        <v>45670</v>
      </c>
      <c r="F2804">
        <v>3010111</v>
      </c>
      <c r="G2804">
        <v>1672</v>
      </c>
    </row>
    <row r="2805" spans="1:7" x14ac:dyDescent="0.3">
      <c r="A2805" s="80">
        <v>45676</v>
      </c>
      <c r="B2805">
        <v>3010200</v>
      </c>
      <c r="C2805">
        <v>5000</v>
      </c>
      <c r="E2805" s="80">
        <v>45670</v>
      </c>
      <c r="F2805">
        <v>3010111</v>
      </c>
      <c r="G2805">
        <v>3185</v>
      </c>
    </row>
    <row r="2806" spans="1:7" x14ac:dyDescent="0.3">
      <c r="A2806" s="80">
        <v>45676</v>
      </c>
      <c r="B2806">
        <v>3010200</v>
      </c>
      <c r="C2806">
        <v>5000</v>
      </c>
      <c r="E2806" s="80">
        <v>45669</v>
      </c>
      <c r="F2806">
        <v>3010111</v>
      </c>
      <c r="G2806">
        <v>0</v>
      </c>
    </row>
    <row r="2807" spans="1:7" x14ac:dyDescent="0.3">
      <c r="A2807" s="80">
        <v>45676</v>
      </c>
      <c r="B2807">
        <v>3010200</v>
      </c>
      <c r="C2807">
        <v>5000</v>
      </c>
      <c r="E2807" s="80">
        <v>45669</v>
      </c>
      <c r="F2807">
        <v>3010111</v>
      </c>
      <c r="G2807">
        <v>1672</v>
      </c>
    </row>
    <row r="2808" spans="1:7" x14ac:dyDescent="0.3">
      <c r="A2808" s="80">
        <v>45676</v>
      </c>
      <c r="B2808">
        <v>3010200</v>
      </c>
      <c r="C2808">
        <v>5000</v>
      </c>
      <c r="E2808" s="80">
        <v>45669</v>
      </c>
      <c r="F2808">
        <v>3010111</v>
      </c>
      <c r="G2808">
        <v>1672</v>
      </c>
    </row>
    <row r="2809" spans="1:7" x14ac:dyDescent="0.3">
      <c r="A2809" s="80">
        <v>45676</v>
      </c>
      <c r="B2809">
        <v>3010200</v>
      </c>
      <c r="C2809">
        <v>3000</v>
      </c>
      <c r="E2809" s="80">
        <v>45669</v>
      </c>
      <c r="F2809">
        <v>3010111</v>
      </c>
      <c r="G2809">
        <v>3017</v>
      </c>
    </row>
    <row r="2810" spans="1:7" x14ac:dyDescent="0.3">
      <c r="A2810" s="80">
        <v>45676</v>
      </c>
      <c r="B2810">
        <v>3010200</v>
      </c>
      <c r="C2810">
        <v>5000</v>
      </c>
      <c r="E2810" s="80">
        <v>45669</v>
      </c>
      <c r="F2810">
        <v>3010111</v>
      </c>
      <c r="G2810">
        <v>1672</v>
      </c>
    </row>
    <row r="2811" spans="1:7" x14ac:dyDescent="0.3">
      <c r="A2811" s="80">
        <v>45676</v>
      </c>
      <c r="B2811">
        <v>3010200</v>
      </c>
      <c r="C2811">
        <v>5000</v>
      </c>
      <c r="E2811" s="80">
        <v>45669</v>
      </c>
      <c r="F2811">
        <v>3010111</v>
      </c>
      <c r="G2811">
        <v>3521</v>
      </c>
    </row>
    <row r="2812" spans="1:7" x14ac:dyDescent="0.3">
      <c r="A2812" s="80">
        <v>45676</v>
      </c>
      <c r="B2812">
        <v>3010200</v>
      </c>
      <c r="C2812">
        <v>5000</v>
      </c>
      <c r="E2812" s="80">
        <v>45669</v>
      </c>
      <c r="F2812">
        <v>3010111</v>
      </c>
      <c r="G2812">
        <v>1672</v>
      </c>
    </row>
    <row r="2813" spans="1:7" x14ac:dyDescent="0.3">
      <c r="A2813" s="80">
        <v>45676</v>
      </c>
      <c r="B2813">
        <v>3010200</v>
      </c>
      <c r="C2813">
        <v>5000</v>
      </c>
      <c r="E2813" s="80">
        <v>45669</v>
      </c>
      <c r="F2813">
        <v>3010111</v>
      </c>
      <c r="G2813">
        <v>1672</v>
      </c>
    </row>
    <row r="2814" spans="1:7" x14ac:dyDescent="0.3">
      <c r="A2814" s="80">
        <v>45676</v>
      </c>
      <c r="B2814">
        <v>3010200</v>
      </c>
      <c r="C2814">
        <v>5000</v>
      </c>
      <c r="E2814" s="80">
        <v>45668</v>
      </c>
      <c r="F2814">
        <v>3010111</v>
      </c>
      <c r="G2814">
        <v>1672</v>
      </c>
    </row>
    <row r="2815" spans="1:7" x14ac:dyDescent="0.3">
      <c r="A2815" s="80">
        <v>45676</v>
      </c>
      <c r="B2815">
        <v>3010200</v>
      </c>
      <c r="C2815">
        <v>2630</v>
      </c>
      <c r="E2815" s="80">
        <v>45668</v>
      </c>
      <c r="F2815">
        <v>3010111</v>
      </c>
      <c r="G2815">
        <v>4025</v>
      </c>
    </row>
    <row r="2816" spans="1:7" x14ac:dyDescent="0.3">
      <c r="A2816" s="80">
        <v>45675</v>
      </c>
      <c r="B2816">
        <v>3010200</v>
      </c>
      <c r="C2816">
        <v>5000</v>
      </c>
      <c r="E2816" s="80">
        <v>45668</v>
      </c>
      <c r="F2816">
        <v>3010111</v>
      </c>
      <c r="G2816">
        <v>3689</v>
      </c>
    </row>
    <row r="2817" spans="1:7" x14ac:dyDescent="0.3">
      <c r="A2817" s="80">
        <v>45675</v>
      </c>
      <c r="B2817">
        <v>3010200</v>
      </c>
      <c r="C2817">
        <v>5000</v>
      </c>
      <c r="E2817" s="80">
        <v>45668</v>
      </c>
      <c r="F2817">
        <v>3010111</v>
      </c>
      <c r="G2817">
        <v>3017</v>
      </c>
    </row>
    <row r="2818" spans="1:7" x14ac:dyDescent="0.3">
      <c r="A2818" s="80">
        <v>45675</v>
      </c>
      <c r="B2818">
        <v>3010200</v>
      </c>
      <c r="C2818">
        <v>5000</v>
      </c>
      <c r="E2818" s="80">
        <v>45668</v>
      </c>
      <c r="F2818">
        <v>3010111</v>
      </c>
      <c r="G2818">
        <v>3799</v>
      </c>
    </row>
    <row r="2819" spans="1:7" x14ac:dyDescent="0.3">
      <c r="A2819" s="80">
        <v>45675</v>
      </c>
      <c r="B2819">
        <v>3010200</v>
      </c>
      <c r="C2819">
        <v>5000</v>
      </c>
      <c r="E2819" s="80">
        <v>45668</v>
      </c>
      <c r="F2819">
        <v>3010111</v>
      </c>
      <c r="G2819">
        <v>1672</v>
      </c>
    </row>
    <row r="2820" spans="1:7" x14ac:dyDescent="0.3">
      <c r="A2820" s="80">
        <v>45675</v>
      </c>
      <c r="B2820">
        <v>3010200</v>
      </c>
      <c r="C2820">
        <v>5000</v>
      </c>
      <c r="E2820" s="80">
        <v>45668</v>
      </c>
      <c r="F2820">
        <v>3010111</v>
      </c>
      <c r="G2820">
        <v>1672</v>
      </c>
    </row>
    <row r="2821" spans="1:7" x14ac:dyDescent="0.3">
      <c r="A2821" s="80">
        <v>45675</v>
      </c>
      <c r="B2821">
        <v>3010200</v>
      </c>
      <c r="C2821">
        <v>5000</v>
      </c>
      <c r="E2821" s="80">
        <v>45668</v>
      </c>
      <c r="F2821">
        <v>3010111</v>
      </c>
      <c r="G2821">
        <v>0</v>
      </c>
    </row>
    <row r="2822" spans="1:7" x14ac:dyDescent="0.3">
      <c r="A2822" s="80">
        <v>45675</v>
      </c>
      <c r="B2822">
        <v>3010200</v>
      </c>
      <c r="C2822">
        <v>5000</v>
      </c>
      <c r="E2822" s="80">
        <v>45668</v>
      </c>
      <c r="F2822">
        <v>3010111</v>
      </c>
      <c r="G2822">
        <v>0</v>
      </c>
    </row>
    <row r="2823" spans="1:7" x14ac:dyDescent="0.3">
      <c r="A2823" s="80">
        <v>45675</v>
      </c>
      <c r="B2823">
        <v>3010200</v>
      </c>
      <c r="C2823">
        <v>5000</v>
      </c>
      <c r="E2823" s="80">
        <v>45668</v>
      </c>
      <c r="F2823">
        <v>3010111</v>
      </c>
      <c r="G2823">
        <v>1672</v>
      </c>
    </row>
    <row r="2824" spans="1:7" x14ac:dyDescent="0.3">
      <c r="A2824" s="80">
        <v>45675</v>
      </c>
      <c r="B2824">
        <v>3010200</v>
      </c>
      <c r="C2824">
        <v>5000</v>
      </c>
      <c r="E2824" s="80">
        <v>45668</v>
      </c>
      <c r="F2824">
        <v>3010111</v>
      </c>
      <c r="G2824">
        <v>1672</v>
      </c>
    </row>
    <row r="2825" spans="1:7" x14ac:dyDescent="0.3">
      <c r="A2825" s="80">
        <v>45675</v>
      </c>
      <c r="B2825">
        <v>3010200</v>
      </c>
      <c r="C2825">
        <v>5000</v>
      </c>
      <c r="E2825" s="80">
        <v>45668</v>
      </c>
      <c r="F2825">
        <v>3010111</v>
      </c>
      <c r="G2825">
        <v>1672</v>
      </c>
    </row>
    <row r="2826" spans="1:7" x14ac:dyDescent="0.3">
      <c r="A2826" s="80">
        <v>45675</v>
      </c>
      <c r="B2826">
        <v>3010200</v>
      </c>
      <c r="C2826">
        <v>5000</v>
      </c>
      <c r="E2826" s="80">
        <v>45668</v>
      </c>
      <c r="F2826">
        <v>3010111</v>
      </c>
      <c r="G2826">
        <v>1672</v>
      </c>
    </row>
    <row r="2827" spans="1:7" x14ac:dyDescent="0.3">
      <c r="A2827" s="80">
        <v>45674</v>
      </c>
      <c r="B2827">
        <v>3010200</v>
      </c>
      <c r="C2827">
        <v>5000</v>
      </c>
      <c r="E2827" s="80">
        <v>45668</v>
      </c>
      <c r="F2827">
        <v>3010111</v>
      </c>
      <c r="G2827">
        <v>0</v>
      </c>
    </row>
    <row r="2828" spans="1:7" x14ac:dyDescent="0.3">
      <c r="A2828" s="80">
        <v>45674</v>
      </c>
      <c r="B2828">
        <v>3010200</v>
      </c>
      <c r="C2828">
        <v>5000</v>
      </c>
      <c r="E2828" s="80">
        <v>45668</v>
      </c>
      <c r="F2828">
        <v>3010111</v>
      </c>
      <c r="G2828">
        <v>3017</v>
      </c>
    </row>
    <row r="2829" spans="1:7" x14ac:dyDescent="0.3">
      <c r="A2829" s="80">
        <v>45674</v>
      </c>
      <c r="B2829">
        <v>3010200</v>
      </c>
      <c r="C2829">
        <v>5000</v>
      </c>
      <c r="E2829" s="80">
        <v>45667</v>
      </c>
      <c r="F2829">
        <v>3010111</v>
      </c>
      <c r="G2829">
        <v>3353</v>
      </c>
    </row>
    <row r="2830" spans="1:7" x14ac:dyDescent="0.3">
      <c r="A2830" s="80">
        <v>45674</v>
      </c>
      <c r="B2830">
        <v>3010200</v>
      </c>
      <c r="C2830">
        <v>5000</v>
      </c>
      <c r="E2830" s="80">
        <v>45667</v>
      </c>
      <c r="F2830">
        <v>3010111</v>
      </c>
      <c r="G2830">
        <v>1672</v>
      </c>
    </row>
    <row r="2831" spans="1:7" x14ac:dyDescent="0.3">
      <c r="A2831" s="80">
        <v>45674</v>
      </c>
      <c r="B2831">
        <v>3010200</v>
      </c>
      <c r="C2831">
        <v>5000</v>
      </c>
      <c r="E2831" s="80">
        <v>45667</v>
      </c>
      <c r="F2831">
        <v>3010111</v>
      </c>
      <c r="G2831">
        <v>1672</v>
      </c>
    </row>
    <row r="2832" spans="1:7" x14ac:dyDescent="0.3">
      <c r="A2832" s="80">
        <v>45674</v>
      </c>
      <c r="B2832">
        <v>3010200</v>
      </c>
      <c r="C2832">
        <v>5000</v>
      </c>
      <c r="E2832" s="80">
        <v>45667</v>
      </c>
      <c r="F2832">
        <v>3010111</v>
      </c>
      <c r="G2832">
        <v>0</v>
      </c>
    </row>
    <row r="2833" spans="1:7" x14ac:dyDescent="0.3">
      <c r="A2833" s="80">
        <v>45674</v>
      </c>
      <c r="B2833">
        <v>3010200</v>
      </c>
      <c r="C2833">
        <v>5000</v>
      </c>
      <c r="E2833" s="80">
        <v>45667</v>
      </c>
      <c r="F2833">
        <v>3010111</v>
      </c>
      <c r="G2833">
        <v>0</v>
      </c>
    </row>
    <row r="2834" spans="1:7" x14ac:dyDescent="0.3">
      <c r="A2834" s="80">
        <v>45674</v>
      </c>
      <c r="B2834">
        <v>3010200</v>
      </c>
      <c r="C2834">
        <v>5000</v>
      </c>
      <c r="E2834" s="80">
        <v>45667</v>
      </c>
      <c r="F2834">
        <v>3010111</v>
      </c>
      <c r="G2834">
        <v>1672</v>
      </c>
    </row>
    <row r="2835" spans="1:7" x14ac:dyDescent="0.3">
      <c r="A2835" s="80">
        <v>45674</v>
      </c>
      <c r="B2835">
        <v>3010200</v>
      </c>
      <c r="C2835">
        <v>5000</v>
      </c>
      <c r="E2835" s="80">
        <v>45667</v>
      </c>
      <c r="F2835">
        <v>3010111</v>
      </c>
      <c r="G2835">
        <v>3773</v>
      </c>
    </row>
    <row r="2836" spans="1:7" x14ac:dyDescent="0.3">
      <c r="A2836" s="80">
        <v>45674</v>
      </c>
      <c r="B2836">
        <v>3010200</v>
      </c>
      <c r="C2836">
        <v>500</v>
      </c>
      <c r="E2836" s="80">
        <v>45667</v>
      </c>
      <c r="F2836">
        <v>3010111</v>
      </c>
      <c r="G2836">
        <v>0</v>
      </c>
    </row>
    <row r="2837" spans="1:7" x14ac:dyDescent="0.3">
      <c r="A2837" s="80">
        <v>45674</v>
      </c>
      <c r="B2837">
        <v>3010200</v>
      </c>
      <c r="C2837">
        <v>5000</v>
      </c>
      <c r="E2837" s="80">
        <v>45667</v>
      </c>
      <c r="F2837">
        <v>3010111</v>
      </c>
      <c r="G2837">
        <v>0</v>
      </c>
    </row>
    <row r="2838" spans="1:7" x14ac:dyDescent="0.3">
      <c r="A2838" s="80">
        <v>45673</v>
      </c>
      <c r="B2838">
        <v>3010200</v>
      </c>
      <c r="C2838">
        <v>5000</v>
      </c>
      <c r="E2838" s="80">
        <v>45667</v>
      </c>
      <c r="F2838">
        <v>3010111</v>
      </c>
      <c r="G2838">
        <v>1672</v>
      </c>
    </row>
    <row r="2839" spans="1:7" x14ac:dyDescent="0.3">
      <c r="A2839" s="80">
        <v>45673</v>
      </c>
      <c r="B2839">
        <v>3010200</v>
      </c>
      <c r="C2839">
        <v>5000</v>
      </c>
      <c r="E2839" s="80">
        <v>45667</v>
      </c>
      <c r="F2839">
        <v>3010111</v>
      </c>
      <c r="G2839">
        <v>0</v>
      </c>
    </row>
    <row r="2840" spans="1:7" x14ac:dyDescent="0.3">
      <c r="A2840" s="80">
        <v>45673</v>
      </c>
      <c r="B2840">
        <v>3010200</v>
      </c>
      <c r="C2840">
        <v>5000</v>
      </c>
      <c r="E2840" s="80">
        <v>45667</v>
      </c>
      <c r="F2840">
        <v>3010111</v>
      </c>
      <c r="G2840">
        <v>0</v>
      </c>
    </row>
    <row r="2841" spans="1:7" x14ac:dyDescent="0.3">
      <c r="A2841" s="80">
        <v>45673</v>
      </c>
      <c r="B2841">
        <v>3010200</v>
      </c>
      <c r="C2841">
        <v>5000</v>
      </c>
      <c r="E2841" s="80">
        <v>45667</v>
      </c>
      <c r="F2841">
        <v>3010111</v>
      </c>
      <c r="G2841">
        <v>1672</v>
      </c>
    </row>
    <row r="2842" spans="1:7" x14ac:dyDescent="0.3">
      <c r="A2842" s="80">
        <v>45673</v>
      </c>
      <c r="B2842">
        <v>3010200</v>
      </c>
      <c r="C2842">
        <v>5000</v>
      </c>
      <c r="E2842" s="80">
        <v>45667</v>
      </c>
      <c r="F2842">
        <v>3010111</v>
      </c>
      <c r="G2842">
        <v>1672</v>
      </c>
    </row>
    <row r="2843" spans="1:7" x14ac:dyDescent="0.3">
      <c r="A2843" s="80">
        <v>45673</v>
      </c>
      <c r="B2843">
        <v>3010200</v>
      </c>
      <c r="C2843">
        <v>5000</v>
      </c>
      <c r="E2843" s="80">
        <v>45667</v>
      </c>
      <c r="F2843">
        <v>3010111</v>
      </c>
      <c r="G2843">
        <v>0</v>
      </c>
    </row>
    <row r="2844" spans="1:7" x14ac:dyDescent="0.3">
      <c r="A2844" s="80">
        <v>45672</v>
      </c>
      <c r="B2844">
        <v>3010200</v>
      </c>
      <c r="C2844">
        <v>5000</v>
      </c>
      <c r="E2844" s="80">
        <v>45666</v>
      </c>
      <c r="F2844">
        <v>3010111</v>
      </c>
      <c r="G2844">
        <v>0</v>
      </c>
    </row>
    <row r="2845" spans="1:7" x14ac:dyDescent="0.3">
      <c r="A2845" s="80">
        <v>45672</v>
      </c>
      <c r="B2845">
        <v>3010200</v>
      </c>
      <c r="C2845">
        <v>5000</v>
      </c>
      <c r="E2845" s="80">
        <v>45666</v>
      </c>
      <c r="F2845">
        <v>3010111</v>
      </c>
      <c r="G2845">
        <v>1672</v>
      </c>
    </row>
    <row r="2846" spans="1:7" x14ac:dyDescent="0.3">
      <c r="A2846" s="80">
        <v>45672</v>
      </c>
      <c r="B2846">
        <v>3010200</v>
      </c>
      <c r="C2846">
        <v>5000</v>
      </c>
      <c r="E2846" s="80">
        <v>45666</v>
      </c>
      <c r="F2846">
        <v>3010111</v>
      </c>
      <c r="G2846">
        <v>1672</v>
      </c>
    </row>
    <row r="2847" spans="1:7" x14ac:dyDescent="0.3">
      <c r="A2847" s="80">
        <v>45672</v>
      </c>
      <c r="B2847">
        <v>3010200</v>
      </c>
      <c r="C2847">
        <v>5000</v>
      </c>
      <c r="E2847" s="80">
        <v>45666</v>
      </c>
      <c r="F2847">
        <v>3010111</v>
      </c>
      <c r="G2847">
        <v>1672</v>
      </c>
    </row>
    <row r="2848" spans="1:7" x14ac:dyDescent="0.3">
      <c r="A2848" s="80">
        <v>45672</v>
      </c>
      <c r="B2848">
        <v>3010200</v>
      </c>
      <c r="C2848">
        <v>5000</v>
      </c>
      <c r="E2848" s="80">
        <v>45666</v>
      </c>
      <c r="F2848">
        <v>3010111</v>
      </c>
      <c r="G2848">
        <v>1672</v>
      </c>
    </row>
    <row r="2849" spans="1:7" x14ac:dyDescent="0.3">
      <c r="A2849" s="80">
        <v>45672</v>
      </c>
      <c r="B2849">
        <v>3010200</v>
      </c>
      <c r="C2849">
        <v>5000</v>
      </c>
      <c r="E2849" s="80">
        <v>45666</v>
      </c>
      <c r="F2849">
        <v>3010111</v>
      </c>
      <c r="G2849">
        <v>4613</v>
      </c>
    </row>
    <row r="2850" spans="1:7" x14ac:dyDescent="0.3">
      <c r="A2850" s="80">
        <v>45672</v>
      </c>
      <c r="B2850">
        <v>3010200</v>
      </c>
      <c r="C2850">
        <v>5000</v>
      </c>
      <c r="E2850" s="80">
        <v>45666</v>
      </c>
      <c r="F2850">
        <v>3010111</v>
      </c>
      <c r="G2850">
        <v>3689</v>
      </c>
    </row>
    <row r="2851" spans="1:7" x14ac:dyDescent="0.3">
      <c r="A2851" s="80">
        <v>45672</v>
      </c>
      <c r="B2851">
        <v>3010200</v>
      </c>
      <c r="C2851">
        <v>5000</v>
      </c>
      <c r="E2851" s="80">
        <v>45666</v>
      </c>
      <c r="F2851">
        <v>3010111</v>
      </c>
      <c r="G2851">
        <v>1672</v>
      </c>
    </row>
    <row r="2852" spans="1:7" x14ac:dyDescent="0.3">
      <c r="A2852" s="80">
        <v>45672</v>
      </c>
      <c r="B2852">
        <v>3010200</v>
      </c>
      <c r="C2852">
        <v>5000</v>
      </c>
      <c r="E2852" s="80">
        <v>45666</v>
      </c>
      <c r="F2852">
        <v>3010111</v>
      </c>
      <c r="G2852">
        <v>0</v>
      </c>
    </row>
    <row r="2853" spans="1:7" x14ac:dyDescent="0.3">
      <c r="A2853" s="80">
        <v>45672</v>
      </c>
      <c r="B2853">
        <v>3010200</v>
      </c>
      <c r="C2853">
        <v>5000</v>
      </c>
      <c r="E2853" s="80">
        <v>45666</v>
      </c>
      <c r="F2853">
        <v>3010111</v>
      </c>
      <c r="G2853">
        <v>4025</v>
      </c>
    </row>
    <row r="2854" spans="1:7" x14ac:dyDescent="0.3">
      <c r="A2854" s="80">
        <v>45672</v>
      </c>
      <c r="B2854">
        <v>3010200</v>
      </c>
      <c r="C2854">
        <v>5000</v>
      </c>
      <c r="E2854" s="80">
        <v>45666</v>
      </c>
      <c r="F2854">
        <v>3010111</v>
      </c>
      <c r="G2854">
        <v>1672</v>
      </c>
    </row>
    <row r="2855" spans="1:7" x14ac:dyDescent="0.3">
      <c r="A2855" s="80">
        <v>45672</v>
      </c>
      <c r="B2855">
        <v>3010200</v>
      </c>
      <c r="C2855">
        <v>5000</v>
      </c>
      <c r="E2855" s="80">
        <v>45666</v>
      </c>
      <c r="F2855">
        <v>3010111</v>
      </c>
      <c r="G2855">
        <v>3185</v>
      </c>
    </row>
    <row r="2856" spans="1:7" x14ac:dyDescent="0.3">
      <c r="A2856" s="80">
        <v>45672</v>
      </c>
      <c r="B2856">
        <v>3010200</v>
      </c>
      <c r="C2856">
        <v>5000</v>
      </c>
      <c r="E2856" s="80">
        <v>45666</v>
      </c>
      <c r="F2856">
        <v>3010111</v>
      </c>
      <c r="G2856">
        <v>1672</v>
      </c>
    </row>
    <row r="2857" spans="1:7" x14ac:dyDescent="0.3">
      <c r="A2857" s="80">
        <v>45671</v>
      </c>
      <c r="B2857">
        <v>3010200</v>
      </c>
      <c r="C2857">
        <v>5000</v>
      </c>
      <c r="E2857" s="80">
        <v>45666</v>
      </c>
      <c r="F2857">
        <v>3010111</v>
      </c>
      <c r="G2857">
        <v>0</v>
      </c>
    </row>
    <row r="2858" spans="1:7" x14ac:dyDescent="0.3">
      <c r="A2858" s="80">
        <v>45671</v>
      </c>
      <c r="B2858">
        <v>3010200</v>
      </c>
      <c r="C2858">
        <v>5000</v>
      </c>
      <c r="E2858" s="80">
        <v>45666</v>
      </c>
      <c r="F2858">
        <v>3010111</v>
      </c>
      <c r="G2858">
        <v>0</v>
      </c>
    </row>
    <row r="2859" spans="1:7" x14ac:dyDescent="0.3">
      <c r="A2859" s="80">
        <v>45671</v>
      </c>
      <c r="B2859">
        <v>3010200</v>
      </c>
      <c r="C2859">
        <v>5000</v>
      </c>
      <c r="E2859" s="80">
        <v>45666</v>
      </c>
      <c r="F2859">
        <v>3010111</v>
      </c>
      <c r="G2859">
        <v>0</v>
      </c>
    </row>
    <row r="2860" spans="1:7" x14ac:dyDescent="0.3">
      <c r="A2860" s="80">
        <v>45671</v>
      </c>
      <c r="B2860">
        <v>3010200</v>
      </c>
      <c r="C2860">
        <v>5000</v>
      </c>
      <c r="E2860" s="80">
        <v>45666</v>
      </c>
      <c r="F2860">
        <v>3010111</v>
      </c>
      <c r="G2860">
        <v>0</v>
      </c>
    </row>
    <row r="2861" spans="1:7" x14ac:dyDescent="0.3">
      <c r="A2861" s="80">
        <v>45671</v>
      </c>
      <c r="B2861">
        <v>3010200</v>
      </c>
      <c r="C2861">
        <v>3000</v>
      </c>
      <c r="E2861" s="80">
        <v>45666</v>
      </c>
      <c r="F2861">
        <v>3010111</v>
      </c>
      <c r="G2861">
        <v>1672</v>
      </c>
    </row>
    <row r="2862" spans="1:7" x14ac:dyDescent="0.3">
      <c r="A2862" s="80">
        <v>45671</v>
      </c>
      <c r="B2862">
        <v>3010200</v>
      </c>
      <c r="C2862">
        <v>5000</v>
      </c>
      <c r="E2862" s="80">
        <v>45665</v>
      </c>
      <c r="F2862">
        <v>3010111</v>
      </c>
      <c r="G2862">
        <v>1672</v>
      </c>
    </row>
    <row r="2863" spans="1:7" x14ac:dyDescent="0.3">
      <c r="A2863" s="80">
        <v>45671</v>
      </c>
      <c r="B2863">
        <v>3010200</v>
      </c>
      <c r="C2863">
        <v>5000</v>
      </c>
      <c r="E2863" s="80">
        <v>45665</v>
      </c>
      <c r="F2863">
        <v>3010111</v>
      </c>
      <c r="G2863">
        <v>1672</v>
      </c>
    </row>
    <row r="2864" spans="1:7" x14ac:dyDescent="0.3">
      <c r="A2864" s="80">
        <v>45671</v>
      </c>
      <c r="B2864">
        <v>3010200</v>
      </c>
      <c r="C2864">
        <v>5000</v>
      </c>
      <c r="E2864" s="80">
        <v>45665</v>
      </c>
      <c r="F2864">
        <v>3010111</v>
      </c>
      <c r="G2864">
        <v>1672</v>
      </c>
    </row>
    <row r="2865" spans="1:7" x14ac:dyDescent="0.3">
      <c r="A2865" s="80">
        <v>45671</v>
      </c>
      <c r="B2865">
        <v>3010200</v>
      </c>
      <c r="C2865">
        <v>5000</v>
      </c>
      <c r="E2865" s="80">
        <v>45665</v>
      </c>
      <c r="F2865">
        <v>3010111</v>
      </c>
      <c r="G2865">
        <v>0</v>
      </c>
    </row>
    <row r="2866" spans="1:7" x14ac:dyDescent="0.3">
      <c r="A2866" s="80">
        <v>45670</v>
      </c>
      <c r="B2866">
        <v>3010200</v>
      </c>
      <c r="C2866">
        <v>5000</v>
      </c>
      <c r="E2866" s="80">
        <v>45665</v>
      </c>
      <c r="F2866">
        <v>3010111</v>
      </c>
      <c r="G2866">
        <v>0</v>
      </c>
    </row>
    <row r="2867" spans="1:7" x14ac:dyDescent="0.3">
      <c r="A2867" s="80">
        <v>45670</v>
      </c>
      <c r="B2867">
        <v>3010200</v>
      </c>
      <c r="C2867">
        <v>5000</v>
      </c>
      <c r="E2867" s="80">
        <v>45665</v>
      </c>
      <c r="F2867">
        <v>3010111</v>
      </c>
      <c r="G2867">
        <v>3185</v>
      </c>
    </row>
    <row r="2868" spans="1:7" x14ac:dyDescent="0.3">
      <c r="A2868" s="80">
        <v>45670</v>
      </c>
      <c r="B2868">
        <v>3010200</v>
      </c>
      <c r="C2868">
        <v>5000</v>
      </c>
      <c r="E2868" s="80">
        <v>45665</v>
      </c>
      <c r="F2868">
        <v>3010111</v>
      </c>
      <c r="G2868">
        <v>0</v>
      </c>
    </row>
    <row r="2869" spans="1:7" x14ac:dyDescent="0.3">
      <c r="A2869" s="80">
        <v>45670</v>
      </c>
      <c r="B2869">
        <v>3010200</v>
      </c>
      <c r="C2869">
        <v>5000</v>
      </c>
      <c r="E2869" s="80">
        <v>45665</v>
      </c>
      <c r="F2869">
        <v>3010111</v>
      </c>
      <c r="G2869">
        <v>3521</v>
      </c>
    </row>
    <row r="2870" spans="1:7" x14ac:dyDescent="0.3">
      <c r="A2870" s="80">
        <v>45670</v>
      </c>
      <c r="B2870">
        <v>3010200</v>
      </c>
      <c r="C2870">
        <v>5000</v>
      </c>
      <c r="E2870" s="80">
        <v>45665</v>
      </c>
      <c r="F2870">
        <v>3010111</v>
      </c>
      <c r="G2870">
        <v>1672</v>
      </c>
    </row>
    <row r="2871" spans="1:7" x14ac:dyDescent="0.3">
      <c r="A2871" s="80">
        <v>45670</v>
      </c>
      <c r="B2871">
        <v>3010200</v>
      </c>
      <c r="C2871">
        <v>5000</v>
      </c>
      <c r="E2871" s="80">
        <v>45665</v>
      </c>
      <c r="F2871">
        <v>3010111</v>
      </c>
      <c r="G2871">
        <v>3521</v>
      </c>
    </row>
    <row r="2872" spans="1:7" x14ac:dyDescent="0.3">
      <c r="A2872" s="80">
        <v>45669</v>
      </c>
      <c r="B2872">
        <v>3010200</v>
      </c>
      <c r="C2872">
        <v>5000</v>
      </c>
      <c r="E2872" s="80">
        <v>45665</v>
      </c>
      <c r="F2872">
        <v>3010111</v>
      </c>
      <c r="G2872">
        <v>0</v>
      </c>
    </row>
    <row r="2873" spans="1:7" x14ac:dyDescent="0.3">
      <c r="A2873" s="80">
        <v>45669</v>
      </c>
      <c r="B2873">
        <v>3010200</v>
      </c>
      <c r="C2873">
        <v>5000</v>
      </c>
      <c r="E2873" s="80">
        <v>45665</v>
      </c>
      <c r="F2873">
        <v>3010111</v>
      </c>
      <c r="G2873">
        <v>1672</v>
      </c>
    </row>
    <row r="2874" spans="1:7" x14ac:dyDescent="0.3">
      <c r="A2874" s="80">
        <v>45669</v>
      </c>
      <c r="B2874">
        <v>3010200</v>
      </c>
      <c r="C2874">
        <v>5000</v>
      </c>
      <c r="E2874" s="80">
        <v>45665</v>
      </c>
      <c r="F2874">
        <v>3010111</v>
      </c>
      <c r="G2874">
        <v>3353</v>
      </c>
    </row>
    <row r="2875" spans="1:7" x14ac:dyDescent="0.3">
      <c r="A2875" s="80">
        <v>45669</v>
      </c>
      <c r="B2875">
        <v>3010200</v>
      </c>
      <c r="C2875">
        <v>5000</v>
      </c>
      <c r="E2875" s="80">
        <v>45665</v>
      </c>
      <c r="F2875">
        <v>3010111</v>
      </c>
      <c r="G2875">
        <v>1672</v>
      </c>
    </row>
    <row r="2876" spans="1:7" x14ac:dyDescent="0.3">
      <c r="A2876" s="80">
        <v>45669</v>
      </c>
      <c r="B2876">
        <v>3010200</v>
      </c>
      <c r="C2876">
        <v>5000</v>
      </c>
      <c r="E2876" s="80">
        <v>45665</v>
      </c>
      <c r="F2876">
        <v>3010111</v>
      </c>
      <c r="G2876">
        <v>1672</v>
      </c>
    </row>
    <row r="2877" spans="1:7" x14ac:dyDescent="0.3">
      <c r="A2877" s="80">
        <v>45669</v>
      </c>
      <c r="B2877">
        <v>3010200</v>
      </c>
      <c r="C2877">
        <v>5000</v>
      </c>
      <c r="E2877" s="80">
        <v>45665</v>
      </c>
      <c r="F2877">
        <v>3010111</v>
      </c>
      <c r="G2877">
        <v>0</v>
      </c>
    </row>
    <row r="2878" spans="1:7" x14ac:dyDescent="0.3">
      <c r="A2878" s="80">
        <v>45669</v>
      </c>
      <c r="B2878">
        <v>3010200</v>
      </c>
      <c r="C2878">
        <v>5000</v>
      </c>
      <c r="E2878" s="80">
        <v>45665</v>
      </c>
      <c r="F2878">
        <v>3010111</v>
      </c>
      <c r="G2878">
        <v>1672</v>
      </c>
    </row>
    <row r="2879" spans="1:7" x14ac:dyDescent="0.3">
      <c r="A2879" s="80">
        <v>45669</v>
      </c>
      <c r="B2879">
        <v>3010200</v>
      </c>
      <c r="C2879">
        <v>5000</v>
      </c>
      <c r="E2879" s="80">
        <v>45665</v>
      </c>
      <c r="F2879">
        <v>3010111</v>
      </c>
      <c r="G2879">
        <v>1672</v>
      </c>
    </row>
    <row r="2880" spans="1:7" x14ac:dyDescent="0.3">
      <c r="A2880" s="80">
        <v>45668</v>
      </c>
      <c r="B2880">
        <v>3010200</v>
      </c>
      <c r="C2880">
        <v>5000</v>
      </c>
      <c r="E2880" s="80">
        <v>45665</v>
      </c>
      <c r="F2880">
        <v>3010111</v>
      </c>
      <c r="G2880">
        <v>5706</v>
      </c>
    </row>
    <row r="2881" spans="1:7" x14ac:dyDescent="0.3">
      <c r="A2881" s="80">
        <v>45668</v>
      </c>
      <c r="B2881">
        <v>3010200</v>
      </c>
      <c r="C2881">
        <v>5000</v>
      </c>
      <c r="E2881" s="80">
        <v>45665</v>
      </c>
      <c r="F2881">
        <v>3010111</v>
      </c>
      <c r="G2881">
        <v>3521</v>
      </c>
    </row>
    <row r="2882" spans="1:7" x14ac:dyDescent="0.3">
      <c r="A2882" s="80">
        <v>45668</v>
      </c>
      <c r="B2882">
        <v>3010200</v>
      </c>
      <c r="C2882">
        <v>5000</v>
      </c>
      <c r="E2882" s="80">
        <v>45665</v>
      </c>
      <c r="F2882">
        <v>3010111</v>
      </c>
      <c r="G2882">
        <v>1672</v>
      </c>
    </row>
    <row r="2883" spans="1:7" x14ac:dyDescent="0.3">
      <c r="A2883" s="80">
        <v>45668</v>
      </c>
      <c r="B2883">
        <v>3010200</v>
      </c>
      <c r="C2883">
        <v>5000</v>
      </c>
      <c r="E2883" s="80">
        <v>45665</v>
      </c>
      <c r="F2883">
        <v>3010111</v>
      </c>
      <c r="G2883">
        <v>1672</v>
      </c>
    </row>
    <row r="2884" spans="1:7" x14ac:dyDescent="0.3">
      <c r="A2884" s="80">
        <v>45668</v>
      </c>
      <c r="B2884">
        <v>3010200</v>
      </c>
      <c r="C2884">
        <v>5000</v>
      </c>
      <c r="E2884" s="80">
        <v>45665</v>
      </c>
      <c r="F2884">
        <v>3010111</v>
      </c>
      <c r="G2884">
        <v>1672</v>
      </c>
    </row>
    <row r="2885" spans="1:7" x14ac:dyDescent="0.3">
      <c r="A2885" s="80">
        <v>45668</v>
      </c>
      <c r="B2885">
        <v>3010200</v>
      </c>
      <c r="C2885">
        <v>5000</v>
      </c>
      <c r="E2885" s="80">
        <v>45665</v>
      </c>
      <c r="F2885">
        <v>3010111</v>
      </c>
      <c r="G2885">
        <v>1672</v>
      </c>
    </row>
    <row r="2886" spans="1:7" x14ac:dyDescent="0.3">
      <c r="A2886" s="80">
        <v>45668</v>
      </c>
      <c r="B2886">
        <v>3010200</v>
      </c>
      <c r="C2886">
        <v>5000</v>
      </c>
      <c r="E2886" s="80">
        <v>45664</v>
      </c>
      <c r="F2886">
        <v>3010111</v>
      </c>
      <c r="G2886">
        <v>3799</v>
      </c>
    </row>
    <row r="2887" spans="1:7" x14ac:dyDescent="0.3">
      <c r="A2887" s="80">
        <v>45668</v>
      </c>
      <c r="B2887">
        <v>3010200</v>
      </c>
      <c r="C2887">
        <v>5000</v>
      </c>
      <c r="E2887" s="80">
        <v>45664</v>
      </c>
      <c r="F2887">
        <v>3010111</v>
      </c>
      <c r="G2887">
        <v>3353</v>
      </c>
    </row>
    <row r="2888" spans="1:7" x14ac:dyDescent="0.3">
      <c r="A2888" s="80">
        <v>45668</v>
      </c>
      <c r="B2888">
        <v>3010200</v>
      </c>
      <c r="C2888">
        <v>5000</v>
      </c>
      <c r="E2888" s="80">
        <v>45664</v>
      </c>
      <c r="F2888">
        <v>3010111</v>
      </c>
      <c r="G2888">
        <v>3353</v>
      </c>
    </row>
    <row r="2889" spans="1:7" x14ac:dyDescent="0.3">
      <c r="A2889" s="80">
        <v>45668</v>
      </c>
      <c r="B2889">
        <v>3010200</v>
      </c>
      <c r="C2889">
        <v>5000</v>
      </c>
      <c r="E2889" s="80">
        <v>45664</v>
      </c>
      <c r="F2889">
        <v>3010111</v>
      </c>
      <c r="G2889">
        <v>3185</v>
      </c>
    </row>
    <row r="2890" spans="1:7" x14ac:dyDescent="0.3">
      <c r="A2890" s="80">
        <v>45668</v>
      </c>
      <c r="B2890">
        <v>3010200</v>
      </c>
      <c r="C2890">
        <v>5000</v>
      </c>
      <c r="E2890" s="80">
        <v>45664</v>
      </c>
      <c r="F2890">
        <v>3010111</v>
      </c>
      <c r="G2890">
        <v>4613</v>
      </c>
    </row>
    <row r="2891" spans="1:7" x14ac:dyDescent="0.3">
      <c r="A2891" s="80">
        <v>45668</v>
      </c>
      <c r="B2891">
        <v>3010200</v>
      </c>
      <c r="C2891">
        <v>5000</v>
      </c>
      <c r="E2891" s="80">
        <v>45664</v>
      </c>
      <c r="F2891">
        <v>3010111</v>
      </c>
      <c r="G2891">
        <v>3521</v>
      </c>
    </row>
    <row r="2892" spans="1:7" x14ac:dyDescent="0.3">
      <c r="A2892" s="80">
        <v>45668</v>
      </c>
      <c r="B2892">
        <v>3010200</v>
      </c>
      <c r="C2892">
        <v>5000</v>
      </c>
      <c r="E2892" s="80">
        <v>45664</v>
      </c>
      <c r="F2892">
        <v>3010111</v>
      </c>
      <c r="G2892">
        <v>0</v>
      </c>
    </row>
    <row r="2893" spans="1:7" x14ac:dyDescent="0.3">
      <c r="A2893" s="80">
        <v>45668</v>
      </c>
      <c r="B2893">
        <v>3010200</v>
      </c>
      <c r="C2893">
        <v>5000</v>
      </c>
      <c r="E2893" s="80">
        <v>45664</v>
      </c>
      <c r="F2893">
        <v>3010111</v>
      </c>
      <c r="G2893">
        <v>0</v>
      </c>
    </row>
    <row r="2894" spans="1:7" x14ac:dyDescent="0.3">
      <c r="A2894" s="80">
        <v>45668</v>
      </c>
      <c r="B2894">
        <v>3010200</v>
      </c>
      <c r="C2894">
        <v>5000</v>
      </c>
      <c r="E2894" s="80">
        <v>45664</v>
      </c>
      <c r="F2894">
        <v>3010111</v>
      </c>
      <c r="G2894">
        <v>0</v>
      </c>
    </row>
    <row r="2895" spans="1:7" x14ac:dyDescent="0.3">
      <c r="A2895" s="80">
        <v>45667</v>
      </c>
      <c r="B2895">
        <v>3010200</v>
      </c>
      <c r="C2895">
        <v>5000</v>
      </c>
      <c r="E2895" s="80">
        <v>45664</v>
      </c>
      <c r="F2895">
        <v>3010111</v>
      </c>
      <c r="G2895">
        <v>1672</v>
      </c>
    </row>
    <row r="2896" spans="1:7" x14ac:dyDescent="0.3">
      <c r="A2896" s="80">
        <v>45667</v>
      </c>
      <c r="B2896">
        <v>3010200</v>
      </c>
      <c r="C2896">
        <v>5000</v>
      </c>
      <c r="E2896" s="80">
        <v>45664</v>
      </c>
      <c r="F2896">
        <v>3010111</v>
      </c>
      <c r="G2896">
        <v>1672</v>
      </c>
    </row>
    <row r="2897" spans="1:7" x14ac:dyDescent="0.3">
      <c r="A2897" s="80">
        <v>45667</v>
      </c>
      <c r="B2897">
        <v>3010200</v>
      </c>
      <c r="C2897">
        <v>5000</v>
      </c>
      <c r="E2897" s="80">
        <v>45664</v>
      </c>
      <c r="F2897">
        <v>3010111</v>
      </c>
      <c r="G2897">
        <v>4950</v>
      </c>
    </row>
    <row r="2898" spans="1:7" x14ac:dyDescent="0.3">
      <c r="A2898" s="80">
        <v>45667</v>
      </c>
      <c r="B2898">
        <v>3010200</v>
      </c>
      <c r="C2898">
        <v>5000</v>
      </c>
      <c r="E2898" s="80">
        <v>45664</v>
      </c>
      <c r="F2898">
        <v>3010111</v>
      </c>
      <c r="G2898">
        <v>1672</v>
      </c>
    </row>
    <row r="2899" spans="1:7" x14ac:dyDescent="0.3">
      <c r="A2899" s="80">
        <v>45667</v>
      </c>
      <c r="B2899">
        <v>3010200</v>
      </c>
      <c r="C2899">
        <v>5000</v>
      </c>
      <c r="E2899" s="80">
        <v>45664</v>
      </c>
      <c r="F2899">
        <v>3010111</v>
      </c>
      <c r="G2899">
        <v>1672</v>
      </c>
    </row>
    <row r="2900" spans="1:7" x14ac:dyDescent="0.3">
      <c r="A2900" s="80">
        <v>45667</v>
      </c>
      <c r="B2900">
        <v>3010200</v>
      </c>
      <c r="C2900">
        <v>5000</v>
      </c>
      <c r="E2900" s="80">
        <v>45664</v>
      </c>
      <c r="F2900">
        <v>3010111</v>
      </c>
      <c r="G2900">
        <v>1672</v>
      </c>
    </row>
    <row r="2901" spans="1:7" x14ac:dyDescent="0.3">
      <c r="A2901" s="80">
        <v>45667</v>
      </c>
      <c r="B2901">
        <v>3010200</v>
      </c>
      <c r="C2901">
        <v>5000</v>
      </c>
      <c r="E2901" s="80">
        <v>45664</v>
      </c>
      <c r="F2901">
        <v>3010111</v>
      </c>
      <c r="G2901">
        <v>0</v>
      </c>
    </row>
    <row r="2902" spans="1:7" x14ac:dyDescent="0.3">
      <c r="A2902" s="80">
        <v>45667</v>
      </c>
      <c r="B2902">
        <v>3010200</v>
      </c>
      <c r="C2902">
        <v>5000</v>
      </c>
      <c r="E2902" s="80">
        <v>45664</v>
      </c>
      <c r="F2902">
        <v>3010111</v>
      </c>
      <c r="G2902">
        <v>1672</v>
      </c>
    </row>
    <row r="2903" spans="1:7" x14ac:dyDescent="0.3">
      <c r="A2903" s="80">
        <v>45667</v>
      </c>
      <c r="B2903">
        <v>3010200</v>
      </c>
      <c r="C2903">
        <v>5000</v>
      </c>
      <c r="E2903" s="80">
        <v>45663</v>
      </c>
      <c r="F2903">
        <v>3010111</v>
      </c>
      <c r="G2903">
        <v>0</v>
      </c>
    </row>
    <row r="2904" spans="1:7" x14ac:dyDescent="0.3">
      <c r="A2904" s="80">
        <v>45667</v>
      </c>
      <c r="B2904">
        <v>3010200</v>
      </c>
      <c r="C2904">
        <v>5000</v>
      </c>
      <c r="E2904" s="80">
        <v>45663</v>
      </c>
      <c r="F2904">
        <v>3010111</v>
      </c>
      <c r="G2904">
        <v>1672</v>
      </c>
    </row>
    <row r="2905" spans="1:7" x14ac:dyDescent="0.3">
      <c r="A2905" s="80">
        <v>45667</v>
      </c>
      <c r="B2905">
        <v>3010200</v>
      </c>
      <c r="C2905">
        <v>5000</v>
      </c>
      <c r="E2905" s="80">
        <v>45663</v>
      </c>
      <c r="F2905">
        <v>3010111</v>
      </c>
      <c r="G2905">
        <v>3185</v>
      </c>
    </row>
    <row r="2906" spans="1:7" x14ac:dyDescent="0.3">
      <c r="A2906" s="80">
        <v>45667</v>
      </c>
      <c r="B2906">
        <v>3010200</v>
      </c>
      <c r="C2906">
        <v>5000</v>
      </c>
      <c r="E2906" s="80">
        <v>45663</v>
      </c>
      <c r="F2906">
        <v>3010111</v>
      </c>
      <c r="G2906">
        <v>1672</v>
      </c>
    </row>
    <row r="2907" spans="1:7" x14ac:dyDescent="0.3">
      <c r="A2907" s="80">
        <v>45667</v>
      </c>
      <c r="B2907">
        <v>3010200</v>
      </c>
      <c r="C2907">
        <v>5000</v>
      </c>
      <c r="E2907" s="80">
        <v>45663</v>
      </c>
      <c r="F2907">
        <v>3010111</v>
      </c>
      <c r="G2907">
        <v>1672</v>
      </c>
    </row>
    <row r="2908" spans="1:7" x14ac:dyDescent="0.3">
      <c r="A2908" s="80">
        <v>45667</v>
      </c>
      <c r="B2908">
        <v>3010200</v>
      </c>
      <c r="C2908">
        <v>5000</v>
      </c>
      <c r="E2908" s="80">
        <v>45663</v>
      </c>
      <c r="F2908">
        <v>3010111</v>
      </c>
      <c r="G2908">
        <v>0</v>
      </c>
    </row>
    <row r="2909" spans="1:7" x14ac:dyDescent="0.3">
      <c r="A2909" s="80">
        <v>45667</v>
      </c>
      <c r="B2909">
        <v>3010200</v>
      </c>
      <c r="C2909">
        <v>5000</v>
      </c>
      <c r="E2909" s="80">
        <v>45663</v>
      </c>
      <c r="F2909">
        <v>3010111</v>
      </c>
      <c r="G2909">
        <v>3689</v>
      </c>
    </row>
    <row r="2910" spans="1:7" x14ac:dyDescent="0.3">
      <c r="A2910" s="80">
        <v>45666</v>
      </c>
      <c r="B2910">
        <v>3010200</v>
      </c>
      <c r="C2910">
        <v>5000</v>
      </c>
      <c r="E2910" s="80">
        <v>45663</v>
      </c>
      <c r="F2910">
        <v>3010111</v>
      </c>
      <c r="G2910">
        <v>0</v>
      </c>
    </row>
    <row r="2911" spans="1:7" x14ac:dyDescent="0.3">
      <c r="A2911" s="80">
        <v>45666</v>
      </c>
      <c r="B2911">
        <v>3010200</v>
      </c>
      <c r="C2911">
        <v>5000</v>
      </c>
      <c r="E2911" s="80">
        <v>45663</v>
      </c>
      <c r="F2911">
        <v>3010111</v>
      </c>
      <c r="G2911">
        <v>1672</v>
      </c>
    </row>
    <row r="2912" spans="1:7" x14ac:dyDescent="0.3">
      <c r="A2912" s="80">
        <v>45666</v>
      </c>
      <c r="B2912">
        <v>3010200</v>
      </c>
      <c r="C2912">
        <v>5000</v>
      </c>
      <c r="E2912" s="80">
        <v>45663</v>
      </c>
      <c r="F2912">
        <v>3010111</v>
      </c>
      <c r="G2912">
        <v>3353</v>
      </c>
    </row>
    <row r="2913" spans="1:7" x14ac:dyDescent="0.3">
      <c r="A2913" s="80">
        <v>45666</v>
      </c>
      <c r="B2913">
        <v>3010200</v>
      </c>
      <c r="C2913">
        <v>5000</v>
      </c>
      <c r="E2913" s="80">
        <v>45663</v>
      </c>
      <c r="F2913">
        <v>3010111</v>
      </c>
      <c r="G2913">
        <v>3941</v>
      </c>
    </row>
    <row r="2914" spans="1:7" x14ac:dyDescent="0.3">
      <c r="A2914" s="80">
        <v>45666</v>
      </c>
      <c r="B2914">
        <v>3010200</v>
      </c>
      <c r="C2914">
        <v>5000</v>
      </c>
      <c r="E2914" s="80">
        <v>45663</v>
      </c>
      <c r="F2914">
        <v>3010111</v>
      </c>
      <c r="G2914">
        <v>0</v>
      </c>
    </row>
    <row r="2915" spans="1:7" x14ac:dyDescent="0.3">
      <c r="A2915" s="80">
        <v>45666</v>
      </c>
      <c r="B2915">
        <v>3010200</v>
      </c>
      <c r="C2915">
        <v>5000</v>
      </c>
      <c r="E2915" s="80">
        <v>45663</v>
      </c>
      <c r="F2915">
        <v>3010111</v>
      </c>
      <c r="G2915">
        <v>3521</v>
      </c>
    </row>
    <row r="2916" spans="1:7" x14ac:dyDescent="0.3">
      <c r="A2916" s="80">
        <v>45666</v>
      </c>
      <c r="B2916">
        <v>3010200</v>
      </c>
      <c r="C2916">
        <v>5000</v>
      </c>
      <c r="E2916" s="80">
        <v>45663</v>
      </c>
      <c r="F2916">
        <v>3010111</v>
      </c>
      <c r="G2916">
        <v>0</v>
      </c>
    </row>
    <row r="2917" spans="1:7" x14ac:dyDescent="0.3">
      <c r="A2917" s="80">
        <v>45666</v>
      </c>
      <c r="B2917">
        <v>3010200</v>
      </c>
      <c r="C2917">
        <v>5000</v>
      </c>
      <c r="E2917" s="80">
        <v>45663</v>
      </c>
      <c r="F2917">
        <v>3010111</v>
      </c>
      <c r="G2917">
        <v>1672</v>
      </c>
    </row>
    <row r="2918" spans="1:7" x14ac:dyDescent="0.3">
      <c r="A2918" s="80">
        <v>45666</v>
      </c>
      <c r="B2918">
        <v>3010200</v>
      </c>
      <c r="C2918">
        <v>5000</v>
      </c>
      <c r="E2918" s="80">
        <v>45663</v>
      </c>
      <c r="F2918">
        <v>3010111</v>
      </c>
      <c r="G2918">
        <v>1672</v>
      </c>
    </row>
    <row r="2919" spans="1:7" x14ac:dyDescent="0.3">
      <c r="A2919" s="80">
        <v>45666</v>
      </c>
      <c r="B2919">
        <v>3010200</v>
      </c>
      <c r="C2919">
        <v>5000</v>
      </c>
      <c r="E2919" s="80">
        <v>45663</v>
      </c>
      <c r="F2919">
        <v>3010111</v>
      </c>
      <c r="G2919">
        <v>2933</v>
      </c>
    </row>
    <row r="2920" spans="1:7" x14ac:dyDescent="0.3">
      <c r="A2920" s="80">
        <v>45666</v>
      </c>
      <c r="B2920">
        <v>3010200</v>
      </c>
      <c r="C2920">
        <v>5000</v>
      </c>
      <c r="E2920" s="80">
        <v>45663</v>
      </c>
      <c r="F2920">
        <v>3010111</v>
      </c>
      <c r="G2920">
        <v>4613</v>
      </c>
    </row>
    <row r="2921" spans="1:7" x14ac:dyDescent="0.3">
      <c r="A2921" s="80">
        <v>45666</v>
      </c>
      <c r="B2921">
        <v>3010200</v>
      </c>
      <c r="C2921">
        <v>5000</v>
      </c>
      <c r="E2921" s="80">
        <v>45663</v>
      </c>
      <c r="F2921">
        <v>3010111</v>
      </c>
      <c r="G2921">
        <v>4950</v>
      </c>
    </row>
    <row r="2922" spans="1:7" x14ac:dyDescent="0.3">
      <c r="A2922" s="80">
        <v>45666</v>
      </c>
      <c r="B2922">
        <v>3010200</v>
      </c>
      <c r="C2922">
        <v>5000</v>
      </c>
      <c r="E2922" s="80">
        <v>45663</v>
      </c>
      <c r="F2922">
        <v>3010111</v>
      </c>
      <c r="G2922">
        <v>0</v>
      </c>
    </row>
    <row r="2923" spans="1:7" x14ac:dyDescent="0.3">
      <c r="A2923" s="80">
        <v>45666</v>
      </c>
      <c r="B2923">
        <v>3010200</v>
      </c>
      <c r="C2923">
        <v>5000</v>
      </c>
      <c r="E2923" s="80">
        <v>45663</v>
      </c>
      <c r="F2923">
        <v>3010111</v>
      </c>
      <c r="G2923">
        <v>0</v>
      </c>
    </row>
    <row r="2924" spans="1:7" x14ac:dyDescent="0.3">
      <c r="A2924" s="80">
        <v>45666</v>
      </c>
      <c r="B2924">
        <v>3010200</v>
      </c>
      <c r="C2924">
        <v>5000</v>
      </c>
      <c r="E2924" s="80">
        <v>45663</v>
      </c>
      <c r="F2924">
        <v>3010111</v>
      </c>
      <c r="G2924">
        <v>5454</v>
      </c>
    </row>
    <row r="2925" spans="1:7" x14ac:dyDescent="0.3">
      <c r="A2925" s="80">
        <v>45666</v>
      </c>
      <c r="B2925">
        <v>3010200</v>
      </c>
      <c r="C2925">
        <v>5000</v>
      </c>
      <c r="E2925" s="80">
        <v>45663</v>
      </c>
      <c r="F2925">
        <v>3010111</v>
      </c>
      <c r="G2925">
        <v>1672</v>
      </c>
    </row>
    <row r="2926" spans="1:7" x14ac:dyDescent="0.3">
      <c r="A2926" s="80">
        <v>45666</v>
      </c>
      <c r="B2926">
        <v>3010200</v>
      </c>
      <c r="C2926">
        <v>5000</v>
      </c>
      <c r="E2926" s="80">
        <v>45663</v>
      </c>
      <c r="F2926">
        <v>3010111</v>
      </c>
      <c r="G2926">
        <v>0</v>
      </c>
    </row>
    <row r="2927" spans="1:7" x14ac:dyDescent="0.3">
      <c r="A2927" s="80">
        <v>45666</v>
      </c>
      <c r="B2927">
        <v>3010200</v>
      </c>
      <c r="C2927">
        <v>5000</v>
      </c>
      <c r="E2927" s="80">
        <v>45663</v>
      </c>
      <c r="F2927">
        <v>3010111</v>
      </c>
      <c r="G2927">
        <v>0</v>
      </c>
    </row>
    <row r="2928" spans="1:7" x14ac:dyDescent="0.3">
      <c r="A2928" s="80">
        <v>45665</v>
      </c>
      <c r="B2928">
        <v>3010200</v>
      </c>
      <c r="C2928">
        <v>5000</v>
      </c>
      <c r="E2928" s="80">
        <v>45662</v>
      </c>
      <c r="F2928">
        <v>3010111</v>
      </c>
      <c r="G2928">
        <v>1672</v>
      </c>
    </row>
    <row r="2929" spans="1:7" x14ac:dyDescent="0.3">
      <c r="A2929" s="80">
        <v>45665</v>
      </c>
      <c r="B2929">
        <v>3010200</v>
      </c>
      <c r="C2929">
        <v>5000</v>
      </c>
      <c r="E2929" s="80">
        <v>45662</v>
      </c>
      <c r="F2929">
        <v>3010111</v>
      </c>
      <c r="G2929">
        <v>5370</v>
      </c>
    </row>
    <row r="2930" spans="1:7" x14ac:dyDescent="0.3">
      <c r="A2930" s="80">
        <v>45665</v>
      </c>
      <c r="B2930">
        <v>3010200</v>
      </c>
      <c r="C2930">
        <v>5000</v>
      </c>
      <c r="E2930" s="80">
        <v>45662</v>
      </c>
      <c r="F2930">
        <v>3010111</v>
      </c>
      <c r="G2930">
        <v>1672</v>
      </c>
    </row>
    <row r="2931" spans="1:7" x14ac:dyDescent="0.3">
      <c r="A2931" s="80">
        <v>45665</v>
      </c>
      <c r="B2931">
        <v>3010200</v>
      </c>
      <c r="C2931">
        <v>5000</v>
      </c>
      <c r="E2931" s="80">
        <v>45662</v>
      </c>
      <c r="F2931">
        <v>3010111</v>
      </c>
      <c r="G2931">
        <v>1672</v>
      </c>
    </row>
    <row r="2932" spans="1:7" x14ac:dyDescent="0.3">
      <c r="A2932" s="80">
        <v>45665</v>
      </c>
      <c r="B2932">
        <v>3010200</v>
      </c>
      <c r="C2932">
        <v>5000</v>
      </c>
      <c r="E2932" s="80">
        <v>45662</v>
      </c>
      <c r="F2932">
        <v>3010111</v>
      </c>
      <c r="G2932">
        <v>1672</v>
      </c>
    </row>
    <row r="2933" spans="1:7" x14ac:dyDescent="0.3">
      <c r="A2933" s="80">
        <v>45665</v>
      </c>
      <c r="B2933">
        <v>3010200</v>
      </c>
      <c r="C2933">
        <v>5000</v>
      </c>
      <c r="E2933" s="80">
        <v>45662</v>
      </c>
      <c r="F2933">
        <v>3010111</v>
      </c>
      <c r="G2933">
        <v>3521</v>
      </c>
    </row>
    <row r="2934" spans="1:7" x14ac:dyDescent="0.3">
      <c r="A2934" s="80">
        <v>45665</v>
      </c>
      <c r="B2934">
        <v>3010200</v>
      </c>
      <c r="C2934">
        <v>5000</v>
      </c>
      <c r="E2934" s="80">
        <v>45662</v>
      </c>
      <c r="F2934">
        <v>3010111</v>
      </c>
      <c r="G2934">
        <v>3521</v>
      </c>
    </row>
    <row r="2935" spans="1:7" x14ac:dyDescent="0.3">
      <c r="A2935" s="80">
        <v>45665</v>
      </c>
      <c r="B2935">
        <v>3010200</v>
      </c>
      <c r="C2935">
        <v>5000</v>
      </c>
      <c r="E2935" s="80">
        <v>45662</v>
      </c>
      <c r="F2935">
        <v>3010111</v>
      </c>
      <c r="G2935">
        <v>1672</v>
      </c>
    </row>
    <row r="2936" spans="1:7" x14ac:dyDescent="0.3">
      <c r="A2936" s="80">
        <v>45665</v>
      </c>
      <c r="B2936">
        <v>3010200</v>
      </c>
      <c r="C2936">
        <v>5000</v>
      </c>
      <c r="E2936" s="80">
        <v>45662</v>
      </c>
      <c r="F2936">
        <v>3010111</v>
      </c>
      <c r="G2936">
        <v>0</v>
      </c>
    </row>
    <row r="2937" spans="1:7" x14ac:dyDescent="0.3">
      <c r="A2937" s="80">
        <v>45665</v>
      </c>
      <c r="B2937">
        <v>3010200</v>
      </c>
      <c r="C2937">
        <v>5000</v>
      </c>
      <c r="E2937" s="80">
        <v>45662</v>
      </c>
      <c r="F2937">
        <v>3010111</v>
      </c>
      <c r="G2937">
        <v>0</v>
      </c>
    </row>
    <row r="2938" spans="1:7" x14ac:dyDescent="0.3">
      <c r="A2938" s="80">
        <v>45665</v>
      </c>
      <c r="B2938">
        <v>3010200</v>
      </c>
      <c r="C2938">
        <v>5000</v>
      </c>
      <c r="E2938" s="80">
        <v>45662</v>
      </c>
      <c r="F2938">
        <v>3010111</v>
      </c>
      <c r="G2938">
        <v>3521</v>
      </c>
    </row>
    <row r="2939" spans="1:7" x14ac:dyDescent="0.3">
      <c r="A2939" s="80">
        <v>45665</v>
      </c>
      <c r="B2939">
        <v>3010200</v>
      </c>
      <c r="C2939">
        <v>5000</v>
      </c>
      <c r="E2939" s="80">
        <v>45662</v>
      </c>
      <c r="F2939">
        <v>3010111</v>
      </c>
      <c r="G2939">
        <v>1672</v>
      </c>
    </row>
    <row r="2940" spans="1:7" x14ac:dyDescent="0.3">
      <c r="A2940" s="80">
        <v>45665</v>
      </c>
      <c r="B2940">
        <v>3010200</v>
      </c>
      <c r="C2940">
        <v>5000</v>
      </c>
      <c r="E2940" s="80">
        <v>45662</v>
      </c>
      <c r="F2940">
        <v>3010111</v>
      </c>
      <c r="G2940">
        <v>3017</v>
      </c>
    </row>
    <row r="2941" spans="1:7" x14ac:dyDescent="0.3">
      <c r="A2941" s="80">
        <v>45665</v>
      </c>
      <c r="B2941">
        <v>3010200</v>
      </c>
      <c r="C2941">
        <v>5000</v>
      </c>
      <c r="E2941" s="80">
        <v>45662</v>
      </c>
      <c r="F2941">
        <v>3010111</v>
      </c>
      <c r="G2941">
        <v>1672</v>
      </c>
    </row>
    <row r="2942" spans="1:7" x14ac:dyDescent="0.3">
      <c r="A2942" s="80">
        <v>45665</v>
      </c>
      <c r="B2942">
        <v>3010200</v>
      </c>
      <c r="C2942">
        <v>5000</v>
      </c>
      <c r="E2942" s="80">
        <v>45662</v>
      </c>
      <c r="F2942">
        <v>3010111</v>
      </c>
      <c r="G2942">
        <v>0</v>
      </c>
    </row>
    <row r="2943" spans="1:7" x14ac:dyDescent="0.3">
      <c r="A2943" s="80">
        <v>45665</v>
      </c>
      <c r="B2943">
        <v>3010200</v>
      </c>
      <c r="C2943">
        <v>5000</v>
      </c>
      <c r="E2943" s="80">
        <v>45662</v>
      </c>
      <c r="F2943">
        <v>3010111</v>
      </c>
      <c r="G2943">
        <v>0</v>
      </c>
    </row>
    <row r="2944" spans="1:7" x14ac:dyDescent="0.3">
      <c r="A2944" s="80">
        <v>45665</v>
      </c>
      <c r="B2944">
        <v>3010200</v>
      </c>
      <c r="C2944">
        <v>5000</v>
      </c>
      <c r="E2944" s="80">
        <v>45662</v>
      </c>
      <c r="F2944">
        <v>3010111</v>
      </c>
      <c r="G2944">
        <v>0</v>
      </c>
    </row>
    <row r="2945" spans="1:7" x14ac:dyDescent="0.3">
      <c r="A2945" s="80">
        <v>45665</v>
      </c>
      <c r="B2945">
        <v>3010200</v>
      </c>
      <c r="C2945">
        <v>5000</v>
      </c>
      <c r="E2945" s="80">
        <v>45662</v>
      </c>
      <c r="F2945">
        <v>3010111</v>
      </c>
      <c r="G2945">
        <v>1672</v>
      </c>
    </row>
    <row r="2946" spans="1:7" x14ac:dyDescent="0.3">
      <c r="A2946" s="80">
        <v>45665</v>
      </c>
      <c r="B2946">
        <v>3010200</v>
      </c>
      <c r="C2946">
        <v>5000</v>
      </c>
      <c r="E2946" s="80">
        <v>45662</v>
      </c>
      <c r="F2946">
        <v>3010111</v>
      </c>
      <c r="G2946">
        <v>1672</v>
      </c>
    </row>
    <row r="2947" spans="1:7" x14ac:dyDescent="0.3">
      <c r="A2947" s="80">
        <v>45665</v>
      </c>
      <c r="B2947">
        <v>3010200</v>
      </c>
      <c r="C2947">
        <v>5000</v>
      </c>
      <c r="E2947" s="80">
        <v>45662</v>
      </c>
      <c r="F2947">
        <v>3010111</v>
      </c>
      <c r="G2947">
        <v>0</v>
      </c>
    </row>
    <row r="2948" spans="1:7" x14ac:dyDescent="0.3">
      <c r="A2948" s="80">
        <v>45665</v>
      </c>
      <c r="B2948">
        <v>3010200</v>
      </c>
      <c r="C2948">
        <v>5000</v>
      </c>
      <c r="E2948" s="80">
        <v>45662</v>
      </c>
      <c r="F2948">
        <v>3010111</v>
      </c>
      <c r="G2948">
        <v>0</v>
      </c>
    </row>
    <row r="2949" spans="1:7" x14ac:dyDescent="0.3">
      <c r="A2949" s="80">
        <v>45665</v>
      </c>
      <c r="B2949">
        <v>3010200</v>
      </c>
      <c r="C2949">
        <v>5000</v>
      </c>
      <c r="E2949" s="80">
        <v>45662</v>
      </c>
      <c r="F2949">
        <v>3010111</v>
      </c>
      <c r="G2949">
        <v>5034</v>
      </c>
    </row>
    <row r="2950" spans="1:7" x14ac:dyDescent="0.3">
      <c r="A2950" s="80">
        <v>45665</v>
      </c>
      <c r="B2950">
        <v>3010200</v>
      </c>
      <c r="C2950">
        <v>5000</v>
      </c>
      <c r="E2950" s="80">
        <v>45662</v>
      </c>
      <c r="F2950">
        <v>3010111</v>
      </c>
      <c r="G2950">
        <v>3185</v>
      </c>
    </row>
    <row r="2951" spans="1:7" x14ac:dyDescent="0.3">
      <c r="A2951" s="80">
        <v>45665</v>
      </c>
      <c r="B2951">
        <v>3010200</v>
      </c>
      <c r="C2951">
        <v>5000</v>
      </c>
      <c r="E2951" s="80">
        <v>45662</v>
      </c>
      <c r="F2951">
        <v>3010111</v>
      </c>
      <c r="G2951">
        <v>3353</v>
      </c>
    </row>
    <row r="2952" spans="1:7" x14ac:dyDescent="0.3">
      <c r="A2952" s="80">
        <v>45664</v>
      </c>
      <c r="B2952">
        <v>3010200</v>
      </c>
      <c r="C2952">
        <v>5000</v>
      </c>
      <c r="E2952" s="80">
        <v>45661</v>
      </c>
      <c r="F2952">
        <v>3010111</v>
      </c>
      <c r="G2952">
        <v>2176</v>
      </c>
    </row>
    <row r="2953" spans="1:7" x14ac:dyDescent="0.3">
      <c r="A2953" s="80">
        <v>45664</v>
      </c>
      <c r="B2953">
        <v>3010200</v>
      </c>
      <c r="C2953">
        <v>5000</v>
      </c>
      <c r="E2953" s="80">
        <v>45661</v>
      </c>
      <c r="F2953">
        <v>3010111</v>
      </c>
      <c r="G2953">
        <v>1672</v>
      </c>
    </row>
    <row r="2954" spans="1:7" x14ac:dyDescent="0.3">
      <c r="A2954" s="80">
        <v>45664</v>
      </c>
      <c r="B2954">
        <v>3010200</v>
      </c>
      <c r="C2954">
        <v>5000</v>
      </c>
      <c r="E2954" s="80">
        <v>45661</v>
      </c>
      <c r="F2954">
        <v>3010111</v>
      </c>
      <c r="G2954">
        <v>1672</v>
      </c>
    </row>
    <row r="2955" spans="1:7" x14ac:dyDescent="0.3">
      <c r="A2955" s="80">
        <v>45664</v>
      </c>
      <c r="B2955">
        <v>3010200</v>
      </c>
      <c r="C2955">
        <v>5000</v>
      </c>
      <c r="E2955" s="80">
        <v>45661</v>
      </c>
      <c r="F2955">
        <v>3010111</v>
      </c>
      <c r="G2955">
        <v>1672</v>
      </c>
    </row>
    <row r="2956" spans="1:7" x14ac:dyDescent="0.3">
      <c r="A2956" s="80">
        <v>45664</v>
      </c>
      <c r="B2956">
        <v>3010200</v>
      </c>
      <c r="C2956">
        <v>5000</v>
      </c>
      <c r="E2956" s="80">
        <v>45661</v>
      </c>
      <c r="F2956">
        <v>3010111</v>
      </c>
      <c r="G2956">
        <v>3689</v>
      </c>
    </row>
    <row r="2957" spans="1:7" x14ac:dyDescent="0.3">
      <c r="A2957" s="80">
        <v>45664</v>
      </c>
      <c r="B2957">
        <v>3010200</v>
      </c>
      <c r="C2957">
        <v>5000</v>
      </c>
      <c r="E2957" s="80">
        <v>45661</v>
      </c>
      <c r="F2957">
        <v>3010111</v>
      </c>
      <c r="G2957">
        <v>5034</v>
      </c>
    </row>
    <row r="2958" spans="1:7" x14ac:dyDescent="0.3">
      <c r="A2958" s="80">
        <v>45664</v>
      </c>
      <c r="B2958">
        <v>3010200</v>
      </c>
      <c r="C2958">
        <v>5000</v>
      </c>
      <c r="E2958" s="80">
        <v>45661</v>
      </c>
      <c r="F2958">
        <v>3010111</v>
      </c>
      <c r="G2958">
        <v>1672</v>
      </c>
    </row>
    <row r="2959" spans="1:7" x14ac:dyDescent="0.3">
      <c r="A2959" s="80">
        <v>45664</v>
      </c>
      <c r="B2959">
        <v>3010200</v>
      </c>
      <c r="C2959">
        <v>10000</v>
      </c>
      <c r="E2959" s="80">
        <v>45661</v>
      </c>
      <c r="F2959">
        <v>3010111</v>
      </c>
      <c r="G2959">
        <v>1672</v>
      </c>
    </row>
    <row r="2960" spans="1:7" x14ac:dyDescent="0.3">
      <c r="A2960" s="80">
        <v>45664</v>
      </c>
      <c r="B2960">
        <v>3010200</v>
      </c>
      <c r="C2960">
        <v>10000</v>
      </c>
      <c r="E2960" s="80">
        <v>45661</v>
      </c>
      <c r="F2960">
        <v>3010111</v>
      </c>
      <c r="G2960">
        <v>4193</v>
      </c>
    </row>
    <row r="2961" spans="1:7" x14ac:dyDescent="0.3">
      <c r="A2961" s="80">
        <v>45664</v>
      </c>
      <c r="B2961">
        <v>3010200</v>
      </c>
      <c r="C2961">
        <v>5000</v>
      </c>
      <c r="E2961" s="80">
        <v>45661</v>
      </c>
      <c r="F2961">
        <v>3010111</v>
      </c>
      <c r="G2961">
        <v>0</v>
      </c>
    </row>
    <row r="2962" spans="1:7" x14ac:dyDescent="0.3">
      <c r="A2962" s="80">
        <v>45664</v>
      </c>
      <c r="B2962">
        <v>3010200</v>
      </c>
      <c r="C2962">
        <v>5000</v>
      </c>
      <c r="E2962" s="80">
        <v>45661</v>
      </c>
      <c r="F2962">
        <v>3010111</v>
      </c>
      <c r="G2962">
        <v>3017</v>
      </c>
    </row>
    <row r="2963" spans="1:7" x14ac:dyDescent="0.3">
      <c r="A2963" s="80">
        <v>45664</v>
      </c>
      <c r="B2963">
        <v>3010200</v>
      </c>
      <c r="C2963">
        <v>5000</v>
      </c>
      <c r="E2963" s="80">
        <v>45661</v>
      </c>
      <c r="F2963">
        <v>3010111</v>
      </c>
      <c r="G2963">
        <v>0</v>
      </c>
    </row>
    <row r="2964" spans="1:7" x14ac:dyDescent="0.3">
      <c r="A2964" s="80">
        <v>45664</v>
      </c>
      <c r="B2964">
        <v>3010200</v>
      </c>
      <c r="C2964">
        <v>5000</v>
      </c>
      <c r="E2964" s="80">
        <v>45661</v>
      </c>
      <c r="F2964">
        <v>3010111</v>
      </c>
      <c r="G2964">
        <v>0</v>
      </c>
    </row>
    <row r="2965" spans="1:7" x14ac:dyDescent="0.3">
      <c r="A2965" s="80">
        <v>45664</v>
      </c>
      <c r="B2965">
        <v>3010200</v>
      </c>
      <c r="C2965">
        <v>5000</v>
      </c>
      <c r="E2965" s="80">
        <v>45661</v>
      </c>
      <c r="F2965">
        <v>3010111</v>
      </c>
      <c r="G2965">
        <v>5034</v>
      </c>
    </row>
    <row r="2966" spans="1:7" x14ac:dyDescent="0.3">
      <c r="A2966" s="80">
        <v>45664</v>
      </c>
      <c r="B2966">
        <v>3010200</v>
      </c>
      <c r="C2966">
        <v>5000</v>
      </c>
      <c r="E2966" s="80">
        <v>45661</v>
      </c>
      <c r="F2966">
        <v>3010111</v>
      </c>
      <c r="G2966">
        <v>3185</v>
      </c>
    </row>
    <row r="2967" spans="1:7" x14ac:dyDescent="0.3">
      <c r="A2967" s="80">
        <v>45664</v>
      </c>
      <c r="B2967">
        <v>3010200</v>
      </c>
      <c r="C2967">
        <v>5000</v>
      </c>
      <c r="E2967" s="80">
        <v>45661</v>
      </c>
      <c r="F2967">
        <v>3010111</v>
      </c>
      <c r="G2967">
        <v>1672</v>
      </c>
    </row>
    <row r="2968" spans="1:7" x14ac:dyDescent="0.3">
      <c r="A2968" s="80">
        <v>45664</v>
      </c>
      <c r="B2968">
        <v>3010200</v>
      </c>
      <c r="C2968">
        <v>5000</v>
      </c>
      <c r="E2968" s="80">
        <v>45661</v>
      </c>
      <c r="F2968">
        <v>3010111</v>
      </c>
      <c r="G2968">
        <v>0</v>
      </c>
    </row>
    <row r="2969" spans="1:7" x14ac:dyDescent="0.3">
      <c r="A2969" s="80">
        <v>45663</v>
      </c>
      <c r="B2969">
        <v>3010200</v>
      </c>
      <c r="C2969">
        <v>5000</v>
      </c>
      <c r="E2969" s="80">
        <v>45661</v>
      </c>
      <c r="F2969">
        <v>3010111</v>
      </c>
      <c r="G2969">
        <v>1672</v>
      </c>
    </row>
    <row r="2970" spans="1:7" x14ac:dyDescent="0.3">
      <c r="A2970" s="80">
        <v>45663</v>
      </c>
      <c r="B2970">
        <v>3010200</v>
      </c>
      <c r="C2970">
        <v>5000</v>
      </c>
      <c r="E2970" s="80">
        <v>45661</v>
      </c>
      <c r="F2970">
        <v>3010111</v>
      </c>
      <c r="G2970">
        <v>1672</v>
      </c>
    </row>
    <row r="2971" spans="1:7" x14ac:dyDescent="0.3">
      <c r="A2971" s="80">
        <v>45663</v>
      </c>
      <c r="B2971">
        <v>3010200</v>
      </c>
      <c r="C2971">
        <v>5000</v>
      </c>
      <c r="E2971" s="80">
        <v>45660</v>
      </c>
      <c r="F2971">
        <v>3010111</v>
      </c>
      <c r="G2971">
        <v>3521</v>
      </c>
    </row>
    <row r="2972" spans="1:7" x14ac:dyDescent="0.3">
      <c r="A2972" s="80">
        <v>45663</v>
      </c>
      <c r="B2972">
        <v>3010200</v>
      </c>
      <c r="C2972">
        <v>5000</v>
      </c>
      <c r="E2972" s="80">
        <v>45660</v>
      </c>
      <c r="F2972">
        <v>3010111</v>
      </c>
      <c r="G2972">
        <v>3017</v>
      </c>
    </row>
    <row r="2973" spans="1:7" x14ac:dyDescent="0.3">
      <c r="A2973" s="80">
        <v>45663</v>
      </c>
      <c r="B2973">
        <v>3010200</v>
      </c>
      <c r="C2973">
        <v>5000</v>
      </c>
      <c r="E2973" s="80">
        <v>45660</v>
      </c>
      <c r="F2973">
        <v>3010111</v>
      </c>
      <c r="G2973">
        <v>3353</v>
      </c>
    </row>
    <row r="2974" spans="1:7" x14ac:dyDescent="0.3">
      <c r="A2974" s="80">
        <v>45663</v>
      </c>
      <c r="B2974">
        <v>3010200</v>
      </c>
      <c r="C2974">
        <v>5000</v>
      </c>
      <c r="E2974" s="80">
        <v>45660</v>
      </c>
      <c r="F2974">
        <v>3010111</v>
      </c>
      <c r="G2974">
        <v>1672</v>
      </c>
    </row>
    <row r="2975" spans="1:7" x14ac:dyDescent="0.3">
      <c r="A2975" s="80">
        <v>45663</v>
      </c>
      <c r="B2975">
        <v>3010200</v>
      </c>
      <c r="C2975">
        <v>5000</v>
      </c>
      <c r="E2975" s="80">
        <v>45660</v>
      </c>
      <c r="F2975">
        <v>3010111</v>
      </c>
      <c r="G2975">
        <v>3017</v>
      </c>
    </row>
    <row r="2976" spans="1:7" x14ac:dyDescent="0.3">
      <c r="A2976" s="80">
        <v>45663</v>
      </c>
      <c r="B2976">
        <v>3010200</v>
      </c>
      <c r="C2976">
        <v>5000</v>
      </c>
      <c r="E2976" s="80">
        <v>45660</v>
      </c>
      <c r="F2976">
        <v>3010111</v>
      </c>
      <c r="G2976">
        <v>1672</v>
      </c>
    </row>
    <row r="2977" spans="1:7" x14ac:dyDescent="0.3">
      <c r="A2977" s="80">
        <v>45663</v>
      </c>
      <c r="B2977">
        <v>3010200</v>
      </c>
      <c r="C2977">
        <v>5000</v>
      </c>
      <c r="E2977" s="80">
        <v>45660</v>
      </c>
      <c r="F2977">
        <v>3010111</v>
      </c>
      <c r="G2977">
        <v>1672</v>
      </c>
    </row>
    <row r="2978" spans="1:7" x14ac:dyDescent="0.3">
      <c r="A2978" s="80">
        <v>45663</v>
      </c>
      <c r="B2978">
        <v>3010200</v>
      </c>
      <c r="C2978">
        <v>5000</v>
      </c>
      <c r="E2978" s="80">
        <v>45660</v>
      </c>
      <c r="F2978">
        <v>3010111</v>
      </c>
      <c r="G2978">
        <v>3017</v>
      </c>
    </row>
    <row r="2979" spans="1:7" x14ac:dyDescent="0.3">
      <c r="A2979" s="80">
        <v>45663</v>
      </c>
      <c r="B2979">
        <v>3010200</v>
      </c>
      <c r="C2979">
        <v>5000</v>
      </c>
      <c r="E2979" s="80">
        <v>45660</v>
      </c>
      <c r="F2979">
        <v>3010111</v>
      </c>
      <c r="G2979">
        <v>1672</v>
      </c>
    </row>
    <row r="2980" spans="1:7" x14ac:dyDescent="0.3">
      <c r="A2980" s="80">
        <v>45663</v>
      </c>
      <c r="B2980">
        <v>3010200</v>
      </c>
      <c r="C2980">
        <v>5000</v>
      </c>
      <c r="E2980" s="80">
        <v>45660</v>
      </c>
      <c r="F2980">
        <v>3010111</v>
      </c>
      <c r="G2980">
        <v>3353</v>
      </c>
    </row>
    <row r="2981" spans="1:7" x14ac:dyDescent="0.3">
      <c r="A2981" s="80">
        <v>45663</v>
      </c>
      <c r="B2981">
        <v>3010200</v>
      </c>
      <c r="C2981">
        <v>5000</v>
      </c>
      <c r="E2981" s="80">
        <v>45660</v>
      </c>
      <c r="F2981">
        <v>3010111</v>
      </c>
      <c r="G2981">
        <v>1672</v>
      </c>
    </row>
    <row r="2982" spans="1:7" x14ac:dyDescent="0.3">
      <c r="A2982" s="80">
        <v>45663</v>
      </c>
      <c r="B2982">
        <v>3010200</v>
      </c>
      <c r="C2982">
        <v>5000</v>
      </c>
      <c r="E2982" s="80">
        <v>45660</v>
      </c>
      <c r="F2982">
        <v>3010111</v>
      </c>
      <c r="G2982">
        <v>0</v>
      </c>
    </row>
    <row r="2983" spans="1:7" x14ac:dyDescent="0.3">
      <c r="A2983" s="80">
        <v>45663</v>
      </c>
      <c r="B2983">
        <v>3010200</v>
      </c>
      <c r="C2983">
        <v>5000</v>
      </c>
      <c r="E2983" s="80">
        <v>45660</v>
      </c>
      <c r="F2983">
        <v>3010111</v>
      </c>
      <c r="G2983">
        <v>3521</v>
      </c>
    </row>
    <row r="2984" spans="1:7" x14ac:dyDescent="0.3">
      <c r="A2984" s="80">
        <v>45663</v>
      </c>
      <c r="B2984">
        <v>3010200</v>
      </c>
      <c r="C2984">
        <v>5000</v>
      </c>
      <c r="E2984" s="80">
        <v>45660</v>
      </c>
      <c r="F2984">
        <v>3010111</v>
      </c>
      <c r="G2984">
        <v>5034</v>
      </c>
    </row>
    <row r="2985" spans="1:7" x14ac:dyDescent="0.3">
      <c r="A2985" s="80">
        <v>45663</v>
      </c>
      <c r="B2985">
        <v>3010200</v>
      </c>
      <c r="C2985">
        <v>5000</v>
      </c>
      <c r="E2985" s="80">
        <v>45660</v>
      </c>
      <c r="F2985">
        <v>3010111</v>
      </c>
      <c r="G2985">
        <v>1672</v>
      </c>
    </row>
    <row r="2986" spans="1:7" x14ac:dyDescent="0.3">
      <c r="A2986" s="80">
        <v>45663</v>
      </c>
      <c r="B2986">
        <v>3010200</v>
      </c>
      <c r="C2986">
        <v>5000</v>
      </c>
      <c r="E2986" s="80">
        <v>45660</v>
      </c>
      <c r="F2986">
        <v>3010111</v>
      </c>
      <c r="G2986">
        <v>0</v>
      </c>
    </row>
    <row r="2987" spans="1:7" x14ac:dyDescent="0.3">
      <c r="A2987" s="80">
        <v>45663</v>
      </c>
      <c r="B2987">
        <v>3010200</v>
      </c>
      <c r="C2987">
        <v>5000</v>
      </c>
      <c r="E2987" s="80">
        <v>45660</v>
      </c>
      <c r="F2987">
        <v>3010111</v>
      </c>
      <c r="G2987">
        <v>0</v>
      </c>
    </row>
    <row r="2988" spans="1:7" x14ac:dyDescent="0.3">
      <c r="A2988" s="80">
        <v>45663</v>
      </c>
      <c r="B2988">
        <v>3010200</v>
      </c>
      <c r="C2988">
        <v>5000</v>
      </c>
      <c r="E2988" s="80">
        <v>45659</v>
      </c>
      <c r="F2988">
        <v>3010111</v>
      </c>
      <c r="G2988">
        <v>1672</v>
      </c>
    </row>
    <row r="2989" spans="1:7" x14ac:dyDescent="0.3">
      <c r="A2989" s="80">
        <v>45663</v>
      </c>
      <c r="B2989">
        <v>3010200</v>
      </c>
      <c r="C2989">
        <v>500</v>
      </c>
      <c r="E2989" s="80">
        <v>45659</v>
      </c>
      <c r="F2989">
        <v>3010111</v>
      </c>
      <c r="G2989">
        <v>3017</v>
      </c>
    </row>
    <row r="2990" spans="1:7" x14ac:dyDescent="0.3">
      <c r="A2990" s="80">
        <v>45663</v>
      </c>
      <c r="B2990">
        <v>3010200</v>
      </c>
      <c r="C2990">
        <v>5000</v>
      </c>
      <c r="E2990" s="80">
        <v>45659</v>
      </c>
      <c r="F2990">
        <v>3010111</v>
      </c>
      <c r="G2990">
        <v>4025</v>
      </c>
    </row>
    <row r="2991" spans="1:7" x14ac:dyDescent="0.3">
      <c r="A2991" s="80">
        <v>45663</v>
      </c>
      <c r="B2991">
        <v>3010200</v>
      </c>
      <c r="C2991">
        <v>5000</v>
      </c>
      <c r="E2991" s="80">
        <v>45659</v>
      </c>
      <c r="F2991">
        <v>3010111</v>
      </c>
      <c r="G2991">
        <v>3185</v>
      </c>
    </row>
    <row r="2992" spans="1:7" x14ac:dyDescent="0.3">
      <c r="A2992" s="80">
        <v>45663</v>
      </c>
      <c r="B2992">
        <v>3010200</v>
      </c>
      <c r="C2992">
        <v>5000</v>
      </c>
      <c r="E2992" s="80">
        <v>45659</v>
      </c>
      <c r="F2992">
        <v>3010111</v>
      </c>
      <c r="G2992">
        <v>1672</v>
      </c>
    </row>
    <row r="2993" spans="1:7" x14ac:dyDescent="0.3">
      <c r="A2993" s="80">
        <v>45663</v>
      </c>
      <c r="B2993">
        <v>3010200</v>
      </c>
      <c r="C2993">
        <v>5000</v>
      </c>
      <c r="E2993" s="80">
        <v>45659</v>
      </c>
      <c r="F2993">
        <v>3010111</v>
      </c>
      <c r="G2993">
        <v>3017</v>
      </c>
    </row>
    <row r="2994" spans="1:7" x14ac:dyDescent="0.3">
      <c r="A2994" s="80">
        <v>45662</v>
      </c>
      <c r="B2994">
        <v>3010200</v>
      </c>
      <c r="C2994">
        <v>5000</v>
      </c>
      <c r="E2994" s="80">
        <v>45659</v>
      </c>
      <c r="F2994">
        <v>3010111</v>
      </c>
      <c r="G2994">
        <v>4193</v>
      </c>
    </row>
    <row r="2995" spans="1:7" x14ac:dyDescent="0.3">
      <c r="A2995" s="80">
        <v>45662</v>
      </c>
      <c r="B2995">
        <v>3010200</v>
      </c>
      <c r="C2995">
        <v>5000</v>
      </c>
      <c r="E2995" s="80">
        <v>45659</v>
      </c>
      <c r="F2995">
        <v>3010111</v>
      </c>
      <c r="G2995">
        <v>0</v>
      </c>
    </row>
    <row r="2996" spans="1:7" x14ac:dyDescent="0.3">
      <c r="A2996" s="80">
        <v>45662</v>
      </c>
      <c r="B2996">
        <v>3010200</v>
      </c>
      <c r="C2996">
        <v>5000</v>
      </c>
      <c r="E2996" s="80">
        <v>45659</v>
      </c>
      <c r="F2996">
        <v>3010111</v>
      </c>
      <c r="G2996">
        <v>0</v>
      </c>
    </row>
    <row r="2997" spans="1:7" x14ac:dyDescent="0.3">
      <c r="A2997" s="80">
        <v>45662</v>
      </c>
      <c r="B2997">
        <v>3010200</v>
      </c>
      <c r="C2997">
        <v>5000</v>
      </c>
      <c r="E2997" s="80">
        <v>45659</v>
      </c>
      <c r="F2997">
        <v>3010111</v>
      </c>
      <c r="G2997">
        <v>0</v>
      </c>
    </row>
    <row r="2998" spans="1:7" x14ac:dyDescent="0.3">
      <c r="A2998" s="80">
        <v>45662</v>
      </c>
      <c r="B2998">
        <v>3010200</v>
      </c>
      <c r="C2998">
        <v>5000</v>
      </c>
      <c r="E2998" s="80">
        <v>45659</v>
      </c>
      <c r="F2998">
        <v>3010111</v>
      </c>
      <c r="G2998">
        <v>3185</v>
      </c>
    </row>
    <row r="2999" spans="1:7" x14ac:dyDescent="0.3">
      <c r="A2999" s="80">
        <v>45662</v>
      </c>
      <c r="B2999">
        <v>3010200</v>
      </c>
      <c r="C2999">
        <v>5000</v>
      </c>
      <c r="E2999" s="80">
        <v>45659</v>
      </c>
      <c r="F2999">
        <v>3010111</v>
      </c>
      <c r="G2999">
        <v>0</v>
      </c>
    </row>
    <row r="3000" spans="1:7" x14ac:dyDescent="0.3">
      <c r="A3000" s="80">
        <v>45662</v>
      </c>
      <c r="B3000">
        <v>3010200</v>
      </c>
      <c r="C3000">
        <v>5000</v>
      </c>
      <c r="E3000" s="80">
        <v>45659</v>
      </c>
      <c r="F3000">
        <v>3010111</v>
      </c>
      <c r="G3000">
        <v>1672</v>
      </c>
    </row>
    <row r="3001" spans="1:7" x14ac:dyDescent="0.3">
      <c r="A3001" s="80">
        <v>45662</v>
      </c>
      <c r="B3001">
        <v>3010200</v>
      </c>
      <c r="C3001">
        <v>5000</v>
      </c>
      <c r="E3001" s="80">
        <v>45659</v>
      </c>
      <c r="F3001">
        <v>3010111</v>
      </c>
      <c r="G3001">
        <v>3185</v>
      </c>
    </row>
    <row r="3002" spans="1:7" x14ac:dyDescent="0.3">
      <c r="A3002" s="80">
        <v>45662</v>
      </c>
      <c r="B3002">
        <v>3010200</v>
      </c>
      <c r="C3002">
        <v>5000</v>
      </c>
      <c r="E3002" s="80">
        <v>45659</v>
      </c>
      <c r="F3002">
        <v>3010111</v>
      </c>
      <c r="G3002">
        <v>0</v>
      </c>
    </row>
    <row r="3003" spans="1:7" x14ac:dyDescent="0.3">
      <c r="A3003" s="80">
        <v>45662</v>
      </c>
      <c r="B3003">
        <v>3010200</v>
      </c>
      <c r="C3003">
        <v>5000</v>
      </c>
      <c r="E3003" s="80">
        <v>45659</v>
      </c>
      <c r="F3003">
        <v>3010111</v>
      </c>
      <c r="G3003">
        <v>0</v>
      </c>
    </row>
    <row r="3004" spans="1:7" x14ac:dyDescent="0.3">
      <c r="A3004" s="80">
        <v>45662</v>
      </c>
      <c r="B3004">
        <v>3010200</v>
      </c>
      <c r="C3004">
        <v>5000</v>
      </c>
      <c r="E3004" s="80">
        <v>45659</v>
      </c>
      <c r="F3004">
        <v>3010111</v>
      </c>
      <c r="G3004">
        <v>0</v>
      </c>
    </row>
    <row r="3005" spans="1:7" x14ac:dyDescent="0.3">
      <c r="A3005" s="80">
        <v>45662</v>
      </c>
      <c r="B3005">
        <v>3010200</v>
      </c>
      <c r="C3005">
        <v>5000</v>
      </c>
      <c r="E3005" s="80">
        <v>45659</v>
      </c>
      <c r="F3005">
        <v>3010111</v>
      </c>
      <c r="G3005">
        <v>1672</v>
      </c>
    </row>
    <row r="3006" spans="1:7" x14ac:dyDescent="0.3">
      <c r="A3006" s="80">
        <v>45662</v>
      </c>
      <c r="B3006">
        <v>3010200</v>
      </c>
      <c r="C3006">
        <v>5000</v>
      </c>
      <c r="E3006" s="80">
        <v>45659</v>
      </c>
      <c r="F3006">
        <v>3010111</v>
      </c>
      <c r="G3006">
        <v>0</v>
      </c>
    </row>
    <row r="3007" spans="1:7" x14ac:dyDescent="0.3">
      <c r="A3007" s="80">
        <v>45662</v>
      </c>
      <c r="B3007">
        <v>3010200</v>
      </c>
      <c r="C3007">
        <v>2630</v>
      </c>
      <c r="E3007" s="80">
        <v>45659</v>
      </c>
      <c r="F3007">
        <v>3010111</v>
      </c>
      <c r="G3007">
        <v>0</v>
      </c>
    </row>
    <row r="3008" spans="1:7" x14ac:dyDescent="0.3">
      <c r="A3008" s="80">
        <v>45662</v>
      </c>
      <c r="B3008">
        <v>3010200</v>
      </c>
      <c r="C3008">
        <v>5000</v>
      </c>
      <c r="E3008" s="80">
        <v>45659</v>
      </c>
      <c r="F3008">
        <v>3010111</v>
      </c>
      <c r="G3008">
        <v>1672</v>
      </c>
    </row>
    <row r="3009" spans="1:7" x14ac:dyDescent="0.3">
      <c r="A3009" s="80">
        <v>45662</v>
      </c>
      <c r="B3009">
        <v>3010200</v>
      </c>
      <c r="C3009">
        <v>5000</v>
      </c>
      <c r="E3009" s="80">
        <v>45659</v>
      </c>
      <c r="F3009">
        <v>3010111</v>
      </c>
      <c r="G3009">
        <v>0</v>
      </c>
    </row>
    <row r="3010" spans="1:7" x14ac:dyDescent="0.3">
      <c r="A3010" s="80">
        <v>45662</v>
      </c>
      <c r="B3010">
        <v>3010200</v>
      </c>
      <c r="C3010">
        <v>10000</v>
      </c>
      <c r="E3010" s="80">
        <v>45659</v>
      </c>
      <c r="F3010">
        <v>3010111</v>
      </c>
      <c r="G3010">
        <v>0</v>
      </c>
    </row>
    <row r="3011" spans="1:7" x14ac:dyDescent="0.3">
      <c r="A3011" s="80">
        <v>45662</v>
      </c>
      <c r="B3011">
        <v>3010200</v>
      </c>
      <c r="C3011">
        <v>5000</v>
      </c>
      <c r="E3011" s="80">
        <v>45658</v>
      </c>
      <c r="F3011">
        <v>3010111</v>
      </c>
      <c r="G3011">
        <v>0</v>
      </c>
    </row>
    <row r="3012" spans="1:7" x14ac:dyDescent="0.3">
      <c r="A3012" s="80">
        <v>45662</v>
      </c>
      <c r="B3012">
        <v>3010200</v>
      </c>
      <c r="C3012">
        <v>5000</v>
      </c>
      <c r="E3012" s="80">
        <v>45658</v>
      </c>
      <c r="F3012">
        <v>3010111</v>
      </c>
      <c r="G3012">
        <v>0</v>
      </c>
    </row>
    <row r="3013" spans="1:7" x14ac:dyDescent="0.3">
      <c r="A3013" s="80">
        <v>45662</v>
      </c>
      <c r="B3013">
        <v>3010200</v>
      </c>
      <c r="C3013">
        <v>5000</v>
      </c>
      <c r="E3013" s="80">
        <v>45658</v>
      </c>
      <c r="F3013">
        <v>3010111</v>
      </c>
      <c r="G3013">
        <v>3521</v>
      </c>
    </row>
    <row r="3014" spans="1:7" x14ac:dyDescent="0.3">
      <c r="A3014" s="80">
        <v>45662</v>
      </c>
      <c r="B3014">
        <v>3010200</v>
      </c>
      <c r="C3014">
        <v>5000</v>
      </c>
      <c r="E3014" s="80">
        <v>45658</v>
      </c>
      <c r="F3014">
        <v>3010111</v>
      </c>
      <c r="G3014">
        <v>1672</v>
      </c>
    </row>
    <row r="3015" spans="1:7" x14ac:dyDescent="0.3">
      <c r="A3015" s="80">
        <v>45662</v>
      </c>
      <c r="B3015">
        <v>3010200</v>
      </c>
      <c r="C3015">
        <v>5000</v>
      </c>
      <c r="E3015" s="80">
        <v>45658</v>
      </c>
      <c r="F3015">
        <v>3010111</v>
      </c>
      <c r="G3015">
        <v>1672</v>
      </c>
    </row>
    <row r="3016" spans="1:7" x14ac:dyDescent="0.3">
      <c r="A3016" s="80">
        <v>45662</v>
      </c>
      <c r="B3016">
        <v>3010200</v>
      </c>
      <c r="C3016">
        <v>5000</v>
      </c>
      <c r="E3016" s="80">
        <v>45658</v>
      </c>
      <c r="F3016">
        <v>3010111</v>
      </c>
      <c r="G3016">
        <v>0</v>
      </c>
    </row>
    <row r="3017" spans="1:7" x14ac:dyDescent="0.3">
      <c r="A3017" s="80">
        <v>45662</v>
      </c>
      <c r="B3017">
        <v>3010200</v>
      </c>
      <c r="C3017">
        <v>5000</v>
      </c>
      <c r="E3017" s="80">
        <v>45658</v>
      </c>
      <c r="F3017">
        <v>3010111</v>
      </c>
      <c r="G3017">
        <v>0</v>
      </c>
    </row>
    <row r="3018" spans="1:7" x14ac:dyDescent="0.3">
      <c r="A3018" s="80">
        <v>45661</v>
      </c>
      <c r="B3018">
        <v>3010200</v>
      </c>
      <c r="C3018">
        <v>5000</v>
      </c>
      <c r="E3018" s="80">
        <v>45658</v>
      </c>
      <c r="F3018">
        <v>3010111</v>
      </c>
      <c r="G3018">
        <v>1672</v>
      </c>
    </row>
    <row r="3019" spans="1:7" x14ac:dyDescent="0.3">
      <c r="A3019" s="80">
        <v>45661</v>
      </c>
      <c r="B3019">
        <v>3010200</v>
      </c>
      <c r="C3019">
        <v>5000</v>
      </c>
      <c r="E3019" s="80">
        <v>45658</v>
      </c>
      <c r="F3019">
        <v>3010111</v>
      </c>
      <c r="G3019">
        <v>1672</v>
      </c>
    </row>
    <row r="3020" spans="1:7" x14ac:dyDescent="0.3">
      <c r="A3020" s="80">
        <v>45661</v>
      </c>
      <c r="B3020">
        <v>3010200</v>
      </c>
      <c r="C3020">
        <v>5000</v>
      </c>
      <c r="E3020" s="80">
        <v>45658</v>
      </c>
      <c r="F3020">
        <v>3010111</v>
      </c>
      <c r="G3020">
        <v>1672</v>
      </c>
    </row>
    <row r="3021" spans="1:7" x14ac:dyDescent="0.3">
      <c r="A3021" s="80">
        <v>45661</v>
      </c>
      <c r="B3021">
        <v>3010200</v>
      </c>
      <c r="C3021">
        <v>5000</v>
      </c>
      <c r="E3021" s="80">
        <v>45658</v>
      </c>
      <c r="F3021">
        <v>3010111</v>
      </c>
      <c r="G3021">
        <v>3521</v>
      </c>
    </row>
    <row r="3022" spans="1:7" x14ac:dyDescent="0.3">
      <c r="A3022" s="80">
        <v>45661</v>
      </c>
      <c r="B3022">
        <v>3010200</v>
      </c>
      <c r="C3022">
        <v>5000</v>
      </c>
      <c r="E3022" s="80">
        <v>45658</v>
      </c>
      <c r="F3022">
        <v>3010111</v>
      </c>
      <c r="G3022">
        <v>1672</v>
      </c>
    </row>
    <row r="3023" spans="1:7" x14ac:dyDescent="0.3">
      <c r="A3023" s="80">
        <v>45661</v>
      </c>
      <c r="B3023">
        <v>3010200</v>
      </c>
      <c r="C3023">
        <v>5000</v>
      </c>
      <c r="E3023" s="80">
        <v>45658</v>
      </c>
      <c r="F3023">
        <v>3010111</v>
      </c>
      <c r="G3023">
        <v>1672</v>
      </c>
    </row>
    <row r="3024" spans="1:7" x14ac:dyDescent="0.3">
      <c r="A3024" s="80">
        <v>45661</v>
      </c>
      <c r="B3024">
        <v>3010200</v>
      </c>
      <c r="C3024">
        <v>5000</v>
      </c>
      <c r="E3024" s="80">
        <v>45658</v>
      </c>
      <c r="F3024">
        <v>3010111</v>
      </c>
      <c r="G3024">
        <v>1672</v>
      </c>
    </row>
    <row r="3025" spans="1:7" x14ac:dyDescent="0.3">
      <c r="A3025" s="80">
        <v>45661</v>
      </c>
      <c r="B3025">
        <v>3010200</v>
      </c>
      <c r="C3025">
        <v>5000</v>
      </c>
      <c r="E3025" s="80">
        <v>45658</v>
      </c>
      <c r="F3025">
        <v>3010111</v>
      </c>
      <c r="G3025">
        <v>3941</v>
      </c>
    </row>
    <row r="3026" spans="1:7" x14ac:dyDescent="0.3">
      <c r="A3026" s="80">
        <v>45661</v>
      </c>
      <c r="B3026">
        <v>3010200</v>
      </c>
      <c r="C3026">
        <v>5000</v>
      </c>
      <c r="E3026" s="80">
        <v>45752</v>
      </c>
      <c r="F3026">
        <v>1010100</v>
      </c>
      <c r="G3026">
        <v>1865.54</v>
      </c>
    </row>
    <row r="3027" spans="1:7" x14ac:dyDescent="0.3">
      <c r="A3027" s="80">
        <v>45661</v>
      </c>
      <c r="B3027">
        <v>3010200</v>
      </c>
      <c r="C3027">
        <v>500</v>
      </c>
      <c r="E3027" s="80">
        <v>45752</v>
      </c>
      <c r="F3027">
        <v>1010100</v>
      </c>
      <c r="G3027">
        <v>772.76</v>
      </c>
    </row>
    <row r="3028" spans="1:7" x14ac:dyDescent="0.3">
      <c r="A3028" s="80">
        <v>45661</v>
      </c>
      <c r="B3028">
        <v>3010200</v>
      </c>
      <c r="C3028">
        <v>5000</v>
      </c>
      <c r="E3028" s="80">
        <v>45752</v>
      </c>
      <c r="F3028">
        <v>1010100</v>
      </c>
      <c r="G3028">
        <v>1005.01</v>
      </c>
    </row>
    <row r="3029" spans="1:7" x14ac:dyDescent="0.3">
      <c r="A3029" s="80">
        <v>45661</v>
      </c>
      <c r="B3029">
        <v>3010200</v>
      </c>
      <c r="C3029">
        <v>5000</v>
      </c>
      <c r="E3029" s="80">
        <v>45752</v>
      </c>
      <c r="F3029">
        <v>1010100</v>
      </c>
      <c r="G3029">
        <v>879.38</v>
      </c>
    </row>
    <row r="3030" spans="1:7" x14ac:dyDescent="0.3">
      <c r="A3030" s="80">
        <v>45661</v>
      </c>
      <c r="B3030">
        <v>3010200</v>
      </c>
      <c r="C3030">
        <v>5000</v>
      </c>
      <c r="E3030" s="80">
        <v>45752</v>
      </c>
      <c r="F3030">
        <v>1010100</v>
      </c>
      <c r="G3030">
        <v>1865.54</v>
      </c>
    </row>
    <row r="3031" spans="1:7" x14ac:dyDescent="0.3">
      <c r="A3031" s="80">
        <v>45661</v>
      </c>
      <c r="B3031">
        <v>3010200</v>
      </c>
      <c r="C3031">
        <v>5000</v>
      </c>
      <c r="E3031" s="80">
        <v>45752</v>
      </c>
      <c r="F3031">
        <v>1010100</v>
      </c>
      <c r="G3031">
        <v>879.38</v>
      </c>
    </row>
    <row r="3032" spans="1:7" x14ac:dyDescent="0.3">
      <c r="A3032" s="80">
        <v>45661</v>
      </c>
      <c r="B3032">
        <v>3010200</v>
      </c>
      <c r="C3032">
        <v>5000</v>
      </c>
      <c r="E3032" s="80">
        <v>45751</v>
      </c>
      <c r="F3032">
        <v>1010100</v>
      </c>
      <c r="G3032">
        <v>304.33999999999997</v>
      </c>
    </row>
    <row r="3033" spans="1:7" x14ac:dyDescent="0.3">
      <c r="A3033" s="80">
        <v>45661</v>
      </c>
      <c r="B3033">
        <v>3010200</v>
      </c>
      <c r="C3033">
        <v>5000</v>
      </c>
      <c r="E3033" s="80">
        <v>45751</v>
      </c>
      <c r="F3033">
        <v>1010100</v>
      </c>
      <c r="G3033">
        <v>304.33999999999997</v>
      </c>
    </row>
    <row r="3034" spans="1:7" x14ac:dyDescent="0.3">
      <c r="A3034" s="80">
        <v>45661</v>
      </c>
      <c r="B3034">
        <v>3010200</v>
      </c>
      <c r="C3034">
        <v>5000</v>
      </c>
      <c r="E3034" s="80">
        <v>45751</v>
      </c>
      <c r="F3034">
        <v>1010100</v>
      </c>
      <c r="G3034">
        <v>879.38</v>
      </c>
    </row>
    <row r="3035" spans="1:7" x14ac:dyDescent="0.3">
      <c r="A3035" s="80">
        <v>45661</v>
      </c>
      <c r="B3035">
        <v>3010200</v>
      </c>
      <c r="C3035">
        <v>5000</v>
      </c>
      <c r="E3035" s="80">
        <v>45751</v>
      </c>
      <c r="F3035">
        <v>1010100</v>
      </c>
      <c r="G3035">
        <v>879.38</v>
      </c>
    </row>
    <row r="3036" spans="1:7" x14ac:dyDescent="0.3">
      <c r="A3036" s="80">
        <v>45661</v>
      </c>
      <c r="B3036">
        <v>3010200</v>
      </c>
      <c r="C3036">
        <v>5000</v>
      </c>
      <c r="E3036" s="80">
        <v>45751</v>
      </c>
      <c r="F3036">
        <v>1010100</v>
      </c>
      <c r="G3036">
        <v>879.38</v>
      </c>
    </row>
    <row r="3037" spans="1:7" x14ac:dyDescent="0.3">
      <c r="A3037" s="80">
        <v>45660</v>
      </c>
      <c r="B3037">
        <v>3010200</v>
      </c>
      <c r="C3037">
        <v>5000</v>
      </c>
      <c r="E3037" s="80">
        <v>45751</v>
      </c>
      <c r="F3037">
        <v>1010100</v>
      </c>
      <c r="G3037">
        <v>879.38</v>
      </c>
    </row>
    <row r="3038" spans="1:7" x14ac:dyDescent="0.3">
      <c r="A3038" s="80">
        <v>45660</v>
      </c>
      <c r="B3038">
        <v>3010200</v>
      </c>
      <c r="C3038">
        <v>5000</v>
      </c>
      <c r="E3038" s="80">
        <v>45751</v>
      </c>
      <c r="F3038">
        <v>1010100</v>
      </c>
      <c r="G3038">
        <v>879.38</v>
      </c>
    </row>
    <row r="3039" spans="1:7" x14ac:dyDescent="0.3">
      <c r="A3039" s="80">
        <v>45660</v>
      </c>
      <c r="B3039">
        <v>3010200</v>
      </c>
      <c r="C3039">
        <v>5000</v>
      </c>
      <c r="E3039" s="80">
        <v>45751</v>
      </c>
      <c r="F3039">
        <v>1010100</v>
      </c>
      <c r="G3039">
        <v>879.38</v>
      </c>
    </row>
    <row r="3040" spans="1:7" x14ac:dyDescent="0.3">
      <c r="A3040" s="80">
        <v>45660</v>
      </c>
      <c r="B3040">
        <v>3010200</v>
      </c>
      <c r="C3040">
        <v>5000</v>
      </c>
      <c r="E3040" s="80">
        <v>45751</v>
      </c>
      <c r="F3040">
        <v>1010100</v>
      </c>
      <c r="G3040">
        <v>879.38</v>
      </c>
    </row>
    <row r="3041" spans="1:7" x14ac:dyDescent="0.3">
      <c r="A3041" s="80">
        <v>45660</v>
      </c>
      <c r="B3041">
        <v>3010200</v>
      </c>
      <c r="C3041">
        <v>5000</v>
      </c>
      <c r="E3041" s="80">
        <v>45750</v>
      </c>
      <c r="F3041">
        <v>1010100</v>
      </c>
      <c r="G3041">
        <v>879.38</v>
      </c>
    </row>
    <row r="3042" spans="1:7" x14ac:dyDescent="0.3">
      <c r="A3042" s="80">
        <v>45660</v>
      </c>
      <c r="B3042">
        <v>3010200</v>
      </c>
      <c r="C3042">
        <v>5000</v>
      </c>
      <c r="E3042" s="80">
        <v>45750</v>
      </c>
      <c r="F3042">
        <v>1010100</v>
      </c>
      <c r="G3042">
        <v>1865.54</v>
      </c>
    </row>
    <row r="3043" spans="1:7" x14ac:dyDescent="0.3">
      <c r="A3043" s="80">
        <v>45660</v>
      </c>
      <c r="B3043">
        <v>3010200</v>
      </c>
      <c r="C3043">
        <v>5000</v>
      </c>
      <c r="E3043" s="80">
        <v>45750</v>
      </c>
      <c r="F3043">
        <v>1010100</v>
      </c>
      <c r="G3043">
        <v>1142.02</v>
      </c>
    </row>
    <row r="3044" spans="1:7" x14ac:dyDescent="0.3">
      <c r="A3044" s="80">
        <v>45660</v>
      </c>
      <c r="B3044">
        <v>3010200</v>
      </c>
      <c r="C3044">
        <v>5000</v>
      </c>
      <c r="E3044" s="80">
        <v>45750</v>
      </c>
      <c r="F3044">
        <v>1010100</v>
      </c>
      <c r="G3044">
        <v>1142.02</v>
      </c>
    </row>
    <row r="3045" spans="1:7" x14ac:dyDescent="0.3">
      <c r="A3045" s="80">
        <v>45660</v>
      </c>
      <c r="B3045">
        <v>3010200</v>
      </c>
      <c r="C3045">
        <v>5000</v>
      </c>
      <c r="E3045" s="80">
        <v>45750</v>
      </c>
      <c r="F3045">
        <v>1010100</v>
      </c>
      <c r="G3045">
        <v>879.38</v>
      </c>
    </row>
    <row r="3046" spans="1:7" x14ac:dyDescent="0.3">
      <c r="A3046" s="80">
        <v>45660</v>
      </c>
      <c r="B3046">
        <v>3010200</v>
      </c>
      <c r="C3046">
        <v>5000</v>
      </c>
      <c r="E3046" s="80">
        <v>45750</v>
      </c>
      <c r="F3046">
        <v>1010100</v>
      </c>
      <c r="G3046">
        <v>879.38</v>
      </c>
    </row>
    <row r="3047" spans="1:7" x14ac:dyDescent="0.3">
      <c r="A3047" s="80">
        <v>45660</v>
      </c>
      <c r="B3047">
        <v>3010200</v>
      </c>
      <c r="C3047">
        <v>5000</v>
      </c>
      <c r="E3047" s="80">
        <v>45749</v>
      </c>
      <c r="F3047">
        <v>1010100</v>
      </c>
      <c r="G3047">
        <v>879.38</v>
      </c>
    </row>
    <row r="3048" spans="1:7" x14ac:dyDescent="0.3">
      <c r="A3048" s="80">
        <v>45660</v>
      </c>
      <c r="B3048">
        <v>3010200</v>
      </c>
      <c r="C3048">
        <v>5000</v>
      </c>
      <c r="E3048" s="80">
        <v>45749</v>
      </c>
      <c r="F3048">
        <v>1010100</v>
      </c>
      <c r="G3048">
        <v>879.38</v>
      </c>
    </row>
    <row r="3049" spans="1:7" x14ac:dyDescent="0.3">
      <c r="A3049" s="80">
        <v>45660</v>
      </c>
      <c r="B3049">
        <v>3010200</v>
      </c>
      <c r="C3049">
        <v>5000</v>
      </c>
      <c r="E3049" s="80">
        <v>45749</v>
      </c>
      <c r="F3049">
        <v>1010100</v>
      </c>
      <c r="G3049">
        <v>879.38</v>
      </c>
    </row>
    <row r="3050" spans="1:7" x14ac:dyDescent="0.3">
      <c r="A3050" s="80">
        <v>45660</v>
      </c>
      <c r="B3050">
        <v>3010200</v>
      </c>
      <c r="C3050">
        <v>5000</v>
      </c>
      <c r="E3050" s="80">
        <v>45749</v>
      </c>
      <c r="F3050">
        <v>1010100</v>
      </c>
      <c r="G3050">
        <v>879.38</v>
      </c>
    </row>
    <row r="3051" spans="1:7" x14ac:dyDescent="0.3">
      <c r="A3051" s="80">
        <v>45660</v>
      </c>
      <c r="B3051">
        <v>3010200</v>
      </c>
      <c r="C3051">
        <v>5000</v>
      </c>
      <c r="E3051" s="80">
        <v>45749</v>
      </c>
      <c r="F3051">
        <v>1010100</v>
      </c>
      <c r="G3051">
        <v>879.38</v>
      </c>
    </row>
    <row r="3052" spans="1:7" x14ac:dyDescent="0.3">
      <c r="A3052" s="80">
        <v>45660</v>
      </c>
      <c r="B3052">
        <v>3010200</v>
      </c>
      <c r="C3052">
        <v>2630</v>
      </c>
      <c r="E3052" s="80">
        <v>45749</v>
      </c>
      <c r="F3052">
        <v>1010100</v>
      </c>
      <c r="G3052">
        <v>879.38</v>
      </c>
    </row>
    <row r="3053" spans="1:7" x14ac:dyDescent="0.3">
      <c r="A3053" s="80">
        <v>45660</v>
      </c>
      <c r="B3053">
        <v>3010200</v>
      </c>
      <c r="C3053">
        <v>5000</v>
      </c>
      <c r="E3053" s="80">
        <v>45749</v>
      </c>
      <c r="F3053">
        <v>1010100</v>
      </c>
      <c r="G3053">
        <v>1865.54</v>
      </c>
    </row>
    <row r="3054" spans="1:7" x14ac:dyDescent="0.3">
      <c r="A3054" s="80">
        <v>45659</v>
      </c>
      <c r="B3054">
        <v>3010200</v>
      </c>
      <c r="C3054">
        <v>5000</v>
      </c>
      <c r="E3054" s="80">
        <v>45748</v>
      </c>
      <c r="F3054">
        <v>1010100</v>
      </c>
      <c r="G3054">
        <v>970.7</v>
      </c>
    </row>
    <row r="3055" spans="1:7" x14ac:dyDescent="0.3">
      <c r="A3055" s="80">
        <v>45659</v>
      </c>
      <c r="B3055">
        <v>3010200</v>
      </c>
      <c r="C3055">
        <v>5000</v>
      </c>
      <c r="E3055" s="80">
        <v>45748</v>
      </c>
      <c r="F3055">
        <v>1010100</v>
      </c>
      <c r="G3055">
        <v>1005.01</v>
      </c>
    </row>
    <row r="3056" spans="1:7" x14ac:dyDescent="0.3">
      <c r="A3056" s="80">
        <v>45659</v>
      </c>
      <c r="B3056">
        <v>3010200</v>
      </c>
      <c r="C3056">
        <v>5000</v>
      </c>
      <c r="E3056" s="80">
        <v>45748</v>
      </c>
      <c r="F3056">
        <v>1010100</v>
      </c>
      <c r="G3056">
        <v>772.76</v>
      </c>
    </row>
    <row r="3057" spans="1:7" x14ac:dyDescent="0.3">
      <c r="A3057" s="80">
        <v>45659</v>
      </c>
      <c r="B3057">
        <v>3010200</v>
      </c>
      <c r="C3057">
        <v>5000</v>
      </c>
      <c r="E3057" s="80">
        <v>45747</v>
      </c>
      <c r="F3057">
        <v>1010100</v>
      </c>
      <c r="G3057">
        <v>1142.02</v>
      </c>
    </row>
    <row r="3058" spans="1:7" x14ac:dyDescent="0.3">
      <c r="A3058" s="80">
        <v>45659</v>
      </c>
      <c r="B3058">
        <v>3010200</v>
      </c>
      <c r="C3058">
        <v>5000</v>
      </c>
      <c r="E3058" s="80">
        <v>45747</v>
      </c>
      <c r="F3058">
        <v>1010100</v>
      </c>
      <c r="G3058">
        <v>879.38</v>
      </c>
    </row>
    <row r="3059" spans="1:7" x14ac:dyDescent="0.3">
      <c r="A3059" s="80">
        <v>45659</v>
      </c>
      <c r="B3059">
        <v>3010200</v>
      </c>
      <c r="C3059">
        <v>5000</v>
      </c>
      <c r="E3059" s="80">
        <v>45747</v>
      </c>
      <c r="F3059">
        <v>1010100</v>
      </c>
      <c r="G3059">
        <v>1142.02</v>
      </c>
    </row>
    <row r="3060" spans="1:7" x14ac:dyDescent="0.3">
      <c r="A3060" s="80">
        <v>45659</v>
      </c>
      <c r="B3060">
        <v>3010200</v>
      </c>
      <c r="C3060">
        <v>5000</v>
      </c>
      <c r="E3060" s="80">
        <v>45747</v>
      </c>
      <c r="F3060">
        <v>1010100</v>
      </c>
      <c r="G3060">
        <v>1142.02</v>
      </c>
    </row>
    <row r="3061" spans="1:7" x14ac:dyDescent="0.3">
      <c r="A3061" s="80">
        <v>45659</v>
      </c>
      <c r="B3061">
        <v>3010200</v>
      </c>
      <c r="C3061">
        <v>5000</v>
      </c>
      <c r="E3061" s="80">
        <v>45747</v>
      </c>
      <c r="F3061">
        <v>1010100</v>
      </c>
      <c r="G3061">
        <v>879.38</v>
      </c>
    </row>
    <row r="3062" spans="1:7" x14ac:dyDescent="0.3">
      <c r="A3062" s="80">
        <v>45659</v>
      </c>
      <c r="B3062">
        <v>3010200</v>
      </c>
      <c r="C3062">
        <v>5000</v>
      </c>
      <c r="E3062" s="80">
        <v>45747</v>
      </c>
      <c r="F3062">
        <v>1010100</v>
      </c>
      <c r="G3062">
        <v>1142.02</v>
      </c>
    </row>
    <row r="3063" spans="1:7" x14ac:dyDescent="0.3">
      <c r="A3063" s="80">
        <v>45659</v>
      </c>
      <c r="B3063">
        <v>3010200</v>
      </c>
      <c r="C3063">
        <v>10000</v>
      </c>
      <c r="E3063" s="80">
        <v>45747</v>
      </c>
      <c r="F3063">
        <v>1010100</v>
      </c>
      <c r="G3063">
        <v>1005.01</v>
      </c>
    </row>
    <row r="3064" spans="1:7" x14ac:dyDescent="0.3">
      <c r="A3064" s="80">
        <v>45659</v>
      </c>
      <c r="B3064">
        <v>3010200</v>
      </c>
      <c r="C3064">
        <v>5000</v>
      </c>
      <c r="E3064" s="80">
        <v>45747</v>
      </c>
      <c r="F3064">
        <v>1010100</v>
      </c>
      <c r="G3064">
        <v>1005.01</v>
      </c>
    </row>
    <row r="3065" spans="1:7" x14ac:dyDescent="0.3">
      <c r="A3065" s="80">
        <v>45659</v>
      </c>
      <c r="B3065">
        <v>3010200</v>
      </c>
      <c r="C3065">
        <v>5000</v>
      </c>
      <c r="E3065" s="80">
        <v>45746</v>
      </c>
      <c r="F3065">
        <v>1010100</v>
      </c>
      <c r="G3065">
        <v>1865.54</v>
      </c>
    </row>
    <row r="3066" spans="1:7" x14ac:dyDescent="0.3">
      <c r="A3066" s="80">
        <v>45659</v>
      </c>
      <c r="B3066">
        <v>3010200</v>
      </c>
      <c r="C3066">
        <v>5000</v>
      </c>
      <c r="E3066" s="80">
        <v>45746</v>
      </c>
      <c r="F3066">
        <v>1010100</v>
      </c>
      <c r="G3066">
        <v>1005.01</v>
      </c>
    </row>
    <row r="3067" spans="1:7" x14ac:dyDescent="0.3">
      <c r="A3067" s="80">
        <v>45659</v>
      </c>
      <c r="B3067">
        <v>3010200</v>
      </c>
      <c r="C3067">
        <v>5000</v>
      </c>
      <c r="E3067" s="80">
        <v>45746</v>
      </c>
      <c r="F3067">
        <v>1010100</v>
      </c>
      <c r="G3067">
        <v>1005.01</v>
      </c>
    </row>
    <row r="3068" spans="1:7" x14ac:dyDescent="0.3">
      <c r="A3068" s="80">
        <v>45659</v>
      </c>
      <c r="B3068">
        <v>3010200</v>
      </c>
      <c r="C3068">
        <v>5000</v>
      </c>
      <c r="E3068" s="80">
        <v>45746</v>
      </c>
      <c r="F3068">
        <v>1010100</v>
      </c>
      <c r="G3068">
        <v>1005.01</v>
      </c>
    </row>
    <row r="3069" spans="1:7" x14ac:dyDescent="0.3">
      <c r="A3069" s="80">
        <v>45659</v>
      </c>
      <c r="B3069">
        <v>3010200</v>
      </c>
      <c r="C3069">
        <v>5000</v>
      </c>
      <c r="E3069" s="80">
        <v>45746</v>
      </c>
      <c r="F3069">
        <v>1010100</v>
      </c>
      <c r="G3069">
        <v>1865.54</v>
      </c>
    </row>
    <row r="3070" spans="1:7" x14ac:dyDescent="0.3">
      <c r="A3070" s="80">
        <v>45659</v>
      </c>
      <c r="B3070">
        <v>3010200</v>
      </c>
      <c r="C3070">
        <v>5000</v>
      </c>
      <c r="E3070" s="80">
        <v>45745</v>
      </c>
      <c r="F3070">
        <v>1010100</v>
      </c>
      <c r="G3070">
        <v>1142.02</v>
      </c>
    </row>
    <row r="3071" spans="1:7" x14ac:dyDescent="0.3">
      <c r="A3071" s="80">
        <v>45659</v>
      </c>
      <c r="B3071">
        <v>3010200</v>
      </c>
      <c r="C3071">
        <v>5000</v>
      </c>
      <c r="E3071" s="80">
        <v>45745</v>
      </c>
      <c r="F3071">
        <v>1010100</v>
      </c>
      <c r="G3071">
        <v>1142.02</v>
      </c>
    </row>
    <row r="3072" spans="1:7" x14ac:dyDescent="0.3">
      <c r="A3072" s="80">
        <v>45659</v>
      </c>
      <c r="B3072">
        <v>3010200</v>
      </c>
      <c r="C3072">
        <v>5000</v>
      </c>
      <c r="E3072" s="80">
        <v>45744</v>
      </c>
      <c r="F3072">
        <v>1010100</v>
      </c>
      <c r="G3072">
        <v>1142.02</v>
      </c>
    </row>
    <row r="3073" spans="1:7" x14ac:dyDescent="0.3">
      <c r="A3073" s="80">
        <v>45659</v>
      </c>
      <c r="B3073">
        <v>3010200</v>
      </c>
      <c r="C3073">
        <v>5000</v>
      </c>
      <c r="E3073" s="80">
        <v>45744</v>
      </c>
      <c r="F3073">
        <v>1010100</v>
      </c>
      <c r="G3073">
        <v>1142.02</v>
      </c>
    </row>
    <row r="3074" spans="1:7" x14ac:dyDescent="0.3">
      <c r="A3074" s="80">
        <v>45659</v>
      </c>
      <c r="B3074">
        <v>3010200</v>
      </c>
      <c r="C3074">
        <v>5000</v>
      </c>
      <c r="E3074" s="80">
        <v>45744</v>
      </c>
      <c r="F3074">
        <v>1010100</v>
      </c>
      <c r="G3074">
        <v>1142.02</v>
      </c>
    </row>
    <row r="3075" spans="1:7" x14ac:dyDescent="0.3">
      <c r="A3075" s="80">
        <v>45659</v>
      </c>
      <c r="B3075">
        <v>3010200</v>
      </c>
      <c r="C3075">
        <v>5000</v>
      </c>
      <c r="E3075" s="80">
        <v>45743</v>
      </c>
      <c r="F3075">
        <v>1010100</v>
      </c>
      <c r="G3075">
        <v>1142.02</v>
      </c>
    </row>
    <row r="3076" spans="1:7" x14ac:dyDescent="0.3">
      <c r="A3076" s="80">
        <v>45659</v>
      </c>
      <c r="B3076">
        <v>3010200</v>
      </c>
      <c r="C3076">
        <v>5000</v>
      </c>
      <c r="E3076" s="80">
        <v>45743</v>
      </c>
      <c r="F3076">
        <v>1010100</v>
      </c>
      <c r="G3076">
        <v>1142.02</v>
      </c>
    </row>
    <row r="3077" spans="1:7" x14ac:dyDescent="0.3">
      <c r="A3077" s="80">
        <v>45658</v>
      </c>
      <c r="B3077">
        <v>3010200</v>
      </c>
      <c r="C3077">
        <v>5000</v>
      </c>
      <c r="E3077" s="80">
        <v>45743</v>
      </c>
      <c r="F3077">
        <v>1010100</v>
      </c>
      <c r="G3077">
        <v>380.42</v>
      </c>
    </row>
    <row r="3078" spans="1:7" x14ac:dyDescent="0.3">
      <c r="A3078" s="80">
        <v>45658</v>
      </c>
      <c r="B3078">
        <v>3010200</v>
      </c>
      <c r="C3078">
        <v>5000</v>
      </c>
      <c r="E3078" s="80">
        <v>45743</v>
      </c>
      <c r="F3078">
        <v>1010100</v>
      </c>
      <c r="G3078">
        <v>951.62</v>
      </c>
    </row>
    <row r="3079" spans="1:7" x14ac:dyDescent="0.3">
      <c r="A3079" s="80">
        <v>45658</v>
      </c>
      <c r="B3079">
        <v>3010200</v>
      </c>
      <c r="C3079">
        <v>5000</v>
      </c>
      <c r="E3079" s="80">
        <v>45743</v>
      </c>
      <c r="F3079">
        <v>1010100</v>
      </c>
      <c r="G3079">
        <v>1142.02</v>
      </c>
    </row>
    <row r="3080" spans="1:7" x14ac:dyDescent="0.3">
      <c r="A3080" s="80">
        <v>45658</v>
      </c>
      <c r="B3080">
        <v>3010200</v>
      </c>
      <c r="C3080">
        <v>5000</v>
      </c>
      <c r="E3080" s="80">
        <v>45743</v>
      </c>
      <c r="F3080">
        <v>1010100</v>
      </c>
      <c r="G3080">
        <v>1142.02</v>
      </c>
    </row>
    <row r="3081" spans="1:7" x14ac:dyDescent="0.3">
      <c r="A3081" s="80">
        <v>45658</v>
      </c>
      <c r="B3081">
        <v>3010200</v>
      </c>
      <c r="C3081">
        <v>5000</v>
      </c>
      <c r="E3081" s="80">
        <v>45743</v>
      </c>
      <c r="F3081">
        <v>1010100</v>
      </c>
      <c r="G3081">
        <v>1142.02</v>
      </c>
    </row>
    <row r="3082" spans="1:7" x14ac:dyDescent="0.3">
      <c r="A3082" s="80">
        <v>45658</v>
      </c>
      <c r="B3082">
        <v>3010200</v>
      </c>
      <c r="C3082">
        <v>5000</v>
      </c>
      <c r="E3082" s="80">
        <v>45740</v>
      </c>
      <c r="F3082">
        <v>1010100</v>
      </c>
      <c r="G3082">
        <v>2284.04</v>
      </c>
    </row>
    <row r="3083" spans="1:7" x14ac:dyDescent="0.3">
      <c r="A3083" s="80">
        <v>45658</v>
      </c>
      <c r="B3083">
        <v>3010200</v>
      </c>
      <c r="C3083">
        <v>5000</v>
      </c>
      <c r="E3083" s="80">
        <v>45740</v>
      </c>
      <c r="F3083">
        <v>1010100</v>
      </c>
      <c r="G3083">
        <v>1142.02</v>
      </c>
    </row>
    <row r="3084" spans="1:7" x14ac:dyDescent="0.3">
      <c r="A3084" s="80">
        <v>45658</v>
      </c>
      <c r="B3084">
        <v>3010200</v>
      </c>
      <c r="C3084">
        <v>5000</v>
      </c>
      <c r="E3084" s="80">
        <v>45739</v>
      </c>
      <c r="F3084">
        <v>1010100</v>
      </c>
      <c r="G3084">
        <v>1142.02</v>
      </c>
    </row>
    <row r="3085" spans="1:7" x14ac:dyDescent="0.3">
      <c r="A3085" s="80">
        <v>45658</v>
      </c>
      <c r="B3085">
        <v>3010200</v>
      </c>
      <c r="C3085">
        <v>5000</v>
      </c>
      <c r="E3085" s="80">
        <v>45739</v>
      </c>
      <c r="F3085">
        <v>1010100</v>
      </c>
      <c r="G3085">
        <v>380.42</v>
      </c>
    </row>
    <row r="3086" spans="1:7" x14ac:dyDescent="0.3">
      <c r="A3086" s="80">
        <v>45658</v>
      </c>
      <c r="B3086">
        <v>3010200</v>
      </c>
      <c r="C3086">
        <v>2630</v>
      </c>
      <c r="E3086" s="80">
        <v>45739</v>
      </c>
      <c r="F3086">
        <v>1010100</v>
      </c>
      <c r="G3086">
        <v>1142.02</v>
      </c>
    </row>
    <row r="3087" spans="1:7" x14ac:dyDescent="0.3">
      <c r="A3087" s="80">
        <v>45658</v>
      </c>
      <c r="B3087">
        <v>3010200</v>
      </c>
      <c r="C3087">
        <v>5000</v>
      </c>
      <c r="E3087" s="80">
        <v>45738</v>
      </c>
      <c r="F3087">
        <v>1010100</v>
      </c>
      <c r="G3087">
        <v>1142.02</v>
      </c>
    </row>
    <row r="3088" spans="1:7" x14ac:dyDescent="0.3">
      <c r="A3088" s="80">
        <v>45658</v>
      </c>
      <c r="B3088">
        <v>3010200</v>
      </c>
      <c r="C3088">
        <v>5000</v>
      </c>
      <c r="E3088" s="80">
        <v>45738</v>
      </c>
      <c r="F3088">
        <v>1010100</v>
      </c>
      <c r="G3088">
        <v>1142.02</v>
      </c>
    </row>
    <row r="3089" spans="1:7" x14ac:dyDescent="0.3">
      <c r="A3089" s="80">
        <v>45658</v>
      </c>
      <c r="B3089">
        <v>3010200</v>
      </c>
      <c r="C3089">
        <v>5000</v>
      </c>
      <c r="E3089" s="80">
        <v>45737</v>
      </c>
      <c r="F3089">
        <v>1010100</v>
      </c>
      <c r="G3089">
        <v>1142.02</v>
      </c>
    </row>
    <row r="3090" spans="1:7" x14ac:dyDescent="0.3">
      <c r="A3090" s="80">
        <v>45658</v>
      </c>
      <c r="B3090">
        <v>3010200</v>
      </c>
      <c r="C3090">
        <v>5000</v>
      </c>
      <c r="E3090" s="80">
        <v>45737</v>
      </c>
      <c r="F3090">
        <v>1010100</v>
      </c>
      <c r="G3090">
        <v>1865.54</v>
      </c>
    </row>
    <row r="3091" spans="1:7" x14ac:dyDescent="0.3">
      <c r="A3091" s="80">
        <v>45658</v>
      </c>
      <c r="B3091">
        <v>3010200</v>
      </c>
      <c r="C3091">
        <v>5000</v>
      </c>
      <c r="E3091" s="80">
        <v>45736</v>
      </c>
      <c r="F3091">
        <v>1010100</v>
      </c>
      <c r="G3091">
        <v>1142.02</v>
      </c>
    </row>
    <row r="3092" spans="1:7" x14ac:dyDescent="0.3">
      <c r="E3092" s="80">
        <v>45736</v>
      </c>
      <c r="F3092">
        <v>1010100</v>
      </c>
      <c r="G3092">
        <v>1142.02</v>
      </c>
    </row>
    <row r="3093" spans="1:7" x14ac:dyDescent="0.3">
      <c r="E3093" s="80">
        <v>45736</v>
      </c>
      <c r="F3093">
        <v>1010100</v>
      </c>
      <c r="G3093">
        <v>1142.02</v>
      </c>
    </row>
    <row r="3094" spans="1:7" x14ac:dyDescent="0.3">
      <c r="E3094" s="80">
        <v>45736</v>
      </c>
      <c r="F3094">
        <v>1010100</v>
      </c>
      <c r="G3094">
        <v>1142.02</v>
      </c>
    </row>
    <row r="3095" spans="1:7" x14ac:dyDescent="0.3">
      <c r="E3095" s="80">
        <v>45736</v>
      </c>
      <c r="F3095">
        <v>1010100</v>
      </c>
      <c r="G3095">
        <v>1142.02</v>
      </c>
    </row>
    <row r="3096" spans="1:7" x14ac:dyDescent="0.3">
      <c r="E3096" s="80">
        <v>45735</v>
      </c>
      <c r="F3096">
        <v>1010100</v>
      </c>
      <c r="G3096">
        <v>1142.02</v>
      </c>
    </row>
    <row r="3097" spans="1:7" x14ac:dyDescent="0.3">
      <c r="E3097" s="80">
        <v>45735</v>
      </c>
      <c r="F3097">
        <v>1010100</v>
      </c>
      <c r="G3097">
        <v>1142.02</v>
      </c>
    </row>
    <row r="3098" spans="1:7" x14ac:dyDescent="0.3">
      <c r="E3098" s="80">
        <v>45735</v>
      </c>
      <c r="F3098">
        <v>1010100</v>
      </c>
      <c r="G3098">
        <v>1142.02</v>
      </c>
    </row>
    <row r="3099" spans="1:7" x14ac:dyDescent="0.3">
      <c r="E3099" s="80">
        <v>45734</v>
      </c>
      <c r="F3099">
        <v>1010100</v>
      </c>
      <c r="G3099">
        <v>827.86</v>
      </c>
    </row>
    <row r="3100" spans="1:7" x14ac:dyDescent="0.3">
      <c r="E3100" s="80">
        <v>45734</v>
      </c>
      <c r="F3100">
        <v>1010100</v>
      </c>
      <c r="G3100">
        <v>1027.82</v>
      </c>
    </row>
    <row r="3101" spans="1:7" x14ac:dyDescent="0.3">
      <c r="E3101" s="80">
        <v>45734</v>
      </c>
      <c r="F3101">
        <v>1010100</v>
      </c>
      <c r="G3101">
        <v>1142.02</v>
      </c>
    </row>
    <row r="3102" spans="1:7" x14ac:dyDescent="0.3">
      <c r="E3102" s="80">
        <v>45734</v>
      </c>
      <c r="F3102">
        <v>1010100</v>
      </c>
      <c r="G3102">
        <v>1142.02</v>
      </c>
    </row>
    <row r="3103" spans="1:7" x14ac:dyDescent="0.3">
      <c r="E3103" s="80">
        <v>45734</v>
      </c>
      <c r="F3103">
        <v>1010100</v>
      </c>
      <c r="G3103">
        <v>1142.02</v>
      </c>
    </row>
    <row r="3104" spans="1:7" x14ac:dyDescent="0.3">
      <c r="E3104" s="80">
        <v>45733</v>
      </c>
      <c r="F3104">
        <v>1010100</v>
      </c>
      <c r="G3104">
        <v>1142.02</v>
      </c>
    </row>
    <row r="3105" spans="5:7" x14ac:dyDescent="0.3">
      <c r="E3105" s="80">
        <v>45733</v>
      </c>
      <c r="F3105">
        <v>1010100</v>
      </c>
      <c r="G3105">
        <v>1142.02</v>
      </c>
    </row>
    <row r="3106" spans="5:7" x14ac:dyDescent="0.3">
      <c r="E3106" s="80">
        <v>45733</v>
      </c>
      <c r="F3106">
        <v>1010100</v>
      </c>
      <c r="G3106">
        <v>1142.02</v>
      </c>
    </row>
    <row r="3107" spans="5:7" x14ac:dyDescent="0.3">
      <c r="E3107" s="80">
        <v>45733</v>
      </c>
      <c r="F3107">
        <v>1010100</v>
      </c>
      <c r="G3107">
        <v>1142.02</v>
      </c>
    </row>
    <row r="3108" spans="5:7" x14ac:dyDescent="0.3">
      <c r="E3108" s="80">
        <v>45733</v>
      </c>
      <c r="F3108">
        <v>1010100</v>
      </c>
      <c r="G3108">
        <v>1027.82</v>
      </c>
    </row>
    <row r="3109" spans="5:7" x14ac:dyDescent="0.3">
      <c r="E3109" s="80">
        <v>45733</v>
      </c>
      <c r="F3109">
        <v>1010100</v>
      </c>
      <c r="G3109">
        <v>1142.02</v>
      </c>
    </row>
    <row r="3110" spans="5:7" x14ac:dyDescent="0.3">
      <c r="E3110" s="80">
        <v>45733</v>
      </c>
      <c r="F3110">
        <v>1010100</v>
      </c>
      <c r="G3110">
        <v>1142.02</v>
      </c>
    </row>
    <row r="3111" spans="5:7" x14ac:dyDescent="0.3">
      <c r="E3111" s="80">
        <v>45733</v>
      </c>
      <c r="F3111">
        <v>1010100</v>
      </c>
      <c r="G3111">
        <v>1142.02</v>
      </c>
    </row>
    <row r="3112" spans="5:7" x14ac:dyDescent="0.3">
      <c r="E3112" s="80">
        <v>45732</v>
      </c>
      <c r="F3112">
        <v>1010100</v>
      </c>
      <c r="G3112">
        <v>1142.02</v>
      </c>
    </row>
    <row r="3113" spans="5:7" x14ac:dyDescent="0.3">
      <c r="E3113" s="80">
        <v>45732</v>
      </c>
      <c r="F3113">
        <v>1010100</v>
      </c>
      <c r="G3113">
        <v>1142.02</v>
      </c>
    </row>
    <row r="3114" spans="5:7" x14ac:dyDescent="0.3">
      <c r="E3114" s="80">
        <v>45731</v>
      </c>
      <c r="F3114">
        <v>1010100</v>
      </c>
      <c r="G3114">
        <v>1027.82</v>
      </c>
    </row>
    <row r="3115" spans="5:7" x14ac:dyDescent="0.3">
      <c r="E3115" s="80">
        <v>45731</v>
      </c>
      <c r="F3115">
        <v>1010100</v>
      </c>
      <c r="G3115">
        <v>342.38</v>
      </c>
    </row>
    <row r="3116" spans="5:7" x14ac:dyDescent="0.3">
      <c r="E3116" s="80">
        <v>45731</v>
      </c>
      <c r="F3116">
        <v>1010100</v>
      </c>
      <c r="G3116">
        <v>1142.02</v>
      </c>
    </row>
    <row r="3117" spans="5:7" x14ac:dyDescent="0.3">
      <c r="E3117" s="80">
        <v>45730</v>
      </c>
      <c r="F3117">
        <v>1010100</v>
      </c>
      <c r="G3117">
        <v>1142.02</v>
      </c>
    </row>
    <row r="3118" spans="5:7" x14ac:dyDescent="0.3">
      <c r="E3118" s="80">
        <v>45730</v>
      </c>
      <c r="F3118">
        <v>1010100</v>
      </c>
      <c r="G3118">
        <v>1027.82</v>
      </c>
    </row>
    <row r="3119" spans="5:7" x14ac:dyDescent="0.3">
      <c r="E3119" s="80">
        <v>45730</v>
      </c>
      <c r="F3119">
        <v>1010100</v>
      </c>
      <c r="G3119">
        <v>1142.02</v>
      </c>
    </row>
    <row r="3120" spans="5:7" x14ac:dyDescent="0.3">
      <c r="E3120" s="80">
        <v>45729</v>
      </c>
      <c r="F3120">
        <v>1010100</v>
      </c>
      <c r="G3120">
        <v>1142.02</v>
      </c>
    </row>
    <row r="3121" spans="5:7" x14ac:dyDescent="0.3">
      <c r="E3121" s="80">
        <v>45728</v>
      </c>
      <c r="F3121">
        <v>1010100</v>
      </c>
      <c r="G3121">
        <v>1142.02</v>
      </c>
    </row>
    <row r="3122" spans="5:7" x14ac:dyDescent="0.3">
      <c r="E3122" s="80">
        <v>45728</v>
      </c>
      <c r="F3122">
        <v>1010100</v>
      </c>
      <c r="G3122">
        <v>1142.02</v>
      </c>
    </row>
    <row r="3123" spans="5:7" x14ac:dyDescent="0.3">
      <c r="E3123" s="80">
        <v>45727</v>
      </c>
      <c r="F3123">
        <v>1010100</v>
      </c>
      <c r="G3123">
        <v>1027.82</v>
      </c>
    </row>
    <row r="3124" spans="5:7" x14ac:dyDescent="0.3">
      <c r="E3124" s="80">
        <v>45727</v>
      </c>
      <c r="F3124">
        <v>1010100</v>
      </c>
      <c r="G3124">
        <v>1027.82</v>
      </c>
    </row>
    <row r="3125" spans="5:7" x14ac:dyDescent="0.3">
      <c r="E3125" s="80">
        <v>45727</v>
      </c>
      <c r="F3125">
        <v>1010100</v>
      </c>
      <c r="G3125">
        <v>1655.72</v>
      </c>
    </row>
    <row r="3126" spans="5:7" x14ac:dyDescent="0.3">
      <c r="E3126" s="80">
        <v>45727</v>
      </c>
      <c r="F3126">
        <v>1010100</v>
      </c>
      <c r="G3126">
        <v>1027.82</v>
      </c>
    </row>
    <row r="3127" spans="5:7" x14ac:dyDescent="0.3">
      <c r="E3127" s="80">
        <v>45727</v>
      </c>
      <c r="F3127">
        <v>1010100</v>
      </c>
      <c r="G3127">
        <v>2284.04</v>
      </c>
    </row>
    <row r="3128" spans="5:7" x14ac:dyDescent="0.3">
      <c r="E3128" s="80">
        <v>45726</v>
      </c>
      <c r="F3128">
        <v>1010100</v>
      </c>
      <c r="G3128">
        <v>827.86</v>
      </c>
    </row>
    <row r="3129" spans="5:7" x14ac:dyDescent="0.3">
      <c r="E3129" s="80">
        <v>45726</v>
      </c>
      <c r="F3129">
        <v>1010100</v>
      </c>
      <c r="G3129">
        <v>1142.02</v>
      </c>
    </row>
    <row r="3130" spans="5:7" x14ac:dyDescent="0.3">
      <c r="E3130" s="80">
        <v>45726</v>
      </c>
      <c r="F3130">
        <v>1010100</v>
      </c>
      <c r="G3130">
        <v>1142.02</v>
      </c>
    </row>
    <row r="3131" spans="5:7" x14ac:dyDescent="0.3">
      <c r="E3131" s="80">
        <v>45726</v>
      </c>
      <c r="F3131">
        <v>1010100</v>
      </c>
      <c r="G3131">
        <v>1142.02</v>
      </c>
    </row>
    <row r="3132" spans="5:7" x14ac:dyDescent="0.3">
      <c r="E3132" s="80">
        <v>45726</v>
      </c>
      <c r="F3132">
        <v>1010100</v>
      </c>
      <c r="G3132">
        <v>1142.02</v>
      </c>
    </row>
    <row r="3133" spans="5:7" x14ac:dyDescent="0.3">
      <c r="E3133" s="80">
        <v>45725</v>
      </c>
      <c r="F3133">
        <v>1010100</v>
      </c>
      <c r="G3133">
        <v>1142.02</v>
      </c>
    </row>
    <row r="3134" spans="5:7" x14ac:dyDescent="0.3">
      <c r="E3134" s="80">
        <v>45725</v>
      </c>
      <c r="F3134">
        <v>1010100</v>
      </c>
      <c r="G3134">
        <v>1142.02</v>
      </c>
    </row>
    <row r="3135" spans="5:7" x14ac:dyDescent="0.3">
      <c r="E3135" s="80">
        <v>45725</v>
      </c>
      <c r="F3135">
        <v>1010100</v>
      </c>
      <c r="G3135">
        <v>1142.02</v>
      </c>
    </row>
    <row r="3136" spans="5:7" x14ac:dyDescent="0.3">
      <c r="E3136" s="80">
        <v>45725</v>
      </c>
      <c r="F3136">
        <v>1010100</v>
      </c>
      <c r="G3136">
        <v>380.42</v>
      </c>
    </row>
    <row r="3137" spans="5:7" x14ac:dyDescent="0.3">
      <c r="E3137" s="80">
        <v>45725</v>
      </c>
      <c r="F3137">
        <v>1010100</v>
      </c>
      <c r="G3137">
        <v>1142.02</v>
      </c>
    </row>
    <row r="3138" spans="5:7" x14ac:dyDescent="0.3">
      <c r="E3138" s="80">
        <v>45725</v>
      </c>
      <c r="F3138">
        <v>1010100</v>
      </c>
      <c r="G3138">
        <v>1142.02</v>
      </c>
    </row>
    <row r="3139" spans="5:7" x14ac:dyDescent="0.3">
      <c r="E3139" s="80">
        <v>45725</v>
      </c>
      <c r="F3139">
        <v>1010100</v>
      </c>
      <c r="G3139">
        <v>1142.02</v>
      </c>
    </row>
    <row r="3140" spans="5:7" x14ac:dyDescent="0.3">
      <c r="E3140" s="80">
        <v>45725</v>
      </c>
      <c r="F3140">
        <v>1010100</v>
      </c>
      <c r="G3140">
        <v>1142.02</v>
      </c>
    </row>
    <row r="3141" spans="5:7" x14ac:dyDescent="0.3">
      <c r="E3141" s="80">
        <v>45725</v>
      </c>
      <c r="F3141">
        <v>1010100</v>
      </c>
      <c r="G3141">
        <v>1142.02</v>
      </c>
    </row>
    <row r="3142" spans="5:7" x14ac:dyDescent="0.3">
      <c r="E3142" s="80">
        <v>45725</v>
      </c>
      <c r="F3142">
        <v>1010100</v>
      </c>
      <c r="G3142">
        <v>1142.02</v>
      </c>
    </row>
    <row r="3143" spans="5:7" x14ac:dyDescent="0.3">
      <c r="E3143" s="80">
        <v>45724</v>
      </c>
      <c r="F3143">
        <v>1010100</v>
      </c>
      <c r="G3143">
        <v>1142.02</v>
      </c>
    </row>
    <row r="3144" spans="5:7" x14ac:dyDescent="0.3">
      <c r="E3144" s="80">
        <v>45724</v>
      </c>
      <c r="F3144">
        <v>1010100</v>
      </c>
      <c r="G3144">
        <v>1142.02</v>
      </c>
    </row>
    <row r="3145" spans="5:7" x14ac:dyDescent="0.3">
      <c r="E3145" s="80">
        <v>45723</v>
      </c>
      <c r="F3145">
        <v>1010100</v>
      </c>
      <c r="G3145">
        <v>1142.02</v>
      </c>
    </row>
    <row r="3146" spans="5:7" x14ac:dyDescent="0.3">
      <c r="E3146" s="80">
        <v>45723</v>
      </c>
      <c r="F3146">
        <v>1010100</v>
      </c>
      <c r="G3146">
        <v>1027.82</v>
      </c>
    </row>
    <row r="3147" spans="5:7" x14ac:dyDescent="0.3">
      <c r="E3147" s="80">
        <v>45723</v>
      </c>
      <c r="F3147">
        <v>1010100</v>
      </c>
      <c r="G3147">
        <v>1142.02</v>
      </c>
    </row>
    <row r="3148" spans="5:7" x14ac:dyDescent="0.3">
      <c r="E3148" s="80">
        <v>45723</v>
      </c>
      <c r="F3148">
        <v>1010100</v>
      </c>
      <c r="G3148">
        <v>1142.02</v>
      </c>
    </row>
    <row r="3149" spans="5:7" x14ac:dyDescent="0.3">
      <c r="E3149" s="80">
        <v>45722</v>
      </c>
      <c r="F3149">
        <v>1010100</v>
      </c>
      <c r="G3149">
        <v>1142.02</v>
      </c>
    </row>
    <row r="3150" spans="5:7" x14ac:dyDescent="0.3">
      <c r="E3150" s="80">
        <v>45722</v>
      </c>
      <c r="F3150">
        <v>1010100</v>
      </c>
      <c r="G3150">
        <v>1142.02</v>
      </c>
    </row>
    <row r="3151" spans="5:7" x14ac:dyDescent="0.3">
      <c r="E3151" s="80">
        <v>45722</v>
      </c>
      <c r="F3151">
        <v>1010100</v>
      </c>
      <c r="G3151">
        <v>1142.02</v>
      </c>
    </row>
    <row r="3152" spans="5:7" x14ac:dyDescent="0.3">
      <c r="E3152" s="80">
        <v>45722</v>
      </c>
      <c r="F3152">
        <v>1010100</v>
      </c>
      <c r="G3152">
        <v>1142.02</v>
      </c>
    </row>
    <row r="3153" spans="5:7" x14ac:dyDescent="0.3">
      <c r="E3153" s="80">
        <v>45721</v>
      </c>
      <c r="F3153">
        <v>1010100</v>
      </c>
      <c r="G3153">
        <v>1142.02</v>
      </c>
    </row>
    <row r="3154" spans="5:7" x14ac:dyDescent="0.3">
      <c r="E3154" s="80">
        <v>45721</v>
      </c>
      <c r="F3154">
        <v>1010100</v>
      </c>
      <c r="G3154">
        <v>1142.02</v>
      </c>
    </row>
    <row r="3155" spans="5:7" x14ac:dyDescent="0.3">
      <c r="E3155" s="80">
        <v>45721</v>
      </c>
      <c r="F3155">
        <v>1010100</v>
      </c>
      <c r="G3155">
        <v>1142.02</v>
      </c>
    </row>
    <row r="3156" spans="5:7" x14ac:dyDescent="0.3">
      <c r="E3156" s="80">
        <v>45720</v>
      </c>
      <c r="F3156">
        <v>1010100</v>
      </c>
      <c r="G3156">
        <v>1142.02</v>
      </c>
    </row>
    <row r="3157" spans="5:7" x14ac:dyDescent="0.3">
      <c r="E3157" s="80">
        <v>45720</v>
      </c>
      <c r="F3157">
        <v>1010100</v>
      </c>
      <c r="G3157">
        <v>1142.02</v>
      </c>
    </row>
    <row r="3158" spans="5:7" x14ac:dyDescent="0.3">
      <c r="E3158" s="80">
        <v>45720</v>
      </c>
      <c r="F3158">
        <v>1010100</v>
      </c>
      <c r="G3158">
        <v>827.86</v>
      </c>
    </row>
    <row r="3159" spans="5:7" x14ac:dyDescent="0.3">
      <c r="E3159" s="80">
        <v>45720</v>
      </c>
      <c r="F3159">
        <v>1010100</v>
      </c>
      <c r="G3159">
        <v>1142.02</v>
      </c>
    </row>
    <row r="3160" spans="5:7" x14ac:dyDescent="0.3">
      <c r="E3160" s="80">
        <v>45719</v>
      </c>
      <c r="F3160">
        <v>1010100</v>
      </c>
      <c r="G3160">
        <v>1142.02</v>
      </c>
    </row>
    <row r="3161" spans="5:7" x14ac:dyDescent="0.3">
      <c r="E3161" s="80">
        <v>45719</v>
      </c>
      <c r="F3161">
        <v>1010100</v>
      </c>
      <c r="G3161">
        <v>2284.04</v>
      </c>
    </row>
    <row r="3162" spans="5:7" x14ac:dyDescent="0.3">
      <c r="E3162" s="80">
        <v>45719</v>
      </c>
      <c r="F3162">
        <v>1010100</v>
      </c>
      <c r="G3162">
        <v>1142.02</v>
      </c>
    </row>
    <row r="3163" spans="5:7" x14ac:dyDescent="0.3">
      <c r="E3163" s="80">
        <v>45719</v>
      </c>
      <c r="F3163">
        <v>1010100</v>
      </c>
      <c r="G3163">
        <v>1142.02</v>
      </c>
    </row>
    <row r="3164" spans="5:7" x14ac:dyDescent="0.3">
      <c r="E3164" s="80">
        <v>45718</v>
      </c>
      <c r="F3164">
        <v>1010100</v>
      </c>
      <c r="G3164">
        <v>1142.02</v>
      </c>
    </row>
    <row r="3165" spans="5:7" x14ac:dyDescent="0.3">
      <c r="E3165" s="80">
        <v>45718</v>
      </c>
      <c r="F3165">
        <v>1010100</v>
      </c>
      <c r="G3165">
        <v>1142.02</v>
      </c>
    </row>
    <row r="3166" spans="5:7" x14ac:dyDescent="0.3">
      <c r="E3166" s="80">
        <v>45718</v>
      </c>
      <c r="F3166">
        <v>1010100</v>
      </c>
      <c r="G3166">
        <v>1142.02</v>
      </c>
    </row>
    <row r="3167" spans="5:7" x14ac:dyDescent="0.3">
      <c r="E3167" s="80">
        <v>45718</v>
      </c>
      <c r="F3167">
        <v>1010100</v>
      </c>
      <c r="G3167">
        <v>827.86</v>
      </c>
    </row>
    <row r="3168" spans="5:7" x14ac:dyDescent="0.3">
      <c r="E3168" s="80">
        <v>45718</v>
      </c>
      <c r="F3168">
        <v>1010100</v>
      </c>
      <c r="G3168">
        <v>1142.02</v>
      </c>
    </row>
    <row r="3169" spans="5:7" x14ac:dyDescent="0.3">
      <c r="E3169" s="80">
        <v>45718</v>
      </c>
      <c r="F3169">
        <v>1010100</v>
      </c>
      <c r="G3169">
        <v>1142.02</v>
      </c>
    </row>
    <row r="3170" spans="5:7" x14ac:dyDescent="0.3">
      <c r="E3170" s="80">
        <v>45718</v>
      </c>
      <c r="F3170">
        <v>1010100</v>
      </c>
      <c r="G3170">
        <v>827.86</v>
      </c>
    </row>
    <row r="3171" spans="5:7" x14ac:dyDescent="0.3">
      <c r="E3171" s="80">
        <v>45718</v>
      </c>
      <c r="F3171">
        <v>1010100</v>
      </c>
      <c r="G3171">
        <v>1142.02</v>
      </c>
    </row>
    <row r="3172" spans="5:7" x14ac:dyDescent="0.3">
      <c r="E3172" s="80">
        <v>45718</v>
      </c>
      <c r="F3172">
        <v>1010100</v>
      </c>
      <c r="G3172">
        <v>342.38</v>
      </c>
    </row>
    <row r="3173" spans="5:7" x14ac:dyDescent="0.3">
      <c r="E3173" s="80">
        <v>45718</v>
      </c>
      <c r="F3173">
        <v>1010100</v>
      </c>
      <c r="G3173">
        <v>1027.82</v>
      </c>
    </row>
    <row r="3174" spans="5:7" x14ac:dyDescent="0.3">
      <c r="E3174" s="80">
        <v>45717</v>
      </c>
      <c r="F3174">
        <v>1010100</v>
      </c>
      <c r="G3174">
        <v>1142.02</v>
      </c>
    </row>
    <row r="3175" spans="5:7" x14ac:dyDescent="0.3">
      <c r="E3175" s="80">
        <v>45717</v>
      </c>
      <c r="F3175">
        <v>1010100</v>
      </c>
      <c r="G3175">
        <v>1142.02</v>
      </c>
    </row>
    <row r="3176" spans="5:7" x14ac:dyDescent="0.3">
      <c r="E3176" s="80">
        <v>45717</v>
      </c>
      <c r="F3176">
        <v>1010100</v>
      </c>
      <c r="G3176">
        <v>1142.02</v>
      </c>
    </row>
    <row r="3177" spans="5:7" x14ac:dyDescent="0.3">
      <c r="E3177" s="80">
        <v>45717</v>
      </c>
      <c r="F3177">
        <v>1010100</v>
      </c>
      <c r="G3177">
        <v>1142.02</v>
      </c>
    </row>
    <row r="3178" spans="5:7" x14ac:dyDescent="0.3">
      <c r="E3178" s="80">
        <v>45717</v>
      </c>
      <c r="F3178">
        <v>1010100</v>
      </c>
      <c r="G3178">
        <v>1142.02</v>
      </c>
    </row>
    <row r="3179" spans="5:7" x14ac:dyDescent="0.3">
      <c r="E3179" s="80">
        <v>45717</v>
      </c>
      <c r="F3179">
        <v>1010100</v>
      </c>
      <c r="G3179">
        <v>1142.02</v>
      </c>
    </row>
    <row r="3180" spans="5:7" x14ac:dyDescent="0.3">
      <c r="E3180" s="80">
        <v>45717</v>
      </c>
      <c r="F3180">
        <v>1010100</v>
      </c>
      <c r="G3180">
        <v>1142.02</v>
      </c>
    </row>
    <row r="3181" spans="5:7" x14ac:dyDescent="0.3">
      <c r="E3181" s="80">
        <v>45717</v>
      </c>
      <c r="F3181">
        <v>1010100</v>
      </c>
      <c r="G3181">
        <v>1142.02</v>
      </c>
    </row>
    <row r="3182" spans="5:7" x14ac:dyDescent="0.3">
      <c r="E3182" s="80">
        <v>45716</v>
      </c>
      <c r="F3182">
        <v>1010100</v>
      </c>
      <c r="G3182">
        <v>1142.02</v>
      </c>
    </row>
    <row r="3183" spans="5:7" x14ac:dyDescent="0.3">
      <c r="E3183" s="80">
        <v>45716</v>
      </c>
      <c r="F3183">
        <v>1010100</v>
      </c>
      <c r="G3183">
        <v>1142.02</v>
      </c>
    </row>
    <row r="3184" spans="5:7" x14ac:dyDescent="0.3">
      <c r="E3184" s="80">
        <v>45716</v>
      </c>
      <c r="F3184">
        <v>1010100</v>
      </c>
      <c r="G3184">
        <v>827.86</v>
      </c>
    </row>
    <row r="3185" spans="5:7" x14ac:dyDescent="0.3">
      <c r="E3185" s="80">
        <v>45716</v>
      </c>
      <c r="F3185">
        <v>1010100</v>
      </c>
      <c r="G3185">
        <v>1142.02</v>
      </c>
    </row>
    <row r="3186" spans="5:7" x14ac:dyDescent="0.3">
      <c r="E3186" s="80">
        <v>45716</v>
      </c>
      <c r="F3186">
        <v>1010100</v>
      </c>
      <c r="G3186">
        <v>1142.02</v>
      </c>
    </row>
    <row r="3187" spans="5:7" x14ac:dyDescent="0.3">
      <c r="E3187" s="80">
        <v>45716</v>
      </c>
      <c r="F3187">
        <v>1010100</v>
      </c>
      <c r="G3187">
        <v>380.42</v>
      </c>
    </row>
    <row r="3188" spans="5:7" x14ac:dyDescent="0.3">
      <c r="E3188" s="80">
        <v>45716</v>
      </c>
      <c r="F3188">
        <v>1010100</v>
      </c>
      <c r="G3188">
        <v>1142.02</v>
      </c>
    </row>
    <row r="3189" spans="5:7" x14ac:dyDescent="0.3">
      <c r="E3189" s="80">
        <v>45716</v>
      </c>
      <c r="F3189">
        <v>1010100</v>
      </c>
      <c r="G3189">
        <v>1142.02</v>
      </c>
    </row>
    <row r="3190" spans="5:7" x14ac:dyDescent="0.3">
      <c r="E3190" s="80">
        <v>45715</v>
      </c>
      <c r="F3190">
        <v>1010100</v>
      </c>
      <c r="G3190">
        <v>827.86</v>
      </c>
    </row>
    <row r="3191" spans="5:7" x14ac:dyDescent="0.3">
      <c r="E3191" s="80">
        <v>45715</v>
      </c>
      <c r="F3191">
        <v>1010100</v>
      </c>
      <c r="G3191">
        <v>1142.02</v>
      </c>
    </row>
    <row r="3192" spans="5:7" x14ac:dyDescent="0.3">
      <c r="E3192" s="80">
        <v>45715</v>
      </c>
      <c r="F3192">
        <v>1010100</v>
      </c>
      <c r="G3192">
        <v>1142.02</v>
      </c>
    </row>
    <row r="3193" spans="5:7" x14ac:dyDescent="0.3">
      <c r="E3193" s="80">
        <v>45715</v>
      </c>
      <c r="F3193">
        <v>1010100</v>
      </c>
      <c r="G3193">
        <v>1142.02</v>
      </c>
    </row>
    <row r="3194" spans="5:7" x14ac:dyDescent="0.3">
      <c r="E3194" s="80">
        <v>45714</v>
      </c>
      <c r="F3194">
        <v>1010100</v>
      </c>
      <c r="G3194">
        <v>1142.02</v>
      </c>
    </row>
    <row r="3195" spans="5:7" x14ac:dyDescent="0.3">
      <c r="E3195" s="80">
        <v>45714</v>
      </c>
      <c r="F3195">
        <v>1010100</v>
      </c>
      <c r="G3195">
        <v>380.42</v>
      </c>
    </row>
    <row r="3196" spans="5:7" x14ac:dyDescent="0.3">
      <c r="E3196" s="80">
        <v>45714</v>
      </c>
      <c r="F3196">
        <v>1010100</v>
      </c>
      <c r="G3196">
        <v>1142.02</v>
      </c>
    </row>
    <row r="3197" spans="5:7" x14ac:dyDescent="0.3">
      <c r="E3197" s="80">
        <v>45714</v>
      </c>
      <c r="F3197">
        <v>1010100</v>
      </c>
      <c r="G3197">
        <v>1142.02</v>
      </c>
    </row>
    <row r="3198" spans="5:7" x14ac:dyDescent="0.3">
      <c r="E3198" s="80">
        <v>45713</v>
      </c>
      <c r="F3198">
        <v>1010100</v>
      </c>
      <c r="G3198">
        <v>1142.02</v>
      </c>
    </row>
    <row r="3199" spans="5:7" x14ac:dyDescent="0.3">
      <c r="E3199" s="80">
        <v>45713</v>
      </c>
      <c r="F3199">
        <v>1010100</v>
      </c>
      <c r="G3199">
        <v>1142.02</v>
      </c>
    </row>
    <row r="3200" spans="5:7" x14ac:dyDescent="0.3">
      <c r="E3200" s="80">
        <v>45713</v>
      </c>
      <c r="F3200">
        <v>1010100</v>
      </c>
      <c r="G3200">
        <v>1142.02</v>
      </c>
    </row>
    <row r="3201" spans="5:7" x14ac:dyDescent="0.3">
      <c r="E3201" s="80">
        <v>45713</v>
      </c>
      <c r="F3201">
        <v>1010100</v>
      </c>
      <c r="G3201">
        <v>1142.02</v>
      </c>
    </row>
    <row r="3202" spans="5:7" x14ac:dyDescent="0.3">
      <c r="E3202" s="80">
        <v>45712</v>
      </c>
      <c r="F3202">
        <v>1010100</v>
      </c>
      <c r="G3202">
        <v>1142.02</v>
      </c>
    </row>
    <row r="3203" spans="5:7" x14ac:dyDescent="0.3">
      <c r="E3203" s="80">
        <v>45712</v>
      </c>
      <c r="F3203">
        <v>1010100</v>
      </c>
      <c r="G3203">
        <v>1142.02</v>
      </c>
    </row>
    <row r="3204" spans="5:7" x14ac:dyDescent="0.3">
      <c r="E3204" s="80">
        <v>45712</v>
      </c>
      <c r="F3204">
        <v>1010100</v>
      </c>
      <c r="G3204">
        <v>1027.82</v>
      </c>
    </row>
    <row r="3205" spans="5:7" x14ac:dyDescent="0.3">
      <c r="E3205" s="80">
        <v>45712</v>
      </c>
      <c r="F3205">
        <v>1010100</v>
      </c>
      <c r="G3205">
        <v>837.38</v>
      </c>
    </row>
    <row r="3206" spans="5:7" x14ac:dyDescent="0.3">
      <c r="E3206" s="80">
        <v>45712</v>
      </c>
      <c r="F3206">
        <v>1010100</v>
      </c>
      <c r="G3206">
        <v>1142.02</v>
      </c>
    </row>
    <row r="3207" spans="5:7" x14ac:dyDescent="0.3">
      <c r="E3207" s="80">
        <v>45711</v>
      </c>
      <c r="F3207">
        <v>1010100</v>
      </c>
      <c r="G3207">
        <v>1142.02</v>
      </c>
    </row>
    <row r="3208" spans="5:7" x14ac:dyDescent="0.3">
      <c r="E3208" s="80">
        <v>45711</v>
      </c>
      <c r="F3208">
        <v>1010100</v>
      </c>
      <c r="G3208">
        <v>1142.02</v>
      </c>
    </row>
    <row r="3209" spans="5:7" x14ac:dyDescent="0.3">
      <c r="E3209" s="80">
        <v>45710</v>
      </c>
      <c r="F3209">
        <v>1010100</v>
      </c>
      <c r="G3209">
        <v>1142.02</v>
      </c>
    </row>
    <row r="3210" spans="5:7" x14ac:dyDescent="0.3">
      <c r="E3210" s="80">
        <v>45710</v>
      </c>
      <c r="F3210">
        <v>1010100</v>
      </c>
      <c r="G3210">
        <v>1142.02</v>
      </c>
    </row>
    <row r="3211" spans="5:7" x14ac:dyDescent="0.3">
      <c r="E3211" s="80">
        <v>45710</v>
      </c>
      <c r="F3211">
        <v>1010100</v>
      </c>
      <c r="G3211">
        <v>1142.02</v>
      </c>
    </row>
    <row r="3212" spans="5:7" x14ac:dyDescent="0.3">
      <c r="E3212" s="80">
        <v>45710</v>
      </c>
      <c r="F3212">
        <v>1010100</v>
      </c>
      <c r="G3212">
        <v>1142.02</v>
      </c>
    </row>
    <row r="3213" spans="5:7" x14ac:dyDescent="0.3">
      <c r="E3213" s="80">
        <v>45710</v>
      </c>
      <c r="F3213">
        <v>1010100</v>
      </c>
      <c r="G3213">
        <v>1142.02</v>
      </c>
    </row>
    <row r="3214" spans="5:7" x14ac:dyDescent="0.3">
      <c r="E3214" s="80">
        <v>45710</v>
      </c>
      <c r="F3214">
        <v>1010100</v>
      </c>
      <c r="G3214">
        <v>1142.02</v>
      </c>
    </row>
    <row r="3215" spans="5:7" x14ac:dyDescent="0.3">
      <c r="E3215" s="80">
        <v>45710</v>
      </c>
      <c r="F3215">
        <v>1010100</v>
      </c>
      <c r="G3215">
        <v>1142.02</v>
      </c>
    </row>
    <row r="3216" spans="5:7" x14ac:dyDescent="0.3">
      <c r="E3216" s="80">
        <v>45710</v>
      </c>
      <c r="F3216">
        <v>1010100</v>
      </c>
      <c r="G3216">
        <v>1142.02</v>
      </c>
    </row>
    <row r="3217" spans="5:7" x14ac:dyDescent="0.3">
      <c r="E3217" s="80">
        <v>45710</v>
      </c>
      <c r="F3217">
        <v>1010100</v>
      </c>
      <c r="G3217">
        <v>1027.82</v>
      </c>
    </row>
    <row r="3218" spans="5:7" x14ac:dyDescent="0.3">
      <c r="E3218" s="80">
        <v>45710</v>
      </c>
      <c r="F3218">
        <v>1010100</v>
      </c>
      <c r="G3218">
        <v>1142.02</v>
      </c>
    </row>
    <row r="3219" spans="5:7" x14ac:dyDescent="0.3">
      <c r="E3219" s="80">
        <v>45709</v>
      </c>
      <c r="F3219">
        <v>1010100</v>
      </c>
      <c r="G3219">
        <v>1142.02</v>
      </c>
    </row>
    <row r="3220" spans="5:7" x14ac:dyDescent="0.3">
      <c r="E3220" s="80">
        <v>45709</v>
      </c>
      <c r="F3220">
        <v>1010100</v>
      </c>
      <c r="G3220">
        <v>1142.02</v>
      </c>
    </row>
    <row r="3221" spans="5:7" x14ac:dyDescent="0.3">
      <c r="E3221" s="80">
        <v>45709</v>
      </c>
      <c r="F3221">
        <v>1010100</v>
      </c>
      <c r="G3221">
        <v>380.42</v>
      </c>
    </row>
    <row r="3222" spans="5:7" x14ac:dyDescent="0.3">
      <c r="E3222" s="80">
        <v>45709</v>
      </c>
      <c r="F3222">
        <v>1010100</v>
      </c>
      <c r="G3222">
        <v>1142.02</v>
      </c>
    </row>
    <row r="3223" spans="5:7" x14ac:dyDescent="0.3">
      <c r="E3223" s="80">
        <v>45709</v>
      </c>
      <c r="F3223">
        <v>1010100</v>
      </c>
      <c r="G3223">
        <v>1142.02</v>
      </c>
    </row>
    <row r="3224" spans="5:7" x14ac:dyDescent="0.3">
      <c r="E3224" s="80">
        <v>45709</v>
      </c>
      <c r="F3224">
        <v>1010100</v>
      </c>
      <c r="G3224">
        <v>1142.02</v>
      </c>
    </row>
    <row r="3225" spans="5:7" x14ac:dyDescent="0.3">
      <c r="E3225" s="80">
        <v>45709</v>
      </c>
      <c r="F3225">
        <v>1010100</v>
      </c>
      <c r="G3225">
        <v>1142.02</v>
      </c>
    </row>
    <row r="3226" spans="5:7" x14ac:dyDescent="0.3">
      <c r="E3226" s="80">
        <v>45709</v>
      </c>
      <c r="F3226">
        <v>1010100</v>
      </c>
      <c r="G3226">
        <v>1142.02</v>
      </c>
    </row>
    <row r="3227" spans="5:7" x14ac:dyDescent="0.3">
      <c r="E3227" s="80">
        <v>45709</v>
      </c>
      <c r="F3227">
        <v>1010100</v>
      </c>
      <c r="G3227">
        <v>1142.02</v>
      </c>
    </row>
    <row r="3228" spans="5:7" x14ac:dyDescent="0.3">
      <c r="E3228" s="80">
        <v>45709</v>
      </c>
      <c r="F3228">
        <v>1010100</v>
      </c>
      <c r="G3228">
        <v>1142.02</v>
      </c>
    </row>
    <row r="3229" spans="5:7" x14ac:dyDescent="0.3">
      <c r="E3229" s="80">
        <v>45709</v>
      </c>
      <c r="F3229">
        <v>1010100</v>
      </c>
      <c r="G3229">
        <v>1142.02</v>
      </c>
    </row>
    <row r="3230" spans="5:7" x14ac:dyDescent="0.3">
      <c r="E3230" s="80">
        <v>45709</v>
      </c>
      <c r="F3230">
        <v>1010100</v>
      </c>
      <c r="G3230">
        <v>1142.02</v>
      </c>
    </row>
    <row r="3231" spans="5:7" x14ac:dyDescent="0.3">
      <c r="E3231" s="80">
        <v>45708</v>
      </c>
      <c r="F3231">
        <v>1010100</v>
      </c>
      <c r="G3231">
        <v>1142.02</v>
      </c>
    </row>
    <row r="3232" spans="5:7" x14ac:dyDescent="0.3">
      <c r="E3232" s="80">
        <v>45708</v>
      </c>
      <c r="F3232">
        <v>1010100</v>
      </c>
      <c r="G3232">
        <v>1142.02</v>
      </c>
    </row>
    <row r="3233" spans="5:7" x14ac:dyDescent="0.3">
      <c r="E3233" s="80">
        <v>45708</v>
      </c>
      <c r="F3233">
        <v>1010100</v>
      </c>
      <c r="G3233">
        <v>1142.02</v>
      </c>
    </row>
    <row r="3234" spans="5:7" x14ac:dyDescent="0.3">
      <c r="E3234" s="80">
        <v>45708</v>
      </c>
      <c r="F3234">
        <v>1010100</v>
      </c>
      <c r="G3234">
        <v>837.38</v>
      </c>
    </row>
    <row r="3235" spans="5:7" x14ac:dyDescent="0.3">
      <c r="E3235" s="80">
        <v>45708</v>
      </c>
      <c r="F3235">
        <v>1010100</v>
      </c>
      <c r="G3235">
        <v>1142.02</v>
      </c>
    </row>
    <row r="3236" spans="5:7" x14ac:dyDescent="0.3">
      <c r="E3236" s="80">
        <v>45708</v>
      </c>
      <c r="F3236">
        <v>1010100</v>
      </c>
      <c r="G3236">
        <v>951.62</v>
      </c>
    </row>
    <row r="3237" spans="5:7" x14ac:dyDescent="0.3">
      <c r="E3237" s="80">
        <v>45708</v>
      </c>
      <c r="F3237">
        <v>1010100</v>
      </c>
      <c r="G3237">
        <v>1142.02</v>
      </c>
    </row>
    <row r="3238" spans="5:7" x14ac:dyDescent="0.3">
      <c r="E3238" s="80">
        <v>45707</v>
      </c>
      <c r="F3238">
        <v>1010100</v>
      </c>
      <c r="G3238">
        <v>837.38</v>
      </c>
    </row>
    <row r="3239" spans="5:7" x14ac:dyDescent="0.3">
      <c r="E3239" s="80">
        <v>45705</v>
      </c>
      <c r="F3239">
        <v>1010100</v>
      </c>
      <c r="G3239">
        <v>837.38</v>
      </c>
    </row>
    <row r="3240" spans="5:7" x14ac:dyDescent="0.3">
      <c r="E3240" s="80">
        <v>45705</v>
      </c>
      <c r="F3240">
        <v>1010100</v>
      </c>
      <c r="G3240">
        <v>1142.02</v>
      </c>
    </row>
    <row r="3241" spans="5:7" x14ac:dyDescent="0.3">
      <c r="E3241" s="80">
        <v>45705</v>
      </c>
      <c r="F3241">
        <v>1010100</v>
      </c>
      <c r="G3241">
        <v>837.38</v>
      </c>
    </row>
    <row r="3242" spans="5:7" x14ac:dyDescent="0.3">
      <c r="E3242" s="80">
        <v>45704</v>
      </c>
      <c r="F3242">
        <v>1010100</v>
      </c>
      <c r="G3242">
        <v>837.38</v>
      </c>
    </row>
    <row r="3243" spans="5:7" x14ac:dyDescent="0.3">
      <c r="E3243" s="80">
        <v>45704</v>
      </c>
      <c r="F3243">
        <v>1010100</v>
      </c>
      <c r="G3243">
        <v>951.62</v>
      </c>
    </row>
    <row r="3244" spans="5:7" x14ac:dyDescent="0.3">
      <c r="E3244" s="80">
        <v>45704</v>
      </c>
      <c r="F3244">
        <v>1010100</v>
      </c>
      <c r="G3244">
        <v>1142.02</v>
      </c>
    </row>
    <row r="3245" spans="5:7" x14ac:dyDescent="0.3">
      <c r="E3245" s="80">
        <v>45703</v>
      </c>
      <c r="F3245">
        <v>1010100</v>
      </c>
      <c r="G3245">
        <v>837.38</v>
      </c>
    </row>
    <row r="3246" spans="5:7" x14ac:dyDescent="0.3">
      <c r="E3246" s="80">
        <v>45703</v>
      </c>
      <c r="F3246">
        <v>1010100</v>
      </c>
      <c r="G3246">
        <v>1142.02</v>
      </c>
    </row>
    <row r="3247" spans="5:7" x14ac:dyDescent="0.3">
      <c r="E3247" s="80">
        <v>45703</v>
      </c>
      <c r="F3247">
        <v>1010100</v>
      </c>
      <c r="G3247">
        <v>1142.02</v>
      </c>
    </row>
    <row r="3248" spans="5:7" x14ac:dyDescent="0.3">
      <c r="E3248" s="80">
        <v>45703</v>
      </c>
      <c r="F3248">
        <v>1010100</v>
      </c>
      <c r="G3248">
        <v>1142.02</v>
      </c>
    </row>
    <row r="3249" spans="5:7" x14ac:dyDescent="0.3">
      <c r="E3249" s="80">
        <v>45702</v>
      </c>
      <c r="F3249">
        <v>1010100</v>
      </c>
      <c r="G3249">
        <v>1142.02</v>
      </c>
    </row>
    <row r="3250" spans="5:7" x14ac:dyDescent="0.3">
      <c r="E3250" s="80">
        <v>45702</v>
      </c>
      <c r="F3250">
        <v>1010100</v>
      </c>
      <c r="G3250">
        <v>951.62</v>
      </c>
    </row>
    <row r="3251" spans="5:7" x14ac:dyDescent="0.3">
      <c r="E3251" s="80">
        <v>45701</v>
      </c>
      <c r="F3251">
        <v>1010100</v>
      </c>
      <c r="G3251">
        <v>827.86</v>
      </c>
    </row>
    <row r="3252" spans="5:7" x14ac:dyDescent="0.3">
      <c r="E3252" s="80">
        <v>45701</v>
      </c>
      <c r="F3252">
        <v>1010100</v>
      </c>
      <c r="G3252">
        <v>827.86</v>
      </c>
    </row>
    <row r="3253" spans="5:7" x14ac:dyDescent="0.3">
      <c r="E3253" s="80">
        <v>45701</v>
      </c>
      <c r="F3253">
        <v>1010100</v>
      </c>
      <c r="G3253">
        <v>827.86</v>
      </c>
    </row>
    <row r="3254" spans="5:7" x14ac:dyDescent="0.3">
      <c r="E3254" s="80">
        <v>45699</v>
      </c>
      <c r="F3254">
        <v>1010100</v>
      </c>
      <c r="G3254">
        <v>1142.02</v>
      </c>
    </row>
    <row r="3255" spans="5:7" x14ac:dyDescent="0.3">
      <c r="E3255" s="80">
        <v>45699</v>
      </c>
      <c r="F3255">
        <v>1010100</v>
      </c>
      <c r="G3255">
        <v>827.86</v>
      </c>
    </row>
    <row r="3256" spans="5:7" x14ac:dyDescent="0.3">
      <c r="E3256" s="80">
        <v>45699</v>
      </c>
      <c r="F3256">
        <v>1010100</v>
      </c>
      <c r="G3256">
        <v>827.86</v>
      </c>
    </row>
    <row r="3257" spans="5:7" x14ac:dyDescent="0.3">
      <c r="E3257" s="80">
        <v>45699</v>
      </c>
      <c r="F3257">
        <v>1010100</v>
      </c>
      <c r="G3257">
        <v>380.42</v>
      </c>
    </row>
    <row r="3258" spans="5:7" x14ac:dyDescent="0.3">
      <c r="E3258" s="80">
        <v>45698</v>
      </c>
      <c r="F3258">
        <v>1010100</v>
      </c>
      <c r="G3258">
        <v>827.86</v>
      </c>
    </row>
    <row r="3259" spans="5:7" x14ac:dyDescent="0.3">
      <c r="E3259" s="80">
        <v>45698</v>
      </c>
      <c r="F3259">
        <v>1010100</v>
      </c>
      <c r="G3259">
        <v>723.14</v>
      </c>
    </row>
    <row r="3260" spans="5:7" x14ac:dyDescent="0.3">
      <c r="E3260" s="80">
        <v>45698</v>
      </c>
      <c r="F3260">
        <v>1010100</v>
      </c>
      <c r="G3260">
        <v>827.86</v>
      </c>
    </row>
    <row r="3261" spans="5:7" x14ac:dyDescent="0.3">
      <c r="E3261" s="80">
        <v>45698</v>
      </c>
      <c r="F3261">
        <v>1010100</v>
      </c>
      <c r="G3261">
        <v>827.86</v>
      </c>
    </row>
    <row r="3262" spans="5:7" x14ac:dyDescent="0.3">
      <c r="E3262" s="80">
        <v>45698</v>
      </c>
      <c r="F3262">
        <v>1010100</v>
      </c>
      <c r="G3262">
        <v>827.86</v>
      </c>
    </row>
    <row r="3263" spans="5:7" x14ac:dyDescent="0.3">
      <c r="E3263" s="80">
        <v>45698</v>
      </c>
      <c r="F3263">
        <v>1010100</v>
      </c>
      <c r="G3263">
        <v>723.14</v>
      </c>
    </row>
    <row r="3264" spans="5:7" x14ac:dyDescent="0.3">
      <c r="E3264" s="80">
        <v>45697</v>
      </c>
      <c r="F3264">
        <v>1010100</v>
      </c>
      <c r="G3264">
        <v>827.86</v>
      </c>
    </row>
    <row r="3265" spans="5:7" x14ac:dyDescent="0.3">
      <c r="E3265" s="80">
        <v>45697</v>
      </c>
      <c r="F3265">
        <v>1010100</v>
      </c>
      <c r="G3265">
        <v>1142.02</v>
      </c>
    </row>
    <row r="3266" spans="5:7" x14ac:dyDescent="0.3">
      <c r="E3266" s="80">
        <v>45696</v>
      </c>
      <c r="F3266">
        <v>1010100</v>
      </c>
      <c r="G3266">
        <v>723.14</v>
      </c>
    </row>
    <row r="3267" spans="5:7" x14ac:dyDescent="0.3">
      <c r="E3267" s="80">
        <v>45696</v>
      </c>
      <c r="F3267">
        <v>1010100</v>
      </c>
      <c r="G3267">
        <v>1142.02</v>
      </c>
    </row>
    <row r="3268" spans="5:7" x14ac:dyDescent="0.3">
      <c r="E3268" s="80">
        <v>45696</v>
      </c>
      <c r="F3268">
        <v>1010100</v>
      </c>
      <c r="G3268">
        <v>1142.02</v>
      </c>
    </row>
    <row r="3269" spans="5:7" x14ac:dyDescent="0.3">
      <c r="E3269" s="80">
        <v>45696</v>
      </c>
      <c r="F3269">
        <v>1010100</v>
      </c>
      <c r="G3269">
        <v>827.86</v>
      </c>
    </row>
    <row r="3270" spans="5:7" x14ac:dyDescent="0.3">
      <c r="E3270" s="80">
        <v>45696</v>
      </c>
      <c r="F3270">
        <v>1010100</v>
      </c>
      <c r="G3270">
        <v>1142.02</v>
      </c>
    </row>
    <row r="3271" spans="5:7" x14ac:dyDescent="0.3">
      <c r="E3271" s="80">
        <v>45695</v>
      </c>
      <c r="F3271">
        <v>1010100</v>
      </c>
      <c r="G3271">
        <v>1142.02</v>
      </c>
    </row>
    <row r="3272" spans="5:7" x14ac:dyDescent="0.3">
      <c r="E3272" s="80">
        <v>45695</v>
      </c>
      <c r="F3272">
        <v>1010100</v>
      </c>
      <c r="G3272">
        <v>1142.02</v>
      </c>
    </row>
    <row r="3273" spans="5:7" x14ac:dyDescent="0.3">
      <c r="E3273" s="80">
        <v>45695</v>
      </c>
      <c r="F3273">
        <v>1010100</v>
      </c>
      <c r="G3273">
        <v>1142.02</v>
      </c>
    </row>
    <row r="3274" spans="5:7" x14ac:dyDescent="0.3">
      <c r="E3274" s="80">
        <v>45695</v>
      </c>
      <c r="F3274">
        <v>1010100</v>
      </c>
      <c r="G3274">
        <v>1142.02</v>
      </c>
    </row>
    <row r="3275" spans="5:7" x14ac:dyDescent="0.3">
      <c r="E3275" s="80">
        <v>45695</v>
      </c>
      <c r="F3275">
        <v>1010100</v>
      </c>
      <c r="G3275">
        <v>1142.02</v>
      </c>
    </row>
    <row r="3276" spans="5:7" x14ac:dyDescent="0.3">
      <c r="E3276" s="80">
        <v>45695</v>
      </c>
      <c r="F3276">
        <v>1010100</v>
      </c>
      <c r="G3276">
        <v>1142.02</v>
      </c>
    </row>
    <row r="3277" spans="5:7" x14ac:dyDescent="0.3">
      <c r="E3277" s="80">
        <v>45694</v>
      </c>
      <c r="F3277">
        <v>1010100</v>
      </c>
      <c r="G3277">
        <v>1142.02</v>
      </c>
    </row>
    <row r="3278" spans="5:7" x14ac:dyDescent="0.3">
      <c r="E3278" s="80">
        <v>45694</v>
      </c>
      <c r="F3278">
        <v>1010100</v>
      </c>
      <c r="G3278">
        <v>1142.02</v>
      </c>
    </row>
    <row r="3279" spans="5:7" x14ac:dyDescent="0.3">
      <c r="E3279" s="80">
        <v>45694</v>
      </c>
      <c r="F3279">
        <v>1010100</v>
      </c>
      <c r="G3279">
        <v>1142.02</v>
      </c>
    </row>
    <row r="3280" spans="5:7" x14ac:dyDescent="0.3">
      <c r="E3280" s="80">
        <v>45694</v>
      </c>
      <c r="F3280">
        <v>1010100</v>
      </c>
      <c r="G3280">
        <v>827.86</v>
      </c>
    </row>
    <row r="3281" spans="5:7" x14ac:dyDescent="0.3">
      <c r="E3281" s="80">
        <v>45694</v>
      </c>
      <c r="F3281">
        <v>1010100</v>
      </c>
      <c r="G3281">
        <v>1142.02</v>
      </c>
    </row>
    <row r="3282" spans="5:7" x14ac:dyDescent="0.3">
      <c r="E3282" s="80">
        <v>45694</v>
      </c>
      <c r="F3282">
        <v>1010100</v>
      </c>
      <c r="G3282">
        <v>380.42</v>
      </c>
    </row>
    <row r="3283" spans="5:7" x14ac:dyDescent="0.3">
      <c r="E3283" s="80">
        <v>45694</v>
      </c>
      <c r="F3283">
        <v>1010100</v>
      </c>
      <c r="G3283">
        <v>1142.02</v>
      </c>
    </row>
    <row r="3284" spans="5:7" x14ac:dyDescent="0.3">
      <c r="E3284" s="80">
        <v>45694</v>
      </c>
      <c r="F3284">
        <v>1010100</v>
      </c>
      <c r="G3284">
        <v>1655.72</v>
      </c>
    </row>
    <row r="3285" spans="5:7" x14ac:dyDescent="0.3">
      <c r="E3285" s="80">
        <v>45694</v>
      </c>
      <c r="F3285">
        <v>1010100</v>
      </c>
      <c r="G3285">
        <v>1142.02</v>
      </c>
    </row>
    <row r="3286" spans="5:7" x14ac:dyDescent="0.3">
      <c r="E3286" s="80">
        <v>45694</v>
      </c>
      <c r="F3286">
        <v>1010100</v>
      </c>
      <c r="G3286">
        <v>1142.02</v>
      </c>
    </row>
    <row r="3287" spans="5:7" x14ac:dyDescent="0.3">
      <c r="E3287" s="80">
        <v>45694</v>
      </c>
      <c r="F3287">
        <v>1010100</v>
      </c>
      <c r="G3287">
        <v>1142.02</v>
      </c>
    </row>
    <row r="3288" spans="5:7" x14ac:dyDescent="0.3">
      <c r="E3288" s="80">
        <v>45693</v>
      </c>
      <c r="F3288">
        <v>1010100</v>
      </c>
      <c r="G3288">
        <v>1142.02</v>
      </c>
    </row>
    <row r="3289" spans="5:7" x14ac:dyDescent="0.3">
      <c r="E3289" s="80">
        <v>45693</v>
      </c>
      <c r="F3289">
        <v>1010100</v>
      </c>
      <c r="G3289">
        <v>1142.02</v>
      </c>
    </row>
    <row r="3290" spans="5:7" x14ac:dyDescent="0.3">
      <c r="E3290" s="80">
        <v>45693</v>
      </c>
      <c r="F3290">
        <v>1010100</v>
      </c>
      <c r="G3290">
        <v>1142.02</v>
      </c>
    </row>
    <row r="3291" spans="5:7" x14ac:dyDescent="0.3">
      <c r="E3291" s="80">
        <v>45693</v>
      </c>
      <c r="F3291">
        <v>1010100</v>
      </c>
      <c r="G3291">
        <v>827.86</v>
      </c>
    </row>
    <row r="3292" spans="5:7" x14ac:dyDescent="0.3">
      <c r="E3292" s="80">
        <v>45693</v>
      </c>
      <c r="F3292">
        <v>1010100</v>
      </c>
      <c r="G3292">
        <v>827.86</v>
      </c>
    </row>
    <row r="3293" spans="5:7" x14ac:dyDescent="0.3">
      <c r="E3293" s="80">
        <v>45693</v>
      </c>
      <c r="F3293">
        <v>1010100</v>
      </c>
      <c r="G3293">
        <v>827.86</v>
      </c>
    </row>
    <row r="3294" spans="5:7" x14ac:dyDescent="0.3">
      <c r="E3294" s="80">
        <v>45693</v>
      </c>
      <c r="F3294">
        <v>1010100</v>
      </c>
      <c r="G3294">
        <v>1142.02</v>
      </c>
    </row>
    <row r="3295" spans="5:7" x14ac:dyDescent="0.3">
      <c r="E3295" s="80">
        <v>45693</v>
      </c>
      <c r="F3295">
        <v>1010100</v>
      </c>
      <c r="G3295">
        <v>1142.02</v>
      </c>
    </row>
    <row r="3296" spans="5:7" x14ac:dyDescent="0.3">
      <c r="E3296" s="80">
        <v>45693</v>
      </c>
      <c r="F3296">
        <v>1010100</v>
      </c>
      <c r="G3296">
        <v>1142.02</v>
      </c>
    </row>
    <row r="3297" spans="5:7" x14ac:dyDescent="0.3">
      <c r="E3297" s="80">
        <v>45693</v>
      </c>
      <c r="F3297">
        <v>1010100</v>
      </c>
      <c r="G3297">
        <v>1142.02</v>
      </c>
    </row>
    <row r="3298" spans="5:7" x14ac:dyDescent="0.3">
      <c r="E3298" s="80">
        <v>45693</v>
      </c>
      <c r="F3298">
        <v>1010100</v>
      </c>
      <c r="G3298">
        <v>827.86</v>
      </c>
    </row>
    <row r="3299" spans="5:7" x14ac:dyDescent="0.3">
      <c r="E3299" s="80">
        <v>45692</v>
      </c>
      <c r="F3299">
        <v>1010100</v>
      </c>
      <c r="G3299">
        <v>827.86</v>
      </c>
    </row>
    <row r="3300" spans="5:7" x14ac:dyDescent="0.3">
      <c r="E3300" s="80">
        <v>45692</v>
      </c>
      <c r="F3300">
        <v>1010100</v>
      </c>
      <c r="G3300">
        <v>827.86</v>
      </c>
    </row>
    <row r="3301" spans="5:7" x14ac:dyDescent="0.3">
      <c r="E3301" s="80">
        <v>45692</v>
      </c>
      <c r="F3301">
        <v>1010100</v>
      </c>
      <c r="G3301">
        <v>827.86</v>
      </c>
    </row>
    <row r="3302" spans="5:7" x14ac:dyDescent="0.3">
      <c r="E3302" s="80">
        <v>45692</v>
      </c>
      <c r="F3302">
        <v>1010100</v>
      </c>
      <c r="G3302">
        <v>1142.02</v>
      </c>
    </row>
    <row r="3303" spans="5:7" x14ac:dyDescent="0.3">
      <c r="E3303" s="80">
        <v>45692</v>
      </c>
      <c r="F3303">
        <v>1010100</v>
      </c>
      <c r="G3303">
        <v>1027.82</v>
      </c>
    </row>
    <row r="3304" spans="5:7" x14ac:dyDescent="0.3">
      <c r="E3304" s="80">
        <v>45692</v>
      </c>
      <c r="F3304">
        <v>1010100</v>
      </c>
      <c r="G3304">
        <v>1142.02</v>
      </c>
    </row>
    <row r="3305" spans="5:7" x14ac:dyDescent="0.3">
      <c r="E3305" s="80">
        <v>45692</v>
      </c>
      <c r="F3305">
        <v>1010100</v>
      </c>
      <c r="G3305">
        <v>1142.02</v>
      </c>
    </row>
    <row r="3306" spans="5:7" x14ac:dyDescent="0.3">
      <c r="E3306" s="80">
        <v>45692</v>
      </c>
      <c r="F3306">
        <v>1010100</v>
      </c>
      <c r="G3306">
        <v>1142.02</v>
      </c>
    </row>
    <row r="3307" spans="5:7" x14ac:dyDescent="0.3">
      <c r="E3307" s="80">
        <v>45691</v>
      </c>
      <c r="F3307">
        <v>1010100</v>
      </c>
      <c r="G3307">
        <v>827.86</v>
      </c>
    </row>
    <row r="3308" spans="5:7" x14ac:dyDescent="0.3">
      <c r="E3308" s="80">
        <v>45691</v>
      </c>
      <c r="F3308">
        <v>1010100</v>
      </c>
      <c r="G3308">
        <v>1142.02</v>
      </c>
    </row>
    <row r="3309" spans="5:7" x14ac:dyDescent="0.3">
      <c r="E3309" s="80">
        <v>45691</v>
      </c>
      <c r="F3309">
        <v>1010100</v>
      </c>
      <c r="G3309">
        <v>827.86</v>
      </c>
    </row>
    <row r="3310" spans="5:7" x14ac:dyDescent="0.3">
      <c r="E3310" s="80">
        <v>45691</v>
      </c>
      <c r="F3310">
        <v>1010100</v>
      </c>
      <c r="G3310">
        <v>1142.02</v>
      </c>
    </row>
    <row r="3311" spans="5:7" x14ac:dyDescent="0.3">
      <c r="E3311" s="80">
        <v>45691</v>
      </c>
      <c r="F3311">
        <v>1010100</v>
      </c>
      <c r="G3311">
        <v>827.86</v>
      </c>
    </row>
    <row r="3312" spans="5:7" x14ac:dyDescent="0.3">
      <c r="E3312" s="80">
        <v>45691</v>
      </c>
      <c r="F3312">
        <v>1010100</v>
      </c>
      <c r="G3312">
        <v>1142.02</v>
      </c>
    </row>
    <row r="3313" spans="5:7" x14ac:dyDescent="0.3">
      <c r="E3313" s="80">
        <v>45690</v>
      </c>
      <c r="F3313">
        <v>1010100</v>
      </c>
      <c r="G3313">
        <v>1142.02</v>
      </c>
    </row>
    <row r="3314" spans="5:7" x14ac:dyDescent="0.3">
      <c r="E3314" s="80">
        <v>45690</v>
      </c>
      <c r="F3314">
        <v>1010100</v>
      </c>
      <c r="G3314">
        <v>1256.26</v>
      </c>
    </row>
    <row r="3315" spans="5:7" x14ac:dyDescent="0.3">
      <c r="E3315" s="80">
        <v>45690</v>
      </c>
      <c r="F3315">
        <v>1010100</v>
      </c>
      <c r="G3315">
        <v>827.86</v>
      </c>
    </row>
    <row r="3316" spans="5:7" x14ac:dyDescent="0.3">
      <c r="E3316" s="80">
        <v>45690</v>
      </c>
      <c r="F3316">
        <v>1010100</v>
      </c>
      <c r="G3316">
        <v>1142.02</v>
      </c>
    </row>
    <row r="3317" spans="5:7" x14ac:dyDescent="0.3">
      <c r="E3317" s="80">
        <v>45690</v>
      </c>
      <c r="F3317">
        <v>1010100</v>
      </c>
      <c r="G3317">
        <v>1142.02</v>
      </c>
    </row>
    <row r="3318" spans="5:7" x14ac:dyDescent="0.3">
      <c r="E3318" s="80">
        <v>45690</v>
      </c>
      <c r="F3318">
        <v>1010100</v>
      </c>
      <c r="G3318">
        <v>1142.02</v>
      </c>
    </row>
    <row r="3319" spans="5:7" x14ac:dyDescent="0.3">
      <c r="E3319" s="80">
        <v>45690</v>
      </c>
      <c r="F3319">
        <v>1010100</v>
      </c>
      <c r="G3319">
        <v>1142.02</v>
      </c>
    </row>
    <row r="3320" spans="5:7" x14ac:dyDescent="0.3">
      <c r="E3320" s="80">
        <v>45690</v>
      </c>
      <c r="F3320">
        <v>1010100</v>
      </c>
      <c r="G3320">
        <v>1142.02</v>
      </c>
    </row>
    <row r="3321" spans="5:7" x14ac:dyDescent="0.3">
      <c r="E3321" s="80">
        <v>45690</v>
      </c>
      <c r="F3321">
        <v>1010100</v>
      </c>
      <c r="G3321">
        <v>1142.02</v>
      </c>
    </row>
    <row r="3322" spans="5:7" x14ac:dyDescent="0.3">
      <c r="E3322" s="80">
        <v>45690</v>
      </c>
      <c r="F3322">
        <v>1010100</v>
      </c>
      <c r="G3322">
        <v>1256.26</v>
      </c>
    </row>
    <row r="3323" spans="5:7" x14ac:dyDescent="0.3">
      <c r="E3323" s="80">
        <v>45690</v>
      </c>
      <c r="F3323">
        <v>1010100</v>
      </c>
      <c r="G3323">
        <v>1142.02</v>
      </c>
    </row>
    <row r="3324" spans="5:7" x14ac:dyDescent="0.3">
      <c r="E3324" s="80">
        <v>45690</v>
      </c>
      <c r="F3324">
        <v>1010100</v>
      </c>
      <c r="G3324">
        <v>1142.02</v>
      </c>
    </row>
    <row r="3325" spans="5:7" x14ac:dyDescent="0.3">
      <c r="E3325" s="80">
        <v>45690</v>
      </c>
      <c r="F3325">
        <v>1010100</v>
      </c>
      <c r="G3325">
        <v>1142.02</v>
      </c>
    </row>
    <row r="3326" spans="5:7" x14ac:dyDescent="0.3">
      <c r="E3326" s="80">
        <v>45690</v>
      </c>
      <c r="F3326">
        <v>1010100</v>
      </c>
      <c r="G3326">
        <v>1142.02</v>
      </c>
    </row>
    <row r="3327" spans="5:7" x14ac:dyDescent="0.3">
      <c r="E3327" s="80">
        <v>45690</v>
      </c>
      <c r="F3327">
        <v>1010100</v>
      </c>
      <c r="G3327">
        <v>1142.02</v>
      </c>
    </row>
    <row r="3328" spans="5:7" x14ac:dyDescent="0.3">
      <c r="E3328" s="80">
        <v>45690</v>
      </c>
      <c r="F3328">
        <v>1010100</v>
      </c>
      <c r="G3328">
        <v>827.86</v>
      </c>
    </row>
    <row r="3329" spans="5:7" x14ac:dyDescent="0.3">
      <c r="E3329" s="80">
        <v>45690</v>
      </c>
      <c r="F3329">
        <v>1010100</v>
      </c>
      <c r="G3329">
        <v>1142.02</v>
      </c>
    </row>
    <row r="3330" spans="5:7" x14ac:dyDescent="0.3">
      <c r="E3330" s="80">
        <v>45690</v>
      </c>
      <c r="F3330">
        <v>1010100</v>
      </c>
      <c r="G3330">
        <v>380.42</v>
      </c>
    </row>
    <row r="3331" spans="5:7" x14ac:dyDescent="0.3">
      <c r="E3331" s="80">
        <v>45690</v>
      </c>
      <c r="F3331">
        <v>1010100</v>
      </c>
      <c r="G3331">
        <v>2284.04</v>
      </c>
    </row>
    <row r="3332" spans="5:7" x14ac:dyDescent="0.3">
      <c r="E3332" s="80">
        <v>45690</v>
      </c>
      <c r="F3332">
        <v>1010100</v>
      </c>
      <c r="G3332">
        <v>1142.02</v>
      </c>
    </row>
    <row r="3333" spans="5:7" x14ac:dyDescent="0.3">
      <c r="E3333" s="80">
        <v>45690</v>
      </c>
      <c r="F3333">
        <v>1010100</v>
      </c>
      <c r="G3333">
        <v>1142.02</v>
      </c>
    </row>
    <row r="3334" spans="5:7" x14ac:dyDescent="0.3">
      <c r="E3334" s="80">
        <v>45690</v>
      </c>
      <c r="F3334">
        <v>1010100</v>
      </c>
      <c r="G3334">
        <v>1256.26</v>
      </c>
    </row>
    <row r="3335" spans="5:7" x14ac:dyDescent="0.3">
      <c r="E3335" s="80">
        <v>45689</v>
      </c>
      <c r="F3335">
        <v>1010100</v>
      </c>
      <c r="G3335">
        <v>1256.26</v>
      </c>
    </row>
    <row r="3336" spans="5:7" x14ac:dyDescent="0.3">
      <c r="E3336" s="80">
        <v>45689</v>
      </c>
      <c r="F3336">
        <v>1010100</v>
      </c>
      <c r="G3336">
        <v>1142.02</v>
      </c>
    </row>
    <row r="3337" spans="5:7" x14ac:dyDescent="0.3">
      <c r="E3337" s="80">
        <v>45689</v>
      </c>
      <c r="F3337">
        <v>1010100</v>
      </c>
      <c r="G3337">
        <v>1256.26</v>
      </c>
    </row>
    <row r="3338" spans="5:7" x14ac:dyDescent="0.3">
      <c r="E3338" s="80">
        <v>45689</v>
      </c>
      <c r="F3338">
        <v>1010100</v>
      </c>
      <c r="G3338">
        <v>827.86</v>
      </c>
    </row>
    <row r="3339" spans="5:7" x14ac:dyDescent="0.3">
      <c r="E3339" s="80">
        <v>45689</v>
      </c>
      <c r="F3339">
        <v>1010100</v>
      </c>
      <c r="G3339">
        <v>1142.02</v>
      </c>
    </row>
    <row r="3340" spans="5:7" x14ac:dyDescent="0.3">
      <c r="E3340" s="80">
        <v>45689</v>
      </c>
      <c r="F3340">
        <v>1010100</v>
      </c>
      <c r="G3340">
        <v>1142.02</v>
      </c>
    </row>
    <row r="3341" spans="5:7" x14ac:dyDescent="0.3">
      <c r="E3341" s="80">
        <v>45688</v>
      </c>
      <c r="F3341">
        <v>1010100</v>
      </c>
      <c r="G3341">
        <v>2284.04</v>
      </c>
    </row>
    <row r="3342" spans="5:7" x14ac:dyDescent="0.3">
      <c r="E3342" s="80">
        <v>45688</v>
      </c>
      <c r="F3342">
        <v>1010100</v>
      </c>
      <c r="G3342">
        <v>1142.02</v>
      </c>
    </row>
    <row r="3343" spans="5:7" x14ac:dyDescent="0.3">
      <c r="E3343" s="80">
        <v>45688</v>
      </c>
      <c r="F3343">
        <v>1010100</v>
      </c>
      <c r="G3343">
        <v>1142.02</v>
      </c>
    </row>
    <row r="3344" spans="5:7" x14ac:dyDescent="0.3">
      <c r="E3344" s="80">
        <v>45688</v>
      </c>
      <c r="F3344">
        <v>1010100</v>
      </c>
      <c r="G3344">
        <v>827.86</v>
      </c>
    </row>
    <row r="3345" spans="5:7" x14ac:dyDescent="0.3">
      <c r="E3345" s="80">
        <v>45688</v>
      </c>
      <c r="F3345">
        <v>1010100</v>
      </c>
      <c r="G3345">
        <v>1142.02</v>
      </c>
    </row>
    <row r="3346" spans="5:7" x14ac:dyDescent="0.3">
      <c r="E3346" s="80">
        <v>45688</v>
      </c>
      <c r="F3346">
        <v>1010100</v>
      </c>
      <c r="G3346">
        <v>1142.02</v>
      </c>
    </row>
    <row r="3347" spans="5:7" x14ac:dyDescent="0.3">
      <c r="E3347" s="80">
        <v>45687</v>
      </c>
      <c r="F3347">
        <v>1010100</v>
      </c>
      <c r="G3347">
        <v>1142.02</v>
      </c>
    </row>
    <row r="3348" spans="5:7" x14ac:dyDescent="0.3">
      <c r="E3348" s="80">
        <v>45687</v>
      </c>
      <c r="F3348">
        <v>1010100</v>
      </c>
      <c r="G3348">
        <v>827.86</v>
      </c>
    </row>
    <row r="3349" spans="5:7" x14ac:dyDescent="0.3">
      <c r="E3349" s="80">
        <v>45687</v>
      </c>
      <c r="F3349">
        <v>1010100</v>
      </c>
      <c r="G3349">
        <v>1142.02</v>
      </c>
    </row>
    <row r="3350" spans="5:7" x14ac:dyDescent="0.3">
      <c r="E3350" s="80">
        <v>45687</v>
      </c>
      <c r="F3350">
        <v>1010100</v>
      </c>
      <c r="G3350">
        <v>1142.02</v>
      </c>
    </row>
    <row r="3351" spans="5:7" x14ac:dyDescent="0.3">
      <c r="E3351" s="80">
        <v>45687</v>
      </c>
      <c r="F3351">
        <v>1010100</v>
      </c>
      <c r="G3351">
        <v>827.86</v>
      </c>
    </row>
    <row r="3352" spans="5:7" x14ac:dyDescent="0.3">
      <c r="E3352" s="80">
        <v>45687</v>
      </c>
      <c r="F3352">
        <v>1010100</v>
      </c>
      <c r="G3352">
        <v>827.86</v>
      </c>
    </row>
    <row r="3353" spans="5:7" x14ac:dyDescent="0.3">
      <c r="E3353" s="80">
        <v>45687</v>
      </c>
      <c r="F3353">
        <v>1010100</v>
      </c>
      <c r="G3353">
        <v>1256.26</v>
      </c>
    </row>
    <row r="3354" spans="5:7" x14ac:dyDescent="0.3">
      <c r="E3354" s="80">
        <v>45687</v>
      </c>
      <c r="F3354">
        <v>1010100</v>
      </c>
      <c r="G3354">
        <v>827.86</v>
      </c>
    </row>
    <row r="3355" spans="5:7" x14ac:dyDescent="0.3">
      <c r="E3355" s="80">
        <v>45687</v>
      </c>
      <c r="F3355">
        <v>1010100</v>
      </c>
      <c r="G3355">
        <v>1142.02</v>
      </c>
    </row>
    <row r="3356" spans="5:7" x14ac:dyDescent="0.3">
      <c r="E3356" s="80">
        <v>45687</v>
      </c>
      <c r="F3356">
        <v>1010100</v>
      </c>
      <c r="G3356">
        <v>1142.02</v>
      </c>
    </row>
    <row r="3357" spans="5:7" x14ac:dyDescent="0.3">
      <c r="E3357" s="80">
        <v>45687</v>
      </c>
      <c r="F3357">
        <v>1010100</v>
      </c>
      <c r="G3357">
        <v>827.86</v>
      </c>
    </row>
    <row r="3358" spans="5:7" x14ac:dyDescent="0.3">
      <c r="E3358" s="80">
        <v>45687</v>
      </c>
      <c r="F3358">
        <v>1010100</v>
      </c>
      <c r="G3358">
        <v>827.86</v>
      </c>
    </row>
    <row r="3359" spans="5:7" x14ac:dyDescent="0.3">
      <c r="E3359" s="80">
        <v>45687</v>
      </c>
      <c r="F3359">
        <v>1010100</v>
      </c>
      <c r="G3359">
        <v>1142.02</v>
      </c>
    </row>
    <row r="3360" spans="5:7" x14ac:dyDescent="0.3">
      <c r="E3360" s="80">
        <v>45687</v>
      </c>
      <c r="F3360">
        <v>1010100</v>
      </c>
      <c r="G3360">
        <v>1142.02</v>
      </c>
    </row>
    <row r="3361" spans="5:7" x14ac:dyDescent="0.3">
      <c r="E3361" s="80">
        <v>45687</v>
      </c>
      <c r="F3361">
        <v>1010100</v>
      </c>
      <c r="G3361">
        <v>1256.26</v>
      </c>
    </row>
    <row r="3362" spans="5:7" x14ac:dyDescent="0.3">
      <c r="E3362" s="80">
        <v>45687</v>
      </c>
      <c r="F3362">
        <v>1010100</v>
      </c>
      <c r="G3362">
        <v>1142.02</v>
      </c>
    </row>
    <row r="3363" spans="5:7" x14ac:dyDescent="0.3">
      <c r="E3363" s="80">
        <v>45687</v>
      </c>
      <c r="F3363">
        <v>1010100</v>
      </c>
      <c r="G3363">
        <v>1142.02</v>
      </c>
    </row>
    <row r="3364" spans="5:7" x14ac:dyDescent="0.3">
      <c r="E3364" s="80">
        <v>45686</v>
      </c>
      <c r="F3364">
        <v>1010100</v>
      </c>
      <c r="G3364">
        <v>2055.64</v>
      </c>
    </row>
    <row r="3365" spans="5:7" x14ac:dyDescent="0.3">
      <c r="E3365" s="80">
        <v>45686</v>
      </c>
      <c r="F3365">
        <v>1010100</v>
      </c>
      <c r="G3365">
        <v>1142.02</v>
      </c>
    </row>
    <row r="3366" spans="5:7" x14ac:dyDescent="0.3">
      <c r="E3366" s="80">
        <v>45686</v>
      </c>
      <c r="F3366">
        <v>1010100</v>
      </c>
      <c r="G3366">
        <v>1142.02</v>
      </c>
    </row>
    <row r="3367" spans="5:7" x14ac:dyDescent="0.3">
      <c r="E3367" s="80">
        <v>45686</v>
      </c>
      <c r="F3367">
        <v>1010100</v>
      </c>
      <c r="G3367">
        <v>1027.82</v>
      </c>
    </row>
    <row r="3368" spans="5:7" x14ac:dyDescent="0.3">
      <c r="E3368" s="80">
        <v>45686</v>
      </c>
      <c r="F3368">
        <v>1010100</v>
      </c>
      <c r="G3368">
        <v>1142.02</v>
      </c>
    </row>
    <row r="3369" spans="5:7" x14ac:dyDescent="0.3">
      <c r="E3369" s="80">
        <v>45686</v>
      </c>
      <c r="F3369">
        <v>1010100</v>
      </c>
      <c r="G3369">
        <v>1142.02</v>
      </c>
    </row>
    <row r="3370" spans="5:7" x14ac:dyDescent="0.3">
      <c r="E3370" s="80">
        <v>45686</v>
      </c>
      <c r="F3370">
        <v>1010100</v>
      </c>
      <c r="G3370">
        <v>1142.02</v>
      </c>
    </row>
    <row r="3371" spans="5:7" x14ac:dyDescent="0.3">
      <c r="E3371" s="80">
        <v>45686</v>
      </c>
      <c r="F3371">
        <v>1010100</v>
      </c>
      <c r="G3371">
        <v>1142.02</v>
      </c>
    </row>
    <row r="3372" spans="5:7" x14ac:dyDescent="0.3">
      <c r="E3372" s="80">
        <v>45686</v>
      </c>
      <c r="F3372">
        <v>1010100</v>
      </c>
      <c r="G3372">
        <v>1142.02</v>
      </c>
    </row>
    <row r="3373" spans="5:7" x14ac:dyDescent="0.3">
      <c r="E3373" s="80">
        <v>45686</v>
      </c>
      <c r="F3373">
        <v>1010100</v>
      </c>
      <c r="G3373">
        <v>1142.02</v>
      </c>
    </row>
    <row r="3374" spans="5:7" x14ac:dyDescent="0.3">
      <c r="E3374" s="80">
        <v>45686</v>
      </c>
      <c r="F3374">
        <v>1010100</v>
      </c>
      <c r="G3374">
        <v>1142.02</v>
      </c>
    </row>
    <row r="3375" spans="5:7" x14ac:dyDescent="0.3">
      <c r="E3375" s="80">
        <v>45686</v>
      </c>
      <c r="F3375">
        <v>1010100</v>
      </c>
      <c r="G3375">
        <v>1027.82</v>
      </c>
    </row>
    <row r="3376" spans="5:7" x14ac:dyDescent="0.3">
      <c r="E3376" s="80">
        <v>45685</v>
      </c>
      <c r="F3376">
        <v>1010100</v>
      </c>
      <c r="G3376">
        <v>1256.26</v>
      </c>
    </row>
    <row r="3377" spans="5:7" x14ac:dyDescent="0.3">
      <c r="E3377" s="80">
        <v>45685</v>
      </c>
      <c r="F3377">
        <v>1010100</v>
      </c>
      <c r="G3377">
        <v>1142.02</v>
      </c>
    </row>
    <row r="3378" spans="5:7" x14ac:dyDescent="0.3">
      <c r="E3378" s="80">
        <v>45685</v>
      </c>
      <c r="F3378">
        <v>1010100</v>
      </c>
      <c r="G3378">
        <v>1142.02</v>
      </c>
    </row>
    <row r="3379" spans="5:7" x14ac:dyDescent="0.3">
      <c r="E3379" s="80">
        <v>45685</v>
      </c>
      <c r="F3379">
        <v>1010100</v>
      </c>
      <c r="G3379">
        <v>1142.02</v>
      </c>
    </row>
    <row r="3380" spans="5:7" x14ac:dyDescent="0.3">
      <c r="E3380" s="80">
        <v>45685</v>
      </c>
      <c r="F3380">
        <v>1010100</v>
      </c>
      <c r="G3380">
        <v>1142.02</v>
      </c>
    </row>
    <row r="3381" spans="5:7" x14ac:dyDescent="0.3">
      <c r="E3381" s="80">
        <v>45685</v>
      </c>
      <c r="F3381">
        <v>1010100</v>
      </c>
      <c r="G3381">
        <v>1142.02</v>
      </c>
    </row>
    <row r="3382" spans="5:7" x14ac:dyDescent="0.3">
      <c r="E3382" s="80">
        <v>45685</v>
      </c>
      <c r="F3382">
        <v>1010100</v>
      </c>
      <c r="G3382">
        <v>1142.02</v>
      </c>
    </row>
    <row r="3383" spans="5:7" x14ac:dyDescent="0.3">
      <c r="E3383" s="80">
        <v>45685</v>
      </c>
      <c r="F3383">
        <v>1010100</v>
      </c>
      <c r="G3383">
        <v>1142.02</v>
      </c>
    </row>
    <row r="3384" spans="5:7" x14ac:dyDescent="0.3">
      <c r="E3384" s="80">
        <v>45684</v>
      </c>
      <c r="F3384">
        <v>1010100</v>
      </c>
      <c r="G3384">
        <v>1142.02</v>
      </c>
    </row>
    <row r="3385" spans="5:7" x14ac:dyDescent="0.3">
      <c r="E3385" s="80">
        <v>45684</v>
      </c>
      <c r="F3385">
        <v>1010100</v>
      </c>
      <c r="G3385">
        <v>1142.02</v>
      </c>
    </row>
    <row r="3386" spans="5:7" x14ac:dyDescent="0.3">
      <c r="E3386" s="80">
        <v>45684</v>
      </c>
      <c r="F3386">
        <v>1010100</v>
      </c>
      <c r="G3386">
        <v>1256.26</v>
      </c>
    </row>
    <row r="3387" spans="5:7" x14ac:dyDescent="0.3">
      <c r="E3387" s="80">
        <v>45684</v>
      </c>
      <c r="F3387">
        <v>1010100</v>
      </c>
      <c r="G3387">
        <v>1142.02</v>
      </c>
    </row>
    <row r="3388" spans="5:7" x14ac:dyDescent="0.3">
      <c r="E3388" s="80">
        <v>45684</v>
      </c>
      <c r="F3388">
        <v>1010100</v>
      </c>
      <c r="G3388">
        <v>1142.02</v>
      </c>
    </row>
    <row r="3389" spans="5:7" x14ac:dyDescent="0.3">
      <c r="E3389" s="80">
        <v>45684</v>
      </c>
      <c r="F3389">
        <v>1010100</v>
      </c>
      <c r="G3389">
        <v>1142.02</v>
      </c>
    </row>
    <row r="3390" spans="5:7" x14ac:dyDescent="0.3">
      <c r="E3390" s="80">
        <v>45684</v>
      </c>
      <c r="F3390">
        <v>1010100</v>
      </c>
      <c r="G3390">
        <v>2284.04</v>
      </c>
    </row>
    <row r="3391" spans="5:7" x14ac:dyDescent="0.3">
      <c r="E3391" s="80">
        <v>45684</v>
      </c>
      <c r="F3391">
        <v>1010100</v>
      </c>
      <c r="G3391">
        <v>1142.02</v>
      </c>
    </row>
    <row r="3392" spans="5:7" x14ac:dyDescent="0.3">
      <c r="E3392" s="80">
        <v>45683</v>
      </c>
      <c r="F3392">
        <v>1010100</v>
      </c>
      <c r="G3392">
        <v>1142.02</v>
      </c>
    </row>
    <row r="3393" spans="5:7" x14ac:dyDescent="0.3">
      <c r="E3393" s="80">
        <v>45683</v>
      </c>
      <c r="F3393">
        <v>1010100</v>
      </c>
      <c r="G3393">
        <v>1142.02</v>
      </c>
    </row>
    <row r="3394" spans="5:7" x14ac:dyDescent="0.3">
      <c r="E3394" s="80">
        <v>45683</v>
      </c>
      <c r="F3394">
        <v>1010100</v>
      </c>
      <c r="G3394">
        <v>1142.02</v>
      </c>
    </row>
    <row r="3395" spans="5:7" x14ac:dyDescent="0.3">
      <c r="E3395" s="80">
        <v>45683</v>
      </c>
      <c r="F3395">
        <v>1010100</v>
      </c>
      <c r="G3395">
        <v>1256.26</v>
      </c>
    </row>
    <row r="3396" spans="5:7" x14ac:dyDescent="0.3">
      <c r="E3396" s="80">
        <v>45683</v>
      </c>
      <c r="F3396">
        <v>1010100</v>
      </c>
      <c r="G3396">
        <v>1142.02</v>
      </c>
    </row>
    <row r="3397" spans="5:7" x14ac:dyDescent="0.3">
      <c r="E3397" s="80">
        <v>45683</v>
      </c>
      <c r="F3397">
        <v>1010100</v>
      </c>
      <c r="G3397">
        <v>1142.02</v>
      </c>
    </row>
    <row r="3398" spans="5:7" x14ac:dyDescent="0.3">
      <c r="E3398" s="80">
        <v>45683</v>
      </c>
      <c r="F3398">
        <v>1010100</v>
      </c>
      <c r="G3398">
        <v>1142.02</v>
      </c>
    </row>
    <row r="3399" spans="5:7" x14ac:dyDescent="0.3">
      <c r="E3399" s="80">
        <v>45683</v>
      </c>
      <c r="F3399">
        <v>1010100</v>
      </c>
      <c r="G3399">
        <v>1142.02</v>
      </c>
    </row>
    <row r="3400" spans="5:7" x14ac:dyDescent="0.3">
      <c r="E3400" s="80">
        <v>45682</v>
      </c>
      <c r="F3400">
        <v>1010100</v>
      </c>
      <c r="G3400">
        <v>1142.02</v>
      </c>
    </row>
    <row r="3401" spans="5:7" x14ac:dyDescent="0.3">
      <c r="E3401" s="80">
        <v>45682</v>
      </c>
      <c r="F3401">
        <v>1010100</v>
      </c>
      <c r="G3401">
        <v>1142.02</v>
      </c>
    </row>
    <row r="3402" spans="5:7" x14ac:dyDescent="0.3">
      <c r="E3402" s="80">
        <v>45682</v>
      </c>
      <c r="F3402">
        <v>1010100</v>
      </c>
      <c r="G3402">
        <v>1256.26</v>
      </c>
    </row>
    <row r="3403" spans="5:7" x14ac:dyDescent="0.3">
      <c r="E3403" s="80">
        <v>45682</v>
      </c>
      <c r="F3403">
        <v>1010100</v>
      </c>
      <c r="G3403">
        <v>1142.02</v>
      </c>
    </row>
    <row r="3404" spans="5:7" x14ac:dyDescent="0.3">
      <c r="E3404" s="80">
        <v>45682</v>
      </c>
      <c r="F3404">
        <v>1010100</v>
      </c>
      <c r="G3404">
        <v>1142.02</v>
      </c>
    </row>
    <row r="3405" spans="5:7" x14ac:dyDescent="0.3">
      <c r="E3405" s="80">
        <v>45682</v>
      </c>
      <c r="F3405">
        <v>1010100</v>
      </c>
      <c r="G3405">
        <v>1256.26</v>
      </c>
    </row>
    <row r="3406" spans="5:7" x14ac:dyDescent="0.3">
      <c r="E3406" s="80">
        <v>45682</v>
      </c>
      <c r="F3406">
        <v>1010100</v>
      </c>
      <c r="G3406">
        <v>1142.02</v>
      </c>
    </row>
    <row r="3407" spans="5:7" x14ac:dyDescent="0.3">
      <c r="E3407" s="80">
        <v>45682</v>
      </c>
      <c r="F3407">
        <v>1010100</v>
      </c>
      <c r="G3407">
        <v>1142.02</v>
      </c>
    </row>
    <row r="3408" spans="5:7" x14ac:dyDescent="0.3">
      <c r="E3408" s="80">
        <v>45682</v>
      </c>
      <c r="F3408">
        <v>1010100</v>
      </c>
      <c r="G3408">
        <v>1142.02</v>
      </c>
    </row>
    <row r="3409" spans="5:7" x14ac:dyDescent="0.3">
      <c r="E3409" s="80">
        <v>45682</v>
      </c>
      <c r="F3409">
        <v>1010100</v>
      </c>
      <c r="G3409">
        <v>1142.02</v>
      </c>
    </row>
    <row r="3410" spans="5:7" x14ac:dyDescent="0.3">
      <c r="E3410" s="80">
        <v>45682</v>
      </c>
      <c r="F3410">
        <v>1010100</v>
      </c>
      <c r="G3410">
        <v>1256.26</v>
      </c>
    </row>
    <row r="3411" spans="5:7" x14ac:dyDescent="0.3">
      <c r="E3411" s="80">
        <v>45682</v>
      </c>
      <c r="F3411">
        <v>1010100</v>
      </c>
      <c r="G3411">
        <v>1142.02</v>
      </c>
    </row>
    <row r="3412" spans="5:7" x14ac:dyDescent="0.3">
      <c r="E3412" s="80">
        <v>45682</v>
      </c>
      <c r="F3412">
        <v>1010100</v>
      </c>
      <c r="G3412">
        <v>1142.02</v>
      </c>
    </row>
    <row r="3413" spans="5:7" x14ac:dyDescent="0.3">
      <c r="E3413" s="80">
        <v>45682</v>
      </c>
      <c r="F3413">
        <v>1010100</v>
      </c>
      <c r="G3413">
        <v>1142.02</v>
      </c>
    </row>
    <row r="3414" spans="5:7" x14ac:dyDescent="0.3">
      <c r="E3414" s="80">
        <v>45682</v>
      </c>
      <c r="F3414">
        <v>1010100</v>
      </c>
      <c r="G3414">
        <v>1142.02</v>
      </c>
    </row>
    <row r="3415" spans="5:7" x14ac:dyDescent="0.3">
      <c r="E3415" s="80">
        <v>45681</v>
      </c>
      <c r="F3415">
        <v>1010100</v>
      </c>
      <c r="G3415">
        <v>1142.02</v>
      </c>
    </row>
    <row r="3416" spans="5:7" x14ac:dyDescent="0.3">
      <c r="E3416" s="80">
        <v>45681</v>
      </c>
      <c r="F3416">
        <v>1010100</v>
      </c>
      <c r="G3416">
        <v>1142.02</v>
      </c>
    </row>
    <row r="3417" spans="5:7" x14ac:dyDescent="0.3">
      <c r="E3417" s="80">
        <v>45681</v>
      </c>
      <c r="F3417">
        <v>1010100</v>
      </c>
      <c r="G3417">
        <v>1142.02</v>
      </c>
    </row>
    <row r="3418" spans="5:7" x14ac:dyDescent="0.3">
      <c r="E3418" s="80">
        <v>45681</v>
      </c>
      <c r="F3418">
        <v>1010100</v>
      </c>
      <c r="G3418">
        <v>1142.02</v>
      </c>
    </row>
    <row r="3419" spans="5:7" x14ac:dyDescent="0.3">
      <c r="E3419" s="80">
        <v>45681</v>
      </c>
      <c r="F3419">
        <v>1010100</v>
      </c>
      <c r="G3419">
        <v>1142.02</v>
      </c>
    </row>
    <row r="3420" spans="5:7" x14ac:dyDescent="0.3">
      <c r="E3420" s="80">
        <v>45681</v>
      </c>
      <c r="F3420">
        <v>1010100</v>
      </c>
      <c r="G3420">
        <v>1142.02</v>
      </c>
    </row>
    <row r="3421" spans="5:7" x14ac:dyDescent="0.3">
      <c r="E3421" s="80">
        <v>45681</v>
      </c>
      <c r="F3421">
        <v>1010100</v>
      </c>
      <c r="G3421">
        <v>1142.02</v>
      </c>
    </row>
    <row r="3422" spans="5:7" x14ac:dyDescent="0.3">
      <c r="E3422" s="80">
        <v>45681</v>
      </c>
      <c r="F3422">
        <v>1010100</v>
      </c>
      <c r="G3422">
        <v>1142.02</v>
      </c>
    </row>
    <row r="3423" spans="5:7" x14ac:dyDescent="0.3">
      <c r="E3423" s="80">
        <v>45680</v>
      </c>
      <c r="F3423">
        <v>1010100</v>
      </c>
      <c r="G3423">
        <v>1142.02</v>
      </c>
    </row>
    <row r="3424" spans="5:7" x14ac:dyDescent="0.3">
      <c r="E3424" s="80">
        <v>45680</v>
      </c>
      <c r="F3424">
        <v>1010100</v>
      </c>
      <c r="G3424">
        <v>1142.02</v>
      </c>
    </row>
    <row r="3425" spans="5:7" x14ac:dyDescent="0.3">
      <c r="E3425" s="80">
        <v>45680</v>
      </c>
      <c r="F3425">
        <v>1010100</v>
      </c>
      <c r="G3425">
        <v>1142.02</v>
      </c>
    </row>
    <row r="3426" spans="5:7" x14ac:dyDescent="0.3">
      <c r="E3426" s="80">
        <v>45680</v>
      </c>
      <c r="F3426">
        <v>1010100</v>
      </c>
      <c r="G3426">
        <v>1142.02</v>
      </c>
    </row>
    <row r="3427" spans="5:7" x14ac:dyDescent="0.3">
      <c r="E3427" s="80">
        <v>45680</v>
      </c>
      <c r="F3427">
        <v>1010100</v>
      </c>
      <c r="G3427">
        <v>1142.02</v>
      </c>
    </row>
    <row r="3428" spans="5:7" x14ac:dyDescent="0.3">
      <c r="E3428" s="80">
        <v>45680</v>
      </c>
      <c r="F3428">
        <v>1010100</v>
      </c>
      <c r="G3428">
        <v>1142.02</v>
      </c>
    </row>
    <row r="3429" spans="5:7" x14ac:dyDescent="0.3">
      <c r="E3429" s="80">
        <v>45680</v>
      </c>
      <c r="F3429">
        <v>1010100</v>
      </c>
      <c r="G3429">
        <v>1142.02</v>
      </c>
    </row>
    <row r="3430" spans="5:7" x14ac:dyDescent="0.3">
      <c r="E3430" s="80">
        <v>45679</v>
      </c>
      <c r="F3430">
        <v>1010100</v>
      </c>
      <c r="G3430">
        <v>1142.02</v>
      </c>
    </row>
    <row r="3431" spans="5:7" x14ac:dyDescent="0.3">
      <c r="E3431" s="80">
        <v>45679</v>
      </c>
      <c r="F3431">
        <v>1010100</v>
      </c>
      <c r="G3431">
        <v>1142.02</v>
      </c>
    </row>
    <row r="3432" spans="5:7" x14ac:dyDescent="0.3">
      <c r="E3432" s="80">
        <v>45679</v>
      </c>
      <c r="F3432">
        <v>1010100</v>
      </c>
      <c r="G3432">
        <v>1142.02</v>
      </c>
    </row>
    <row r="3433" spans="5:7" x14ac:dyDescent="0.3">
      <c r="E3433" s="80">
        <v>45679</v>
      </c>
      <c r="F3433">
        <v>1010100</v>
      </c>
      <c r="G3433">
        <v>1142.02</v>
      </c>
    </row>
    <row r="3434" spans="5:7" x14ac:dyDescent="0.3">
      <c r="E3434" s="80">
        <v>45679</v>
      </c>
      <c r="F3434">
        <v>1010100</v>
      </c>
      <c r="G3434">
        <v>1142.02</v>
      </c>
    </row>
    <row r="3435" spans="5:7" x14ac:dyDescent="0.3">
      <c r="E3435" s="80">
        <v>45679</v>
      </c>
      <c r="F3435">
        <v>1010100</v>
      </c>
      <c r="G3435">
        <v>1142.02</v>
      </c>
    </row>
    <row r="3436" spans="5:7" x14ac:dyDescent="0.3">
      <c r="E3436" s="80">
        <v>45679</v>
      </c>
      <c r="F3436">
        <v>1010100</v>
      </c>
      <c r="G3436">
        <v>2055.64</v>
      </c>
    </row>
    <row r="3437" spans="5:7" x14ac:dyDescent="0.3">
      <c r="E3437" s="80">
        <v>45679</v>
      </c>
      <c r="F3437">
        <v>1010100</v>
      </c>
      <c r="G3437">
        <v>1027.82</v>
      </c>
    </row>
    <row r="3438" spans="5:7" x14ac:dyDescent="0.3">
      <c r="E3438" s="80">
        <v>45679</v>
      </c>
      <c r="F3438">
        <v>1010100</v>
      </c>
      <c r="G3438">
        <v>1142.02</v>
      </c>
    </row>
    <row r="3439" spans="5:7" x14ac:dyDescent="0.3">
      <c r="E3439" s="80">
        <v>45678</v>
      </c>
      <c r="F3439">
        <v>1010100</v>
      </c>
      <c r="G3439">
        <v>1142.02</v>
      </c>
    </row>
    <row r="3440" spans="5:7" x14ac:dyDescent="0.3">
      <c r="E3440" s="80">
        <v>45678</v>
      </c>
      <c r="F3440">
        <v>1010100</v>
      </c>
      <c r="G3440">
        <v>1142.02</v>
      </c>
    </row>
    <row r="3441" spans="5:7" x14ac:dyDescent="0.3">
      <c r="E3441" s="80">
        <v>45678</v>
      </c>
      <c r="F3441">
        <v>1010100</v>
      </c>
      <c r="G3441">
        <v>1142.02</v>
      </c>
    </row>
    <row r="3442" spans="5:7" x14ac:dyDescent="0.3">
      <c r="E3442" s="80">
        <v>45678</v>
      </c>
      <c r="F3442">
        <v>1010100</v>
      </c>
      <c r="G3442">
        <v>1142.02</v>
      </c>
    </row>
    <row r="3443" spans="5:7" x14ac:dyDescent="0.3">
      <c r="E3443" s="80">
        <v>45678</v>
      </c>
      <c r="F3443">
        <v>1010100</v>
      </c>
      <c r="G3443">
        <v>1142.02</v>
      </c>
    </row>
    <row r="3444" spans="5:7" x14ac:dyDescent="0.3">
      <c r="E3444" s="80">
        <v>45678</v>
      </c>
      <c r="F3444">
        <v>1010100</v>
      </c>
      <c r="G3444">
        <v>1142.02</v>
      </c>
    </row>
    <row r="3445" spans="5:7" x14ac:dyDescent="0.3">
      <c r="E3445" s="80">
        <v>45678</v>
      </c>
      <c r="F3445">
        <v>1010100</v>
      </c>
      <c r="G3445">
        <v>1142.02</v>
      </c>
    </row>
    <row r="3446" spans="5:7" x14ac:dyDescent="0.3">
      <c r="E3446" s="80">
        <v>45678</v>
      </c>
      <c r="F3446">
        <v>1010100</v>
      </c>
      <c r="G3446">
        <v>1142.02</v>
      </c>
    </row>
    <row r="3447" spans="5:7" x14ac:dyDescent="0.3">
      <c r="E3447" s="80">
        <v>45678</v>
      </c>
      <c r="F3447">
        <v>1010100</v>
      </c>
      <c r="G3447">
        <v>1142.02</v>
      </c>
    </row>
    <row r="3448" spans="5:7" x14ac:dyDescent="0.3">
      <c r="E3448" s="80">
        <v>45678</v>
      </c>
      <c r="F3448">
        <v>1010100</v>
      </c>
      <c r="G3448">
        <v>1142.02</v>
      </c>
    </row>
    <row r="3449" spans="5:7" x14ac:dyDescent="0.3">
      <c r="E3449" s="80">
        <v>45678</v>
      </c>
      <c r="F3449">
        <v>1010100</v>
      </c>
      <c r="G3449">
        <v>1027.82</v>
      </c>
    </row>
    <row r="3450" spans="5:7" x14ac:dyDescent="0.3">
      <c r="E3450" s="80">
        <v>45678</v>
      </c>
      <c r="F3450">
        <v>1010100</v>
      </c>
      <c r="G3450">
        <v>1142.02</v>
      </c>
    </row>
    <row r="3451" spans="5:7" x14ac:dyDescent="0.3">
      <c r="E3451" s="80">
        <v>45678</v>
      </c>
      <c r="F3451">
        <v>1010100</v>
      </c>
      <c r="G3451">
        <v>1142.02</v>
      </c>
    </row>
    <row r="3452" spans="5:7" x14ac:dyDescent="0.3">
      <c r="E3452" s="80">
        <v>45678</v>
      </c>
      <c r="F3452">
        <v>1010100</v>
      </c>
      <c r="G3452">
        <v>1142.02</v>
      </c>
    </row>
    <row r="3453" spans="5:7" x14ac:dyDescent="0.3">
      <c r="E3453" s="80">
        <v>45677</v>
      </c>
      <c r="F3453">
        <v>1010100</v>
      </c>
      <c r="G3453">
        <v>1142.02</v>
      </c>
    </row>
    <row r="3454" spans="5:7" x14ac:dyDescent="0.3">
      <c r="E3454" s="80">
        <v>45677</v>
      </c>
      <c r="F3454">
        <v>1010100</v>
      </c>
      <c r="G3454">
        <v>1142.02</v>
      </c>
    </row>
    <row r="3455" spans="5:7" x14ac:dyDescent="0.3">
      <c r="E3455" s="80">
        <v>45677</v>
      </c>
      <c r="F3455">
        <v>1010100</v>
      </c>
      <c r="G3455">
        <v>1142.02</v>
      </c>
    </row>
    <row r="3456" spans="5:7" x14ac:dyDescent="0.3">
      <c r="E3456" s="80">
        <v>45677</v>
      </c>
      <c r="F3456">
        <v>1010100</v>
      </c>
      <c r="G3456">
        <v>1256.26</v>
      </c>
    </row>
    <row r="3457" spans="5:7" x14ac:dyDescent="0.3">
      <c r="E3457" s="80">
        <v>45677</v>
      </c>
      <c r="F3457">
        <v>1010100</v>
      </c>
      <c r="G3457">
        <v>1142.02</v>
      </c>
    </row>
    <row r="3458" spans="5:7" x14ac:dyDescent="0.3">
      <c r="E3458" s="80">
        <v>45677</v>
      </c>
      <c r="F3458">
        <v>1010100</v>
      </c>
      <c r="G3458">
        <v>1142.02</v>
      </c>
    </row>
    <row r="3459" spans="5:7" x14ac:dyDescent="0.3">
      <c r="E3459" s="80">
        <v>45676</v>
      </c>
      <c r="F3459">
        <v>1010100</v>
      </c>
      <c r="G3459">
        <v>1142.02</v>
      </c>
    </row>
    <row r="3460" spans="5:7" x14ac:dyDescent="0.3">
      <c r="E3460" s="80">
        <v>45676</v>
      </c>
      <c r="F3460">
        <v>1010100</v>
      </c>
      <c r="G3460">
        <v>1142.02</v>
      </c>
    </row>
    <row r="3461" spans="5:7" x14ac:dyDescent="0.3">
      <c r="E3461" s="80">
        <v>45676</v>
      </c>
      <c r="F3461">
        <v>1010100</v>
      </c>
      <c r="G3461">
        <v>1256.26</v>
      </c>
    </row>
    <row r="3462" spans="5:7" x14ac:dyDescent="0.3">
      <c r="E3462" s="80">
        <v>45676</v>
      </c>
      <c r="F3462">
        <v>1010100</v>
      </c>
      <c r="G3462">
        <v>1142.02</v>
      </c>
    </row>
    <row r="3463" spans="5:7" x14ac:dyDescent="0.3">
      <c r="E3463" s="80">
        <v>45676</v>
      </c>
      <c r="F3463">
        <v>1010100</v>
      </c>
      <c r="G3463">
        <v>1142.02</v>
      </c>
    </row>
    <row r="3464" spans="5:7" x14ac:dyDescent="0.3">
      <c r="E3464" s="80">
        <v>45676</v>
      </c>
      <c r="F3464">
        <v>1010100</v>
      </c>
      <c r="G3464">
        <v>1142.02</v>
      </c>
    </row>
    <row r="3465" spans="5:7" x14ac:dyDescent="0.3">
      <c r="E3465" s="80">
        <v>45676</v>
      </c>
      <c r="F3465">
        <v>1010100</v>
      </c>
      <c r="G3465">
        <v>1142.02</v>
      </c>
    </row>
    <row r="3466" spans="5:7" x14ac:dyDescent="0.3">
      <c r="E3466" s="80">
        <v>45676</v>
      </c>
      <c r="F3466">
        <v>1010100</v>
      </c>
      <c r="G3466">
        <v>1142.02</v>
      </c>
    </row>
    <row r="3467" spans="5:7" x14ac:dyDescent="0.3">
      <c r="E3467" s="80">
        <v>45676</v>
      </c>
      <c r="F3467">
        <v>1010100</v>
      </c>
      <c r="G3467">
        <v>1142.02</v>
      </c>
    </row>
    <row r="3468" spans="5:7" x14ac:dyDescent="0.3">
      <c r="E3468" s="80">
        <v>45676</v>
      </c>
      <c r="F3468">
        <v>1010100</v>
      </c>
      <c r="G3468">
        <v>1142.02</v>
      </c>
    </row>
    <row r="3469" spans="5:7" x14ac:dyDescent="0.3">
      <c r="E3469" s="80">
        <v>45676</v>
      </c>
      <c r="F3469">
        <v>1010100</v>
      </c>
      <c r="G3469">
        <v>1142.02</v>
      </c>
    </row>
    <row r="3470" spans="5:7" x14ac:dyDescent="0.3">
      <c r="E3470" s="80">
        <v>45676</v>
      </c>
      <c r="F3470">
        <v>1010100</v>
      </c>
      <c r="G3470">
        <v>380.42</v>
      </c>
    </row>
    <row r="3471" spans="5:7" x14ac:dyDescent="0.3">
      <c r="E3471" s="80">
        <v>45676</v>
      </c>
      <c r="F3471">
        <v>1010100</v>
      </c>
      <c r="G3471">
        <v>1142.02</v>
      </c>
    </row>
    <row r="3472" spans="5:7" x14ac:dyDescent="0.3">
      <c r="E3472" s="80">
        <v>45676</v>
      </c>
      <c r="F3472">
        <v>1010100</v>
      </c>
      <c r="G3472">
        <v>1142.02</v>
      </c>
    </row>
    <row r="3473" spans="5:7" x14ac:dyDescent="0.3">
      <c r="E3473" s="80">
        <v>45676</v>
      </c>
      <c r="F3473">
        <v>1010100</v>
      </c>
      <c r="G3473">
        <v>1142.02</v>
      </c>
    </row>
    <row r="3474" spans="5:7" x14ac:dyDescent="0.3">
      <c r="E3474" s="80">
        <v>45676</v>
      </c>
      <c r="F3474">
        <v>1010100</v>
      </c>
      <c r="G3474">
        <v>1142.02</v>
      </c>
    </row>
    <row r="3475" spans="5:7" x14ac:dyDescent="0.3">
      <c r="E3475" s="80">
        <v>45676</v>
      </c>
      <c r="F3475">
        <v>1010100</v>
      </c>
      <c r="G3475">
        <v>1142.02</v>
      </c>
    </row>
    <row r="3476" spans="5:7" x14ac:dyDescent="0.3">
      <c r="E3476" s="80">
        <v>45676</v>
      </c>
      <c r="F3476">
        <v>1010100</v>
      </c>
      <c r="G3476">
        <v>380.42</v>
      </c>
    </row>
    <row r="3477" spans="5:7" x14ac:dyDescent="0.3">
      <c r="E3477" s="80">
        <v>45675</v>
      </c>
      <c r="F3477">
        <v>1010100</v>
      </c>
      <c r="G3477">
        <v>1142.02</v>
      </c>
    </row>
    <row r="3478" spans="5:7" x14ac:dyDescent="0.3">
      <c r="E3478" s="80">
        <v>45675</v>
      </c>
      <c r="F3478">
        <v>1010100</v>
      </c>
      <c r="G3478">
        <v>1142.02</v>
      </c>
    </row>
    <row r="3479" spans="5:7" x14ac:dyDescent="0.3">
      <c r="E3479" s="80">
        <v>45675</v>
      </c>
      <c r="F3479">
        <v>1010100</v>
      </c>
      <c r="G3479">
        <v>1142.02</v>
      </c>
    </row>
    <row r="3480" spans="5:7" x14ac:dyDescent="0.3">
      <c r="E3480" s="80">
        <v>45675</v>
      </c>
      <c r="F3480">
        <v>1010100</v>
      </c>
      <c r="G3480">
        <v>1256.26</v>
      </c>
    </row>
    <row r="3481" spans="5:7" x14ac:dyDescent="0.3">
      <c r="E3481" s="80">
        <v>45675</v>
      </c>
      <c r="F3481">
        <v>1010100</v>
      </c>
      <c r="G3481">
        <v>1027.82</v>
      </c>
    </row>
    <row r="3482" spans="5:7" x14ac:dyDescent="0.3">
      <c r="E3482" s="80">
        <v>45675</v>
      </c>
      <c r="F3482">
        <v>1010100</v>
      </c>
      <c r="G3482">
        <v>1142.02</v>
      </c>
    </row>
    <row r="3483" spans="5:7" x14ac:dyDescent="0.3">
      <c r="E3483" s="80">
        <v>45675</v>
      </c>
      <c r="F3483">
        <v>1010100</v>
      </c>
      <c r="G3483">
        <v>1142.02</v>
      </c>
    </row>
    <row r="3484" spans="5:7" x14ac:dyDescent="0.3">
      <c r="E3484" s="80">
        <v>45675</v>
      </c>
      <c r="F3484">
        <v>1010100</v>
      </c>
      <c r="G3484">
        <v>1142.02</v>
      </c>
    </row>
    <row r="3485" spans="5:7" x14ac:dyDescent="0.3">
      <c r="E3485" s="80">
        <v>45675</v>
      </c>
      <c r="F3485">
        <v>1010100</v>
      </c>
      <c r="G3485">
        <v>1027.82</v>
      </c>
    </row>
    <row r="3486" spans="5:7" x14ac:dyDescent="0.3">
      <c r="E3486" s="80">
        <v>45675</v>
      </c>
      <c r="F3486">
        <v>1010100</v>
      </c>
      <c r="G3486">
        <v>1142.02</v>
      </c>
    </row>
    <row r="3487" spans="5:7" x14ac:dyDescent="0.3">
      <c r="E3487" s="80">
        <v>45675</v>
      </c>
      <c r="F3487">
        <v>1010100</v>
      </c>
      <c r="G3487">
        <v>1142.02</v>
      </c>
    </row>
    <row r="3488" spans="5:7" x14ac:dyDescent="0.3">
      <c r="E3488" s="80">
        <v>45674</v>
      </c>
      <c r="F3488">
        <v>1010100</v>
      </c>
      <c r="G3488">
        <v>1027.82</v>
      </c>
    </row>
    <row r="3489" spans="5:7" x14ac:dyDescent="0.3">
      <c r="E3489" s="80">
        <v>45674</v>
      </c>
      <c r="F3489">
        <v>1010100</v>
      </c>
      <c r="G3489">
        <v>1256.26</v>
      </c>
    </row>
    <row r="3490" spans="5:7" x14ac:dyDescent="0.3">
      <c r="E3490" s="80">
        <v>45674</v>
      </c>
      <c r="F3490">
        <v>1010100</v>
      </c>
      <c r="G3490">
        <v>1142.02</v>
      </c>
    </row>
    <row r="3491" spans="5:7" x14ac:dyDescent="0.3">
      <c r="E3491" s="80">
        <v>45674</v>
      </c>
      <c r="F3491">
        <v>1010100</v>
      </c>
      <c r="G3491">
        <v>1142.02</v>
      </c>
    </row>
    <row r="3492" spans="5:7" x14ac:dyDescent="0.3">
      <c r="E3492" s="80">
        <v>45674</v>
      </c>
      <c r="F3492">
        <v>1010100</v>
      </c>
      <c r="G3492">
        <v>1027.82</v>
      </c>
    </row>
    <row r="3493" spans="5:7" x14ac:dyDescent="0.3">
      <c r="E3493" s="80">
        <v>45674</v>
      </c>
      <c r="F3493">
        <v>1010100</v>
      </c>
      <c r="G3493">
        <v>1142.02</v>
      </c>
    </row>
    <row r="3494" spans="5:7" x14ac:dyDescent="0.3">
      <c r="E3494" s="80">
        <v>45674</v>
      </c>
      <c r="F3494">
        <v>1010100</v>
      </c>
      <c r="G3494">
        <v>1027.82</v>
      </c>
    </row>
    <row r="3495" spans="5:7" x14ac:dyDescent="0.3">
      <c r="E3495" s="80">
        <v>45674</v>
      </c>
      <c r="F3495">
        <v>1010100</v>
      </c>
      <c r="G3495">
        <v>1142.02</v>
      </c>
    </row>
    <row r="3496" spans="5:7" x14ac:dyDescent="0.3">
      <c r="E3496" s="80">
        <v>45674</v>
      </c>
      <c r="F3496">
        <v>1010100</v>
      </c>
      <c r="G3496">
        <v>1142.02</v>
      </c>
    </row>
    <row r="3497" spans="5:7" x14ac:dyDescent="0.3">
      <c r="E3497" s="80">
        <v>45674</v>
      </c>
      <c r="F3497">
        <v>1010100</v>
      </c>
      <c r="G3497">
        <v>380.42</v>
      </c>
    </row>
    <row r="3498" spans="5:7" x14ac:dyDescent="0.3">
      <c r="E3498" s="80">
        <v>45674</v>
      </c>
      <c r="F3498">
        <v>1010100</v>
      </c>
      <c r="G3498">
        <v>1142.02</v>
      </c>
    </row>
    <row r="3499" spans="5:7" x14ac:dyDescent="0.3">
      <c r="E3499" s="80">
        <v>45673</v>
      </c>
      <c r="F3499">
        <v>1010100</v>
      </c>
      <c r="G3499">
        <v>1142.02</v>
      </c>
    </row>
    <row r="3500" spans="5:7" x14ac:dyDescent="0.3">
      <c r="E3500" s="80">
        <v>45673</v>
      </c>
      <c r="F3500">
        <v>1010100</v>
      </c>
      <c r="G3500">
        <v>1142.02</v>
      </c>
    </row>
    <row r="3501" spans="5:7" x14ac:dyDescent="0.3">
      <c r="E3501" s="80">
        <v>45673</v>
      </c>
      <c r="F3501">
        <v>1010100</v>
      </c>
      <c r="G3501">
        <v>1142.02</v>
      </c>
    </row>
    <row r="3502" spans="5:7" x14ac:dyDescent="0.3">
      <c r="E3502" s="80">
        <v>45673</v>
      </c>
      <c r="F3502">
        <v>1010100</v>
      </c>
      <c r="G3502">
        <v>1142.02</v>
      </c>
    </row>
    <row r="3503" spans="5:7" x14ac:dyDescent="0.3">
      <c r="E3503" s="80">
        <v>45673</v>
      </c>
      <c r="F3503">
        <v>1010100</v>
      </c>
      <c r="G3503">
        <v>1142.02</v>
      </c>
    </row>
    <row r="3504" spans="5:7" x14ac:dyDescent="0.3">
      <c r="E3504" s="80">
        <v>45673</v>
      </c>
      <c r="F3504">
        <v>1010100</v>
      </c>
      <c r="G3504">
        <v>1256.26</v>
      </c>
    </row>
    <row r="3505" spans="5:7" x14ac:dyDescent="0.3">
      <c r="E3505" s="80">
        <v>45672</v>
      </c>
      <c r="F3505">
        <v>1010100</v>
      </c>
      <c r="G3505">
        <v>1027.82</v>
      </c>
    </row>
    <row r="3506" spans="5:7" x14ac:dyDescent="0.3">
      <c r="E3506" s="80">
        <v>45672</v>
      </c>
      <c r="F3506">
        <v>1010100</v>
      </c>
      <c r="G3506">
        <v>1142.02</v>
      </c>
    </row>
    <row r="3507" spans="5:7" x14ac:dyDescent="0.3">
      <c r="E3507" s="80">
        <v>45672</v>
      </c>
      <c r="F3507">
        <v>1010100</v>
      </c>
      <c r="G3507">
        <v>1142.02</v>
      </c>
    </row>
    <row r="3508" spans="5:7" x14ac:dyDescent="0.3">
      <c r="E3508" s="80">
        <v>45672</v>
      </c>
      <c r="F3508">
        <v>1010100</v>
      </c>
      <c r="G3508">
        <v>1142.02</v>
      </c>
    </row>
    <row r="3509" spans="5:7" x14ac:dyDescent="0.3">
      <c r="E3509" s="80">
        <v>45672</v>
      </c>
      <c r="F3509">
        <v>1010100</v>
      </c>
      <c r="G3509">
        <v>1142.02</v>
      </c>
    </row>
    <row r="3510" spans="5:7" x14ac:dyDescent="0.3">
      <c r="E3510" s="80">
        <v>45672</v>
      </c>
      <c r="F3510">
        <v>1010100</v>
      </c>
      <c r="G3510">
        <v>1142.02</v>
      </c>
    </row>
    <row r="3511" spans="5:7" x14ac:dyDescent="0.3">
      <c r="E3511" s="80">
        <v>45672</v>
      </c>
      <c r="F3511">
        <v>1010100</v>
      </c>
      <c r="G3511">
        <v>1142.02</v>
      </c>
    </row>
    <row r="3512" spans="5:7" x14ac:dyDescent="0.3">
      <c r="E3512" s="80">
        <v>45672</v>
      </c>
      <c r="F3512">
        <v>1010100</v>
      </c>
      <c r="G3512">
        <v>1142.02</v>
      </c>
    </row>
    <row r="3513" spans="5:7" x14ac:dyDescent="0.3">
      <c r="E3513" s="80">
        <v>45672</v>
      </c>
      <c r="F3513">
        <v>1010100</v>
      </c>
      <c r="G3513">
        <v>1142.02</v>
      </c>
    </row>
    <row r="3514" spans="5:7" x14ac:dyDescent="0.3">
      <c r="E3514" s="80">
        <v>45672</v>
      </c>
      <c r="F3514">
        <v>1010100</v>
      </c>
      <c r="G3514">
        <v>1142.02</v>
      </c>
    </row>
    <row r="3515" spans="5:7" x14ac:dyDescent="0.3">
      <c r="E3515" s="80">
        <v>45672</v>
      </c>
      <c r="F3515">
        <v>1010100</v>
      </c>
      <c r="G3515">
        <v>1142.02</v>
      </c>
    </row>
    <row r="3516" spans="5:7" x14ac:dyDescent="0.3">
      <c r="E3516" s="80">
        <v>45672</v>
      </c>
      <c r="F3516">
        <v>1010100</v>
      </c>
      <c r="G3516">
        <v>1142.02</v>
      </c>
    </row>
    <row r="3517" spans="5:7" x14ac:dyDescent="0.3">
      <c r="E3517" s="80">
        <v>45672</v>
      </c>
      <c r="F3517">
        <v>1010100</v>
      </c>
      <c r="G3517">
        <v>1142.02</v>
      </c>
    </row>
    <row r="3518" spans="5:7" x14ac:dyDescent="0.3">
      <c r="E3518" s="80">
        <v>45671</v>
      </c>
      <c r="F3518">
        <v>1010100</v>
      </c>
      <c r="G3518">
        <v>1142.02</v>
      </c>
    </row>
    <row r="3519" spans="5:7" x14ac:dyDescent="0.3">
      <c r="E3519" s="80">
        <v>45671</v>
      </c>
      <c r="F3519">
        <v>1010100</v>
      </c>
      <c r="G3519">
        <v>1142.02</v>
      </c>
    </row>
    <row r="3520" spans="5:7" x14ac:dyDescent="0.3">
      <c r="E3520" s="80">
        <v>45671</v>
      </c>
      <c r="F3520">
        <v>1010100</v>
      </c>
      <c r="G3520">
        <v>1142.02</v>
      </c>
    </row>
    <row r="3521" spans="5:7" x14ac:dyDescent="0.3">
      <c r="E3521" s="80">
        <v>45671</v>
      </c>
      <c r="F3521">
        <v>1010100</v>
      </c>
      <c r="G3521">
        <v>1142.02</v>
      </c>
    </row>
    <row r="3522" spans="5:7" x14ac:dyDescent="0.3">
      <c r="E3522" s="80">
        <v>45671</v>
      </c>
      <c r="F3522">
        <v>1010100</v>
      </c>
      <c r="G3522">
        <v>380.42</v>
      </c>
    </row>
    <row r="3523" spans="5:7" x14ac:dyDescent="0.3">
      <c r="E3523" s="80">
        <v>45671</v>
      </c>
      <c r="F3523">
        <v>1010100</v>
      </c>
      <c r="G3523">
        <v>1142.02</v>
      </c>
    </row>
    <row r="3524" spans="5:7" x14ac:dyDescent="0.3">
      <c r="E3524" s="80">
        <v>45671</v>
      </c>
      <c r="F3524">
        <v>1010100</v>
      </c>
      <c r="G3524">
        <v>1142.02</v>
      </c>
    </row>
    <row r="3525" spans="5:7" x14ac:dyDescent="0.3">
      <c r="E3525" s="80">
        <v>45671</v>
      </c>
      <c r="F3525">
        <v>1010100</v>
      </c>
      <c r="G3525">
        <v>1256.26</v>
      </c>
    </row>
    <row r="3526" spans="5:7" x14ac:dyDescent="0.3">
      <c r="E3526" s="80">
        <v>45671</v>
      </c>
      <c r="F3526">
        <v>1010100</v>
      </c>
      <c r="G3526">
        <v>1256.26</v>
      </c>
    </row>
    <row r="3527" spans="5:7" x14ac:dyDescent="0.3">
      <c r="E3527" s="80">
        <v>45670</v>
      </c>
      <c r="F3527">
        <v>1010100</v>
      </c>
      <c r="G3527">
        <v>1142.02</v>
      </c>
    </row>
    <row r="3528" spans="5:7" x14ac:dyDescent="0.3">
      <c r="E3528" s="80">
        <v>45670</v>
      </c>
      <c r="F3528">
        <v>1010100</v>
      </c>
      <c r="G3528">
        <v>1142.02</v>
      </c>
    </row>
    <row r="3529" spans="5:7" x14ac:dyDescent="0.3">
      <c r="E3529" s="80">
        <v>45670</v>
      </c>
      <c r="F3529">
        <v>1010100</v>
      </c>
      <c r="G3529">
        <v>1142.02</v>
      </c>
    </row>
    <row r="3530" spans="5:7" x14ac:dyDescent="0.3">
      <c r="E3530" s="80">
        <v>45670</v>
      </c>
      <c r="F3530">
        <v>1010100</v>
      </c>
      <c r="G3530">
        <v>1142.02</v>
      </c>
    </row>
    <row r="3531" spans="5:7" x14ac:dyDescent="0.3">
      <c r="E3531" s="80">
        <v>45670</v>
      </c>
      <c r="F3531">
        <v>1010100</v>
      </c>
      <c r="G3531">
        <v>1142.02</v>
      </c>
    </row>
    <row r="3532" spans="5:7" x14ac:dyDescent="0.3">
      <c r="E3532" s="80">
        <v>45670</v>
      </c>
      <c r="F3532">
        <v>1010100</v>
      </c>
      <c r="G3532">
        <v>1027.82</v>
      </c>
    </row>
    <row r="3533" spans="5:7" x14ac:dyDescent="0.3">
      <c r="E3533" s="80">
        <v>45669</v>
      </c>
      <c r="F3533">
        <v>1010100</v>
      </c>
      <c r="G3533">
        <v>1256.26</v>
      </c>
    </row>
    <row r="3534" spans="5:7" x14ac:dyDescent="0.3">
      <c r="E3534" s="80">
        <v>45669</v>
      </c>
      <c r="F3534">
        <v>1010100</v>
      </c>
      <c r="G3534">
        <v>1256.26</v>
      </c>
    </row>
    <row r="3535" spans="5:7" x14ac:dyDescent="0.3">
      <c r="E3535" s="80">
        <v>45669</v>
      </c>
      <c r="F3535">
        <v>1010100</v>
      </c>
      <c r="G3535">
        <v>1256.26</v>
      </c>
    </row>
    <row r="3536" spans="5:7" x14ac:dyDescent="0.3">
      <c r="E3536" s="80">
        <v>45669</v>
      </c>
      <c r="F3536">
        <v>1010100</v>
      </c>
      <c r="G3536">
        <v>1256.26</v>
      </c>
    </row>
    <row r="3537" spans="5:7" x14ac:dyDescent="0.3">
      <c r="E3537" s="80">
        <v>45669</v>
      </c>
      <c r="F3537">
        <v>1010100</v>
      </c>
      <c r="G3537">
        <v>1256.26</v>
      </c>
    </row>
    <row r="3538" spans="5:7" x14ac:dyDescent="0.3">
      <c r="E3538" s="80">
        <v>45669</v>
      </c>
      <c r="F3538">
        <v>1010100</v>
      </c>
      <c r="G3538">
        <v>1256.26</v>
      </c>
    </row>
    <row r="3539" spans="5:7" x14ac:dyDescent="0.3">
      <c r="E3539" s="80">
        <v>45669</v>
      </c>
      <c r="F3539">
        <v>1010100</v>
      </c>
      <c r="G3539">
        <v>1256.26</v>
      </c>
    </row>
    <row r="3540" spans="5:7" x14ac:dyDescent="0.3">
      <c r="E3540" s="80">
        <v>45669</v>
      </c>
      <c r="F3540">
        <v>1010100</v>
      </c>
      <c r="G3540">
        <v>1256.26</v>
      </c>
    </row>
    <row r="3541" spans="5:7" x14ac:dyDescent="0.3">
      <c r="E3541" s="80">
        <v>45668</v>
      </c>
      <c r="F3541">
        <v>1010100</v>
      </c>
      <c r="G3541">
        <v>1142.02</v>
      </c>
    </row>
    <row r="3542" spans="5:7" x14ac:dyDescent="0.3">
      <c r="E3542" s="80">
        <v>45668</v>
      </c>
      <c r="F3542">
        <v>1010100</v>
      </c>
      <c r="G3542">
        <v>1142.02</v>
      </c>
    </row>
    <row r="3543" spans="5:7" x14ac:dyDescent="0.3">
      <c r="E3543" s="80">
        <v>45668</v>
      </c>
      <c r="F3543">
        <v>1010100</v>
      </c>
      <c r="G3543">
        <v>1142.02</v>
      </c>
    </row>
    <row r="3544" spans="5:7" x14ac:dyDescent="0.3">
      <c r="E3544" s="80">
        <v>45668</v>
      </c>
      <c r="F3544">
        <v>1010100</v>
      </c>
      <c r="G3544">
        <v>1142.02</v>
      </c>
    </row>
    <row r="3545" spans="5:7" x14ac:dyDescent="0.3">
      <c r="E3545" s="80">
        <v>45668</v>
      </c>
      <c r="F3545">
        <v>1010100</v>
      </c>
      <c r="G3545">
        <v>1142.02</v>
      </c>
    </row>
    <row r="3546" spans="5:7" x14ac:dyDescent="0.3">
      <c r="E3546" s="80">
        <v>45668</v>
      </c>
      <c r="F3546">
        <v>1010100</v>
      </c>
      <c r="G3546">
        <v>1142.02</v>
      </c>
    </row>
    <row r="3547" spans="5:7" x14ac:dyDescent="0.3">
      <c r="E3547" s="80">
        <v>45668</v>
      </c>
      <c r="F3547">
        <v>1010100</v>
      </c>
      <c r="G3547">
        <v>1142.02</v>
      </c>
    </row>
    <row r="3548" spans="5:7" x14ac:dyDescent="0.3">
      <c r="E3548" s="80">
        <v>45668</v>
      </c>
      <c r="F3548">
        <v>1010100</v>
      </c>
      <c r="G3548">
        <v>1142.02</v>
      </c>
    </row>
    <row r="3549" spans="5:7" x14ac:dyDescent="0.3">
      <c r="E3549" s="80">
        <v>45668</v>
      </c>
      <c r="F3549">
        <v>1010100</v>
      </c>
      <c r="G3549">
        <v>1142.02</v>
      </c>
    </row>
    <row r="3550" spans="5:7" x14ac:dyDescent="0.3">
      <c r="E3550" s="80">
        <v>45668</v>
      </c>
      <c r="F3550">
        <v>1010100</v>
      </c>
      <c r="G3550">
        <v>1142.02</v>
      </c>
    </row>
    <row r="3551" spans="5:7" x14ac:dyDescent="0.3">
      <c r="E3551" s="80">
        <v>45668</v>
      </c>
      <c r="F3551">
        <v>1010100</v>
      </c>
      <c r="G3551">
        <v>1142.02</v>
      </c>
    </row>
    <row r="3552" spans="5:7" x14ac:dyDescent="0.3">
      <c r="E3552" s="80">
        <v>45668</v>
      </c>
      <c r="F3552">
        <v>1010100</v>
      </c>
      <c r="G3552">
        <v>1142.02</v>
      </c>
    </row>
    <row r="3553" spans="5:7" x14ac:dyDescent="0.3">
      <c r="E3553" s="80">
        <v>45668</v>
      </c>
      <c r="F3553">
        <v>1010100</v>
      </c>
      <c r="G3553">
        <v>1142.02</v>
      </c>
    </row>
    <row r="3554" spans="5:7" x14ac:dyDescent="0.3">
      <c r="E3554" s="80">
        <v>45668</v>
      </c>
      <c r="F3554">
        <v>1010100</v>
      </c>
      <c r="G3554">
        <v>1142.02</v>
      </c>
    </row>
    <row r="3555" spans="5:7" x14ac:dyDescent="0.3">
      <c r="E3555" s="80">
        <v>45668</v>
      </c>
      <c r="F3555">
        <v>1010100</v>
      </c>
      <c r="G3555">
        <v>1142.02</v>
      </c>
    </row>
    <row r="3556" spans="5:7" x14ac:dyDescent="0.3">
      <c r="E3556" s="80">
        <v>45667</v>
      </c>
      <c r="F3556">
        <v>1010100</v>
      </c>
      <c r="G3556">
        <v>1142.02</v>
      </c>
    </row>
    <row r="3557" spans="5:7" x14ac:dyDescent="0.3">
      <c r="E3557" s="80">
        <v>45667</v>
      </c>
      <c r="F3557">
        <v>1010100</v>
      </c>
      <c r="G3557">
        <v>1142.02</v>
      </c>
    </row>
    <row r="3558" spans="5:7" x14ac:dyDescent="0.3">
      <c r="E3558" s="80">
        <v>45667</v>
      </c>
      <c r="F3558">
        <v>1010100</v>
      </c>
      <c r="G3558">
        <v>1142.02</v>
      </c>
    </row>
    <row r="3559" spans="5:7" x14ac:dyDescent="0.3">
      <c r="E3559" s="80">
        <v>45667</v>
      </c>
      <c r="F3559">
        <v>1010100</v>
      </c>
      <c r="G3559">
        <v>1142.02</v>
      </c>
    </row>
    <row r="3560" spans="5:7" x14ac:dyDescent="0.3">
      <c r="E3560" s="80">
        <v>45667</v>
      </c>
      <c r="F3560">
        <v>1010100</v>
      </c>
      <c r="G3560">
        <v>1142.02</v>
      </c>
    </row>
    <row r="3561" spans="5:7" x14ac:dyDescent="0.3">
      <c r="E3561" s="80">
        <v>45667</v>
      </c>
      <c r="F3561">
        <v>1010100</v>
      </c>
      <c r="G3561">
        <v>1142.02</v>
      </c>
    </row>
    <row r="3562" spans="5:7" x14ac:dyDescent="0.3">
      <c r="E3562" s="80">
        <v>45667</v>
      </c>
      <c r="F3562">
        <v>1010100</v>
      </c>
      <c r="G3562">
        <v>1142.02</v>
      </c>
    </row>
    <row r="3563" spans="5:7" x14ac:dyDescent="0.3">
      <c r="E3563" s="80">
        <v>45667</v>
      </c>
      <c r="F3563">
        <v>1010100</v>
      </c>
      <c r="G3563">
        <v>1142.02</v>
      </c>
    </row>
    <row r="3564" spans="5:7" x14ac:dyDescent="0.3">
      <c r="E3564" s="80">
        <v>45667</v>
      </c>
      <c r="F3564">
        <v>1010100</v>
      </c>
      <c r="G3564">
        <v>1142.02</v>
      </c>
    </row>
    <row r="3565" spans="5:7" x14ac:dyDescent="0.3">
      <c r="E3565" s="80">
        <v>45667</v>
      </c>
      <c r="F3565">
        <v>1010100</v>
      </c>
      <c r="G3565">
        <v>1142.02</v>
      </c>
    </row>
    <row r="3566" spans="5:7" x14ac:dyDescent="0.3">
      <c r="E3566" s="80">
        <v>45667</v>
      </c>
      <c r="F3566">
        <v>1010100</v>
      </c>
      <c r="G3566">
        <v>1142.02</v>
      </c>
    </row>
    <row r="3567" spans="5:7" x14ac:dyDescent="0.3">
      <c r="E3567" s="80">
        <v>45667</v>
      </c>
      <c r="F3567">
        <v>1010100</v>
      </c>
      <c r="G3567">
        <v>1142.02</v>
      </c>
    </row>
    <row r="3568" spans="5:7" x14ac:dyDescent="0.3">
      <c r="E3568" s="80">
        <v>45667</v>
      </c>
      <c r="F3568">
        <v>1010100</v>
      </c>
      <c r="G3568">
        <v>1142.02</v>
      </c>
    </row>
    <row r="3569" spans="5:7" x14ac:dyDescent="0.3">
      <c r="E3569" s="80">
        <v>45667</v>
      </c>
      <c r="F3569">
        <v>1010100</v>
      </c>
      <c r="G3569">
        <v>1142.02</v>
      </c>
    </row>
    <row r="3570" spans="5:7" x14ac:dyDescent="0.3">
      <c r="E3570" s="80">
        <v>45667</v>
      </c>
      <c r="F3570">
        <v>1010100</v>
      </c>
      <c r="G3570">
        <v>1142.02</v>
      </c>
    </row>
    <row r="3571" spans="5:7" x14ac:dyDescent="0.3">
      <c r="E3571" s="80">
        <v>45666</v>
      </c>
      <c r="F3571">
        <v>1010100</v>
      </c>
      <c r="G3571">
        <v>1142.02</v>
      </c>
    </row>
    <row r="3572" spans="5:7" x14ac:dyDescent="0.3">
      <c r="E3572" s="80">
        <v>45666</v>
      </c>
      <c r="F3572">
        <v>1010100</v>
      </c>
      <c r="G3572">
        <v>1142.02</v>
      </c>
    </row>
    <row r="3573" spans="5:7" x14ac:dyDescent="0.3">
      <c r="E3573" s="80">
        <v>45666</v>
      </c>
      <c r="F3573">
        <v>1010100</v>
      </c>
      <c r="G3573">
        <v>1142.02</v>
      </c>
    </row>
    <row r="3574" spans="5:7" x14ac:dyDescent="0.3">
      <c r="E3574" s="80">
        <v>45666</v>
      </c>
      <c r="F3574">
        <v>1010100</v>
      </c>
      <c r="G3574">
        <v>1142.02</v>
      </c>
    </row>
    <row r="3575" spans="5:7" x14ac:dyDescent="0.3">
      <c r="E3575" s="80">
        <v>45666</v>
      </c>
      <c r="F3575">
        <v>1010100</v>
      </c>
      <c r="G3575">
        <v>1142.02</v>
      </c>
    </row>
    <row r="3576" spans="5:7" x14ac:dyDescent="0.3">
      <c r="E3576" s="80">
        <v>45666</v>
      </c>
      <c r="F3576">
        <v>1010100</v>
      </c>
      <c r="G3576">
        <v>1142.02</v>
      </c>
    </row>
    <row r="3577" spans="5:7" x14ac:dyDescent="0.3">
      <c r="E3577" s="80">
        <v>45666</v>
      </c>
      <c r="F3577">
        <v>1010100</v>
      </c>
      <c r="G3577">
        <v>1142.02</v>
      </c>
    </row>
    <row r="3578" spans="5:7" x14ac:dyDescent="0.3">
      <c r="E3578" s="80">
        <v>45666</v>
      </c>
      <c r="F3578">
        <v>1010100</v>
      </c>
      <c r="G3578">
        <v>1142.02</v>
      </c>
    </row>
    <row r="3579" spans="5:7" x14ac:dyDescent="0.3">
      <c r="E3579" s="80">
        <v>45666</v>
      </c>
      <c r="F3579">
        <v>1010100</v>
      </c>
      <c r="G3579">
        <v>1142.02</v>
      </c>
    </row>
    <row r="3580" spans="5:7" x14ac:dyDescent="0.3">
      <c r="E3580" s="80">
        <v>45666</v>
      </c>
      <c r="F3580">
        <v>1010100</v>
      </c>
      <c r="G3580">
        <v>1142.02</v>
      </c>
    </row>
    <row r="3581" spans="5:7" x14ac:dyDescent="0.3">
      <c r="E3581" s="80">
        <v>45666</v>
      </c>
      <c r="F3581">
        <v>1010100</v>
      </c>
      <c r="G3581">
        <v>1142.02</v>
      </c>
    </row>
    <row r="3582" spans="5:7" x14ac:dyDescent="0.3">
      <c r="E3582" s="80">
        <v>45666</v>
      </c>
      <c r="F3582">
        <v>1010100</v>
      </c>
      <c r="G3582">
        <v>1142.02</v>
      </c>
    </row>
    <row r="3583" spans="5:7" x14ac:dyDescent="0.3">
      <c r="E3583" s="80">
        <v>45666</v>
      </c>
      <c r="F3583">
        <v>1010100</v>
      </c>
      <c r="G3583">
        <v>1142.02</v>
      </c>
    </row>
    <row r="3584" spans="5:7" x14ac:dyDescent="0.3">
      <c r="E3584" s="80">
        <v>45666</v>
      </c>
      <c r="F3584">
        <v>1010100</v>
      </c>
      <c r="G3584">
        <v>1142.02</v>
      </c>
    </row>
    <row r="3585" spans="5:7" x14ac:dyDescent="0.3">
      <c r="E3585" s="80">
        <v>45666</v>
      </c>
      <c r="F3585">
        <v>1010100</v>
      </c>
      <c r="G3585">
        <v>1142.02</v>
      </c>
    </row>
    <row r="3586" spans="5:7" x14ac:dyDescent="0.3">
      <c r="E3586" s="80">
        <v>45666</v>
      </c>
      <c r="F3586">
        <v>1010100</v>
      </c>
      <c r="G3586">
        <v>1142.02</v>
      </c>
    </row>
    <row r="3587" spans="5:7" x14ac:dyDescent="0.3">
      <c r="E3587" s="80">
        <v>45666</v>
      </c>
      <c r="F3587">
        <v>1010100</v>
      </c>
      <c r="G3587">
        <v>1142.02</v>
      </c>
    </row>
    <row r="3588" spans="5:7" x14ac:dyDescent="0.3">
      <c r="E3588" s="80">
        <v>45666</v>
      </c>
      <c r="F3588">
        <v>1010100</v>
      </c>
      <c r="G3588">
        <v>1142.02</v>
      </c>
    </row>
    <row r="3589" spans="5:7" x14ac:dyDescent="0.3">
      <c r="E3589" s="80">
        <v>45665</v>
      </c>
      <c r="F3589">
        <v>1010100</v>
      </c>
      <c r="G3589">
        <v>1142.02</v>
      </c>
    </row>
    <row r="3590" spans="5:7" x14ac:dyDescent="0.3">
      <c r="E3590" s="80">
        <v>45665</v>
      </c>
      <c r="F3590">
        <v>1010100</v>
      </c>
      <c r="G3590">
        <v>1142.02</v>
      </c>
    </row>
    <row r="3591" spans="5:7" x14ac:dyDescent="0.3">
      <c r="E3591" s="80">
        <v>45665</v>
      </c>
      <c r="F3591">
        <v>1010100</v>
      </c>
      <c r="G3591">
        <v>1142.02</v>
      </c>
    </row>
    <row r="3592" spans="5:7" x14ac:dyDescent="0.3">
      <c r="E3592" s="80">
        <v>45665</v>
      </c>
      <c r="F3592">
        <v>1010100</v>
      </c>
      <c r="G3592">
        <v>1142.02</v>
      </c>
    </row>
    <row r="3593" spans="5:7" x14ac:dyDescent="0.3">
      <c r="E3593" s="80">
        <v>45665</v>
      </c>
      <c r="F3593">
        <v>1010100</v>
      </c>
      <c r="G3593">
        <v>1142.02</v>
      </c>
    </row>
    <row r="3594" spans="5:7" x14ac:dyDescent="0.3">
      <c r="E3594" s="80">
        <v>45665</v>
      </c>
      <c r="F3594">
        <v>1010100</v>
      </c>
      <c r="G3594">
        <v>1142.02</v>
      </c>
    </row>
    <row r="3595" spans="5:7" x14ac:dyDescent="0.3">
      <c r="E3595" s="80">
        <v>45665</v>
      </c>
      <c r="F3595">
        <v>1010100</v>
      </c>
      <c r="G3595">
        <v>1142.02</v>
      </c>
    </row>
    <row r="3596" spans="5:7" x14ac:dyDescent="0.3">
      <c r="E3596" s="80">
        <v>45665</v>
      </c>
      <c r="F3596">
        <v>1010100</v>
      </c>
      <c r="G3596">
        <v>1142.02</v>
      </c>
    </row>
    <row r="3597" spans="5:7" x14ac:dyDescent="0.3">
      <c r="E3597" s="80">
        <v>45665</v>
      </c>
      <c r="F3597">
        <v>1010100</v>
      </c>
      <c r="G3597">
        <v>1142.02</v>
      </c>
    </row>
    <row r="3598" spans="5:7" x14ac:dyDescent="0.3">
      <c r="E3598" s="80">
        <v>45665</v>
      </c>
      <c r="F3598">
        <v>1010100</v>
      </c>
      <c r="G3598">
        <v>1142.02</v>
      </c>
    </row>
    <row r="3599" spans="5:7" x14ac:dyDescent="0.3">
      <c r="E3599" s="80">
        <v>45665</v>
      </c>
      <c r="F3599">
        <v>1010100</v>
      </c>
      <c r="G3599">
        <v>1142.02</v>
      </c>
    </row>
    <row r="3600" spans="5:7" x14ac:dyDescent="0.3">
      <c r="E3600" s="80">
        <v>45665</v>
      </c>
      <c r="F3600">
        <v>1010100</v>
      </c>
      <c r="G3600">
        <v>1142.02</v>
      </c>
    </row>
    <row r="3601" spans="5:7" x14ac:dyDescent="0.3">
      <c r="E3601" s="80">
        <v>45665</v>
      </c>
      <c r="F3601">
        <v>1010100</v>
      </c>
      <c r="G3601">
        <v>1142.02</v>
      </c>
    </row>
    <row r="3602" spans="5:7" x14ac:dyDescent="0.3">
      <c r="E3602" s="80">
        <v>45665</v>
      </c>
      <c r="F3602">
        <v>1010100</v>
      </c>
      <c r="G3602">
        <v>1142.02</v>
      </c>
    </row>
    <row r="3603" spans="5:7" x14ac:dyDescent="0.3">
      <c r="E3603" s="80">
        <v>45665</v>
      </c>
      <c r="F3603">
        <v>1010100</v>
      </c>
      <c r="G3603">
        <v>1142.02</v>
      </c>
    </row>
    <row r="3604" spans="5:7" x14ac:dyDescent="0.3">
      <c r="E3604" s="80">
        <v>45665</v>
      </c>
      <c r="F3604">
        <v>1010100</v>
      </c>
      <c r="G3604">
        <v>1142.02</v>
      </c>
    </row>
    <row r="3605" spans="5:7" x14ac:dyDescent="0.3">
      <c r="E3605" s="80">
        <v>45665</v>
      </c>
      <c r="F3605">
        <v>1010100</v>
      </c>
      <c r="G3605">
        <v>1142.02</v>
      </c>
    </row>
    <row r="3606" spans="5:7" x14ac:dyDescent="0.3">
      <c r="E3606" s="80">
        <v>45665</v>
      </c>
      <c r="F3606">
        <v>1010100</v>
      </c>
      <c r="G3606">
        <v>1142.02</v>
      </c>
    </row>
    <row r="3607" spans="5:7" x14ac:dyDescent="0.3">
      <c r="E3607" s="80">
        <v>45665</v>
      </c>
      <c r="F3607">
        <v>1010100</v>
      </c>
      <c r="G3607">
        <v>1142.02</v>
      </c>
    </row>
    <row r="3608" spans="5:7" x14ac:dyDescent="0.3">
      <c r="E3608" s="80">
        <v>45665</v>
      </c>
      <c r="F3608">
        <v>1010100</v>
      </c>
      <c r="G3608">
        <v>1142.02</v>
      </c>
    </row>
    <row r="3609" spans="5:7" x14ac:dyDescent="0.3">
      <c r="E3609" s="80">
        <v>45665</v>
      </c>
      <c r="F3609">
        <v>1010100</v>
      </c>
      <c r="G3609">
        <v>1142.02</v>
      </c>
    </row>
    <row r="3610" spans="5:7" x14ac:dyDescent="0.3">
      <c r="E3610" s="80">
        <v>45665</v>
      </c>
      <c r="F3610">
        <v>1010100</v>
      </c>
      <c r="G3610">
        <v>1142.02</v>
      </c>
    </row>
    <row r="3611" spans="5:7" x14ac:dyDescent="0.3">
      <c r="E3611" s="80">
        <v>45665</v>
      </c>
      <c r="F3611">
        <v>1010100</v>
      </c>
      <c r="G3611">
        <v>1142.02</v>
      </c>
    </row>
    <row r="3612" spans="5:7" x14ac:dyDescent="0.3">
      <c r="E3612" s="80">
        <v>45665</v>
      </c>
      <c r="F3612">
        <v>1010100</v>
      </c>
      <c r="G3612">
        <v>1142.02</v>
      </c>
    </row>
    <row r="3613" spans="5:7" x14ac:dyDescent="0.3">
      <c r="E3613" s="80">
        <v>45664</v>
      </c>
      <c r="F3613">
        <v>1010100</v>
      </c>
      <c r="G3613">
        <v>1142.02</v>
      </c>
    </row>
    <row r="3614" spans="5:7" x14ac:dyDescent="0.3">
      <c r="E3614" s="80">
        <v>45664</v>
      </c>
      <c r="F3614">
        <v>1010100</v>
      </c>
      <c r="G3614">
        <v>1142.02</v>
      </c>
    </row>
    <row r="3615" spans="5:7" x14ac:dyDescent="0.3">
      <c r="E3615" s="80">
        <v>45664</v>
      </c>
      <c r="F3615">
        <v>1010100</v>
      </c>
      <c r="G3615">
        <v>1142.02</v>
      </c>
    </row>
    <row r="3616" spans="5:7" x14ac:dyDescent="0.3">
      <c r="E3616" s="80">
        <v>45664</v>
      </c>
      <c r="F3616">
        <v>1010100</v>
      </c>
      <c r="G3616">
        <v>1142.02</v>
      </c>
    </row>
    <row r="3617" spans="5:7" x14ac:dyDescent="0.3">
      <c r="E3617" s="80">
        <v>45664</v>
      </c>
      <c r="F3617">
        <v>1010100</v>
      </c>
      <c r="G3617">
        <v>1142.02</v>
      </c>
    </row>
    <row r="3618" spans="5:7" x14ac:dyDescent="0.3">
      <c r="E3618" s="80">
        <v>45664</v>
      </c>
      <c r="F3618">
        <v>1010100</v>
      </c>
      <c r="G3618">
        <v>1142.02</v>
      </c>
    </row>
    <row r="3619" spans="5:7" x14ac:dyDescent="0.3">
      <c r="E3619" s="80">
        <v>45664</v>
      </c>
      <c r="F3619">
        <v>1010100</v>
      </c>
      <c r="G3619">
        <v>1142.02</v>
      </c>
    </row>
    <row r="3620" spans="5:7" x14ac:dyDescent="0.3">
      <c r="E3620" s="80">
        <v>45664</v>
      </c>
      <c r="F3620">
        <v>1010100</v>
      </c>
      <c r="G3620">
        <v>2284.04</v>
      </c>
    </row>
    <row r="3621" spans="5:7" x14ac:dyDescent="0.3">
      <c r="E3621" s="80">
        <v>45664</v>
      </c>
      <c r="F3621">
        <v>1010100</v>
      </c>
      <c r="G3621">
        <v>2284.04</v>
      </c>
    </row>
    <row r="3622" spans="5:7" x14ac:dyDescent="0.3">
      <c r="E3622" s="80">
        <v>45664</v>
      </c>
      <c r="F3622">
        <v>1010100</v>
      </c>
      <c r="G3622">
        <v>1142.02</v>
      </c>
    </row>
    <row r="3623" spans="5:7" x14ac:dyDescent="0.3">
      <c r="E3623" s="80">
        <v>45664</v>
      </c>
      <c r="F3623">
        <v>1010100</v>
      </c>
      <c r="G3623">
        <v>1142.02</v>
      </c>
    </row>
    <row r="3624" spans="5:7" x14ac:dyDescent="0.3">
      <c r="E3624" s="80">
        <v>45664</v>
      </c>
      <c r="F3624">
        <v>1010100</v>
      </c>
      <c r="G3624">
        <v>1142.02</v>
      </c>
    </row>
    <row r="3625" spans="5:7" x14ac:dyDescent="0.3">
      <c r="E3625" s="80">
        <v>45664</v>
      </c>
      <c r="F3625">
        <v>1010100</v>
      </c>
      <c r="G3625">
        <v>1142.02</v>
      </c>
    </row>
    <row r="3626" spans="5:7" x14ac:dyDescent="0.3">
      <c r="E3626" s="80">
        <v>45664</v>
      </c>
      <c r="F3626">
        <v>1010100</v>
      </c>
      <c r="G3626">
        <v>1142.02</v>
      </c>
    </row>
    <row r="3627" spans="5:7" x14ac:dyDescent="0.3">
      <c r="E3627" s="80">
        <v>45664</v>
      </c>
      <c r="F3627">
        <v>1010100</v>
      </c>
      <c r="G3627">
        <v>1142.02</v>
      </c>
    </row>
    <row r="3628" spans="5:7" x14ac:dyDescent="0.3">
      <c r="E3628" s="80">
        <v>45664</v>
      </c>
      <c r="F3628">
        <v>1010100</v>
      </c>
      <c r="G3628">
        <v>1142.02</v>
      </c>
    </row>
    <row r="3629" spans="5:7" x14ac:dyDescent="0.3">
      <c r="E3629" s="80">
        <v>45664</v>
      </c>
      <c r="F3629">
        <v>1010100</v>
      </c>
      <c r="G3629">
        <v>1142.02</v>
      </c>
    </row>
    <row r="3630" spans="5:7" x14ac:dyDescent="0.3">
      <c r="E3630" s="80">
        <v>45663</v>
      </c>
      <c r="F3630">
        <v>1010100</v>
      </c>
      <c r="G3630">
        <v>1142.02</v>
      </c>
    </row>
    <row r="3631" spans="5:7" x14ac:dyDescent="0.3">
      <c r="E3631" s="80">
        <v>45663</v>
      </c>
      <c r="F3631">
        <v>1010100</v>
      </c>
      <c r="G3631">
        <v>1142.02</v>
      </c>
    </row>
    <row r="3632" spans="5:7" x14ac:dyDescent="0.3">
      <c r="E3632" s="80">
        <v>45663</v>
      </c>
      <c r="F3632">
        <v>1010100</v>
      </c>
      <c r="G3632">
        <v>1142.02</v>
      </c>
    </row>
    <row r="3633" spans="5:7" x14ac:dyDescent="0.3">
      <c r="E3633" s="80">
        <v>45663</v>
      </c>
      <c r="F3633">
        <v>1010100</v>
      </c>
      <c r="G3633">
        <v>1142.02</v>
      </c>
    </row>
    <row r="3634" spans="5:7" x14ac:dyDescent="0.3">
      <c r="E3634" s="80">
        <v>45663</v>
      </c>
      <c r="F3634">
        <v>1010100</v>
      </c>
      <c r="G3634">
        <v>1027.82</v>
      </c>
    </row>
    <row r="3635" spans="5:7" x14ac:dyDescent="0.3">
      <c r="E3635" s="80">
        <v>45663</v>
      </c>
      <c r="F3635">
        <v>1010100</v>
      </c>
      <c r="G3635">
        <v>1142.02</v>
      </c>
    </row>
    <row r="3636" spans="5:7" x14ac:dyDescent="0.3">
      <c r="E3636" s="80">
        <v>45663</v>
      </c>
      <c r="F3636">
        <v>1010100</v>
      </c>
      <c r="G3636">
        <v>1142.02</v>
      </c>
    </row>
    <row r="3637" spans="5:7" x14ac:dyDescent="0.3">
      <c r="E3637" s="80">
        <v>45663</v>
      </c>
      <c r="F3637">
        <v>1010100</v>
      </c>
      <c r="G3637">
        <v>1142.02</v>
      </c>
    </row>
    <row r="3638" spans="5:7" x14ac:dyDescent="0.3">
      <c r="E3638" s="80">
        <v>45663</v>
      </c>
      <c r="F3638">
        <v>1010100</v>
      </c>
      <c r="G3638">
        <v>1142.02</v>
      </c>
    </row>
    <row r="3639" spans="5:7" x14ac:dyDescent="0.3">
      <c r="E3639" s="80">
        <v>45663</v>
      </c>
      <c r="F3639">
        <v>1010100</v>
      </c>
      <c r="G3639">
        <v>1142.02</v>
      </c>
    </row>
    <row r="3640" spans="5:7" x14ac:dyDescent="0.3">
      <c r="E3640" s="80">
        <v>45663</v>
      </c>
      <c r="F3640">
        <v>1010100</v>
      </c>
      <c r="G3640">
        <v>1142.02</v>
      </c>
    </row>
    <row r="3641" spans="5:7" x14ac:dyDescent="0.3">
      <c r="E3641" s="80">
        <v>45663</v>
      </c>
      <c r="F3641">
        <v>1010100</v>
      </c>
      <c r="G3641">
        <v>1142.02</v>
      </c>
    </row>
    <row r="3642" spans="5:7" x14ac:dyDescent="0.3">
      <c r="E3642" s="80">
        <v>45663</v>
      </c>
      <c r="F3642">
        <v>1010100</v>
      </c>
      <c r="G3642">
        <v>1142.02</v>
      </c>
    </row>
    <row r="3643" spans="5:7" x14ac:dyDescent="0.3">
      <c r="E3643" s="80">
        <v>45663</v>
      </c>
      <c r="F3643">
        <v>1010100</v>
      </c>
      <c r="G3643">
        <v>38.08</v>
      </c>
    </row>
    <row r="3644" spans="5:7" x14ac:dyDescent="0.3">
      <c r="E3644" s="80">
        <v>45663</v>
      </c>
      <c r="F3644">
        <v>1010100</v>
      </c>
      <c r="G3644">
        <v>1027.82</v>
      </c>
    </row>
    <row r="3645" spans="5:7" x14ac:dyDescent="0.3">
      <c r="E3645" s="80">
        <v>45663</v>
      </c>
      <c r="F3645">
        <v>1010100</v>
      </c>
      <c r="G3645">
        <v>1142.02</v>
      </c>
    </row>
    <row r="3646" spans="5:7" x14ac:dyDescent="0.3">
      <c r="E3646" s="80">
        <v>45663</v>
      </c>
      <c r="F3646">
        <v>1010100</v>
      </c>
      <c r="G3646">
        <v>1142.02</v>
      </c>
    </row>
    <row r="3647" spans="5:7" x14ac:dyDescent="0.3">
      <c r="E3647" s="80">
        <v>45663</v>
      </c>
      <c r="F3647">
        <v>1010100</v>
      </c>
      <c r="G3647">
        <v>1142.02</v>
      </c>
    </row>
    <row r="3648" spans="5:7" x14ac:dyDescent="0.3">
      <c r="E3648" s="80">
        <v>45663</v>
      </c>
      <c r="F3648">
        <v>1010100</v>
      </c>
      <c r="G3648">
        <v>1142.02</v>
      </c>
    </row>
    <row r="3649" spans="5:7" x14ac:dyDescent="0.3">
      <c r="E3649" s="80">
        <v>45663</v>
      </c>
      <c r="F3649">
        <v>1010100</v>
      </c>
      <c r="G3649">
        <v>1142.02</v>
      </c>
    </row>
    <row r="3650" spans="5:7" x14ac:dyDescent="0.3">
      <c r="E3650" s="80">
        <v>45663</v>
      </c>
      <c r="F3650">
        <v>1010100</v>
      </c>
      <c r="G3650">
        <v>380.42</v>
      </c>
    </row>
    <row r="3651" spans="5:7" x14ac:dyDescent="0.3">
      <c r="E3651" s="80">
        <v>45663</v>
      </c>
      <c r="F3651">
        <v>1010100</v>
      </c>
      <c r="G3651">
        <v>1142.02</v>
      </c>
    </row>
    <row r="3652" spans="5:7" x14ac:dyDescent="0.3">
      <c r="E3652" s="80">
        <v>45663</v>
      </c>
      <c r="F3652">
        <v>1010100</v>
      </c>
      <c r="G3652">
        <v>1142.02</v>
      </c>
    </row>
    <row r="3653" spans="5:7" x14ac:dyDescent="0.3">
      <c r="E3653" s="80">
        <v>45663</v>
      </c>
      <c r="F3653">
        <v>1010100</v>
      </c>
      <c r="G3653">
        <v>1142.02</v>
      </c>
    </row>
    <row r="3654" spans="5:7" x14ac:dyDescent="0.3">
      <c r="E3654" s="80">
        <v>45663</v>
      </c>
      <c r="F3654">
        <v>1010100</v>
      </c>
      <c r="G3654">
        <v>1142.02</v>
      </c>
    </row>
    <row r="3655" spans="5:7" x14ac:dyDescent="0.3">
      <c r="E3655" s="80">
        <v>45662</v>
      </c>
      <c r="F3655">
        <v>1010100</v>
      </c>
      <c r="G3655">
        <v>1142.02</v>
      </c>
    </row>
    <row r="3656" spans="5:7" x14ac:dyDescent="0.3">
      <c r="E3656" s="80">
        <v>45662</v>
      </c>
      <c r="F3656">
        <v>1010100</v>
      </c>
      <c r="G3656">
        <v>1142.02</v>
      </c>
    </row>
    <row r="3657" spans="5:7" x14ac:dyDescent="0.3">
      <c r="E3657" s="80">
        <v>45662</v>
      </c>
      <c r="F3657">
        <v>1010100</v>
      </c>
      <c r="G3657">
        <v>1142.02</v>
      </c>
    </row>
    <row r="3658" spans="5:7" x14ac:dyDescent="0.3">
      <c r="E3658" s="80">
        <v>45662</v>
      </c>
      <c r="F3658">
        <v>1010100</v>
      </c>
      <c r="G3658">
        <v>1142.02</v>
      </c>
    </row>
    <row r="3659" spans="5:7" x14ac:dyDescent="0.3">
      <c r="E3659" s="80">
        <v>45662</v>
      </c>
      <c r="F3659">
        <v>1010100</v>
      </c>
      <c r="G3659">
        <v>1142.02</v>
      </c>
    </row>
    <row r="3660" spans="5:7" x14ac:dyDescent="0.3">
      <c r="E3660" s="80">
        <v>45662</v>
      </c>
      <c r="F3660">
        <v>1010100</v>
      </c>
      <c r="G3660">
        <v>1142.02</v>
      </c>
    </row>
    <row r="3661" spans="5:7" x14ac:dyDescent="0.3">
      <c r="E3661" s="80">
        <v>45662</v>
      </c>
      <c r="F3661">
        <v>1010100</v>
      </c>
      <c r="G3661">
        <v>1027.82</v>
      </c>
    </row>
    <row r="3662" spans="5:7" x14ac:dyDescent="0.3">
      <c r="E3662" s="80">
        <v>45662</v>
      </c>
      <c r="F3662">
        <v>1010100</v>
      </c>
      <c r="G3662">
        <v>1142.02</v>
      </c>
    </row>
    <row r="3663" spans="5:7" x14ac:dyDescent="0.3">
      <c r="E3663" s="80">
        <v>45662</v>
      </c>
      <c r="F3663">
        <v>1010100</v>
      </c>
      <c r="G3663">
        <v>1142.02</v>
      </c>
    </row>
    <row r="3664" spans="5:7" x14ac:dyDescent="0.3">
      <c r="E3664" s="80">
        <v>45662</v>
      </c>
      <c r="F3664">
        <v>1010100</v>
      </c>
      <c r="G3664">
        <v>1142.02</v>
      </c>
    </row>
    <row r="3665" spans="5:7" x14ac:dyDescent="0.3">
      <c r="E3665" s="80">
        <v>45662</v>
      </c>
      <c r="F3665">
        <v>1010100</v>
      </c>
      <c r="G3665">
        <v>1142.02</v>
      </c>
    </row>
    <row r="3666" spans="5:7" x14ac:dyDescent="0.3">
      <c r="E3666" s="80">
        <v>45662</v>
      </c>
      <c r="F3666">
        <v>1010100</v>
      </c>
      <c r="G3666">
        <v>1142.02</v>
      </c>
    </row>
    <row r="3667" spans="5:7" x14ac:dyDescent="0.3">
      <c r="E3667" s="80">
        <v>45662</v>
      </c>
      <c r="F3667">
        <v>1010100</v>
      </c>
      <c r="G3667">
        <v>1142.02</v>
      </c>
    </row>
    <row r="3668" spans="5:7" x14ac:dyDescent="0.3">
      <c r="E3668" s="80">
        <v>45662</v>
      </c>
      <c r="F3668">
        <v>1010100</v>
      </c>
      <c r="G3668">
        <v>380.42</v>
      </c>
    </row>
    <row r="3669" spans="5:7" x14ac:dyDescent="0.3">
      <c r="E3669" s="80">
        <v>45662</v>
      </c>
      <c r="F3669">
        <v>1010100</v>
      </c>
      <c r="G3669">
        <v>1142.02</v>
      </c>
    </row>
    <row r="3670" spans="5:7" x14ac:dyDescent="0.3">
      <c r="E3670" s="80">
        <v>45662</v>
      </c>
      <c r="F3670">
        <v>1010100</v>
      </c>
      <c r="G3670">
        <v>1142.02</v>
      </c>
    </row>
    <row r="3671" spans="5:7" x14ac:dyDescent="0.3">
      <c r="E3671" s="80">
        <v>45662</v>
      </c>
      <c r="F3671">
        <v>1010100</v>
      </c>
      <c r="G3671">
        <v>2284.04</v>
      </c>
    </row>
    <row r="3672" spans="5:7" x14ac:dyDescent="0.3">
      <c r="E3672" s="80">
        <v>45662</v>
      </c>
      <c r="F3672">
        <v>1010100</v>
      </c>
      <c r="G3672">
        <v>1142.02</v>
      </c>
    </row>
    <row r="3673" spans="5:7" x14ac:dyDescent="0.3">
      <c r="E3673" s="80">
        <v>45662</v>
      </c>
      <c r="F3673">
        <v>1010100</v>
      </c>
      <c r="G3673">
        <v>1142.02</v>
      </c>
    </row>
    <row r="3674" spans="5:7" x14ac:dyDescent="0.3">
      <c r="E3674" s="80">
        <v>45662</v>
      </c>
      <c r="F3674">
        <v>1010100</v>
      </c>
      <c r="G3674">
        <v>1142.02</v>
      </c>
    </row>
    <row r="3675" spans="5:7" x14ac:dyDescent="0.3">
      <c r="E3675" s="80">
        <v>45662</v>
      </c>
      <c r="F3675">
        <v>1010100</v>
      </c>
      <c r="G3675">
        <v>1142.02</v>
      </c>
    </row>
    <row r="3676" spans="5:7" x14ac:dyDescent="0.3">
      <c r="E3676" s="80">
        <v>45662</v>
      </c>
      <c r="F3676">
        <v>1010100</v>
      </c>
      <c r="G3676">
        <v>1142.02</v>
      </c>
    </row>
    <row r="3677" spans="5:7" x14ac:dyDescent="0.3">
      <c r="E3677" s="80">
        <v>45662</v>
      </c>
      <c r="F3677">
        <v>1010100</v>
      </c>
      <c r="G3677">
        <v>1142.02</v>
      </c>
    </row>
    <row r="3678" spans="5:7" x14ac:dyDescent="0.3">
      <c r="E3678" s="80">
        <v>45662</v>
      </c>
      <c r="F3678">
        <v>1010100</v>
      </c>
      <c r="G3678">
        <v>1142.02</v>
      </c>
    </row>
    <row r="3679" spans="5:7" x14ac:dyDescent="0.3">
      <c r="E3679" s="80">
        <v>45661</v>
      </c>
      <c r="F3679">
        <v>1010100</v>
      </c>
      <c r="G3679">
        <v>1142.02</v>
      </c>
    </row>
    <row r="3680" spans="5:7" x14ac:dyDescent="0.3">
      <c r="E3680" s="80">
        <v>45661</v>
      </c>
      <c r="F3680">
        <v>1010100</v>
      </c>
      <c r="G3680">
        <v>1142.02</v>
      </c>
    </row>
    <row r="3681" spans="5:7" x14ac:dyDescent="0.3">
      <c r="E3681" s="80">
        <v>45661</v>
      </c>
      <c r="F3681">
        <v>1010100</v>
      </c>
      <c r="G3681">
        <v>1142.02</v>
      </c>
    </row>
    <row r="3682" spans="5:7" x14ac:dyDescent="0.3">
      <c r="E3682" s="80">
        <v>45661</v>
      </c>
      <c r="F3682">
        <v>1010100</v>
      </c>
      <c r="G3682">
        <v>1142.02</v>
      </c>
    </row>
    <row r="3683" spans="5:7" x14ac:dyDescent="0.3">
      <c r="E3683" s="80">
        <v>45661</v>
      </c>
      <c r="F3683">
        <v>1010100</v>
      </c>
      <c r="G3683">
        <v>1142.02</v>
      </c>
    </row>
    <row r="3684" spans="5:7" x14ac:dyDescent="0.3">
      <c r="E3684" s="80">
        <v>45661</v>
      </c>
      <c r="F3684">
        <v>1010100</v>
      </c>
      <c r="G3684">
        <v>1142.02</v>
      </c>
    </row>
    <row r="3685" spans="5:7" x14ac:dyDescent="0.3">
      <c r="E3685" s="80">
        <v>45661</v>
      </c>
      <c r="F3685">
        <v>1010100</v>
      </c>
      <c r="G3685">
        <v>1142.02</v>
      </c>
    </row>
    <row r="3686" spans="5:7" x14ac:dyDescent="0.3">
      <c r="E3686" s="80">
        <v>45661</v>
      </c>
      <c r="F3686">
        <v>1010100</v>
      </c>
      <c r="G3686">
        <v>1142.02</v>
      </c>
    </row>
    <row r="3687" spans="5:7" x14ac:dyDescent="0.3">
      <c r="E3687" s="80">
        <v>45661</v>
      </c>
      <c r="F3687">
        <v>1010100</v>
      </c>
      <c r="G3687">
        <v>1142.02</v>
      </c>
    </row>
    <row r="3688" spans="5:7" x14ac:dyDescent="0.3">
      <c r="E3688" s="80">
        <v>45661</v>
      </c>
      <c r="F3688">
        <v>1010100</v>
      </c>
      <c r="G3688">
        <v>380.42</v>
      </c>
    </row>
    <row r="3689" spans="5:7" x14ac:dyDescent="0.3">
      <c r="E3689" s="80">
        <v>45661</v>
      </c>
      <c r="F3689">
        <v>1010100</v>
      </c>
      <c r="G3689">
        <v>1142.02</v>
      </c>
    </row>
    <row r="3690" spans="5:7" x14ac:dyDescent="0.3">
      <c r="E3690" s="80">
        <v>45661</v>
      </c>
      <c r="F3690">
        <v>1010100</v>
      </c>
      <c r="G3690">
        <v>1142.02</v>
      </c>
    </row>
    <row r="3691" spans="5:7" x14ac:dyDescent="0.3">
      <c r="E3691" s="80">
        <v>45661</v>
      </c>
      <c r="F3691">
        <v>1010100</v>
      </c>
      <c r="G3691">
        <v>1142.02</v>
      </c>
    </row>
    <row r="3692" spans="5:7" x14ac:dyDescent="0.3">
      <c r="E3692" s="80">
        <v>45661</v>
      </c>
      <c r="F3692">
        <v>1010100</v>
      </c>
      <c r="G3692">
        <v>1142.02</v>
      </c>
    </row>
    <row r="3693" spans="5:7" x14ac:dyDescent="0.3">
      <c r="E3693" s="80">
        <v>45661</v>
      </c>
      <c r="F3693">
        <v>1010100</v>
      </c>
      <c r="G3693">
        <v>1142.02</v>
      </c>
    </row>
    <row r="3694" spans="5:7" x14ac:dyDescent="0.3">
      <c r="E3694" s="80">
        <v>45661</v>
      </c>
      <c r="F3694">
        <v>1010100</v>
      </c>
      <c r="G3694">
        <v>1142.02</v>
      </c>
    </row>
    <row r="3695" spans="5:7" x14ac:dyDescent="0.3">
      <c r="E3695" s="80">
        <v>45661</v>
      </c>
      <c r="F3695">
        <v>1010100</v>
      </c>
      <c r="G3695">
        <v>1142.02</v>
      </c>
    </row>
    <row r="3696" spans="5:7" x14ac:dyDescent="0.3">
      <c r="E3696" s="80">
        <v>45661</v>
      </c>
      <c r="F3696">
        <v>1010100</v>
      </c>
      <c r="G3696">
        <v>1142.02</v>
      </c>
    </row>
    <row r="3697" spans="5:7" x14ac:dyDescent="0.3">
      <c r="E3697" s="80">
        <v>45661</v>
      </c>
      <c r="F3697">
        <v>1010100</v>
      </c>
      <c r="G3697">
        <v>1142.02</v>
      </c>
    </row>
    <row r="3698" spans="5:7" x14ac:dyDescent="0.3">
      <c r="E3698" s="80">
        <v>45660</v>
      </c>
      <c r="F3698">
        <v>1010100</v>
      </c>
      <c r="G3698">
        <v>1142.02</v>
      </c>
    </row>
    <row r="3699" spans="5:7" x14ac:dyDescent="0.3">
      <c r="E3699" s="80">
        <v>45660</v>
      </c>
      <c r="F3699">
        <v>1010100</v>
      </c>
      <c r="G3699">
        <v>1142.02</v>
      </c>
    </row>
    <row r="3700" spans="5:7" x14ac:dyDescent="0.3">
      <c r="E3700" s="80">
        <v>45660</v>
      </c>
      <c r="F3700">
        <v>1010100</v>
      </c>
      <c r="G3700">
        <v>1142.02</v>
      </c>
    </row>
    <row r="3701" spans="5:7" x14ac:dyDescent="0.3">
      <c r="E3701" s="80">
        <v>45660</v>
      </c>
      <c r="F3701">
        <v>1010100</v>
      </c>
      <c r="G3701">
        <v>1142.02</v>
      </c>
    </row>
    <row r="3702" spans="5:7" x14ac:dyDescent="0.3">
      <c r="E3702" s="80">
        <v>45660</v>
      </c>
      <c r="F3702">
        <v>1010100</v>
      </c>
      <c r="G3702">
        <v>1142.02</v>
      </c>
    </row>
    <row r="3703" spans="5:7" x14ac:dyDescent="0.3">
      <c r="E3703" s="80">
        <v>45660</v>
      </c>
      <c r="F3703">
        <v>1010100</v>
      </c>
      <c r="G3703">
        <v>1142.02</v>
      </c>
    </row>
    <row r="3704" spans="5:7" x14ac:dyDescent="0.3">
      <c r="E3704" s="80">
        <v>45660</v>
      </c>
      <c r="F3704">
        <v>1010100</v>
      </c>
      <c r="G3704">
        <v>1142.02</v>
      </c>
    </row>
    <row r="3705" spans="5:7" x14ac:dyDescent="0.3">
      <c r="E3705" s="80">
        <v>45660</v>
      </c>
      <c r="F3705">
        <v>1010100</v>
      </c>
      <c r="G3705">
        <v>1142.02</v>
      </c>
    </row>
    <row r="3706" spans="5:7" x14ac:dyDescent="0.3">
      <c r="E3706" s="80">
        <v>45660</v>
      </c>
      <c r="F3706">
        <v>1010100</v>
      </c>
      <c r="G3706">
        <v>1142.02</v>
      </c>
    </row>
    <row r="3707" spans="5:7" x14ac:dyDescent="0.3">
      <c r="E3707" s="80">
        <v>45660</v>
      </c>
      <c r="F3707">
        <v>1010100</v>
      </c>
      <c r="G3707">
        <v>1142.02</v>
      </c>
    </row>
    <row r="3708" spans="5:7" x14ac:dyDescent="0.3">
      <c r="E3708" s="80">
        <v>45660</v>
      </c>
      <c r="F3708">
        <v>1010100</v>
      </c>
      <c r="G3708">
        <v>1142.02</v>
      </c>
    </row>
    <row r="3709" spans="5:7" x14ac:dyDescent="0.3">
      <c r="E3709" s="80">
        <v>45660</v>
      </c>
      <c r="F3709">
        <v>1010100</v>
      </c>
      <c r="G3709">
        <v>1142.02</v>
      </c>
    </row>
    <row r="3710" spans="5:7" x14ac:dyDescent="0.3">
      <c r="E3710" s="80">
        <v>45660</v>
      </c>
      <c r="F3710">
        <v>1010100</v>
      </c>
      <c r="G3710">
        <v>1142.02</v>
      </c>
    </row>
    <row r="3711" spans="5:7" x14ac:dyDescent="0.3">
      <c r="E3711" s="80">
        <v>45660</v>
      </c>
      <c r="F3711">
        <v>1010100</v>
      </c>
      <c r="G3711">
        <v>1142.02</v>
      </c>
    </row>
    <row r="3712" spans="5:7" x14ac:dyDescent="0.3">
      <c r="E3712" s="80">
        <v>45660</v>
      </c>
      <c r="F3712">
        <v>1010100</v>
      </c>
      <c r="G3712">
        <v>1142.02</v>
      </c>
    </row>
    <row r="3713" spans="5:7" x14ac:dyDescent="0.3">
      <c r="E3713" s="80">
        <v>45660</v>
      </c>
      <c r="F3713">
        <v>1010100</v>
      </c>
      <c r="G3713">
        <v>380.42</v>
      </c>
    </row>
    <row r="3714" spans="5:7" x14ac:dyDescent="0.3">
      <c r="E3714" s="80">
        <v>45660</v>
      </c>
      <c r="F3714">
        <v>1010100</v>
      </c>
      <c r="G3714">
        <v>1142.02</v>
      </c>
    </row>
    <row r="3715" spans="5:7" x14ac:dyDescent="0.3">
      <c r="E3715" s="80">
        <v>45659</v>
      </c>
      <c r="F3715">
        <v>1010100</v>
      </c>
      <c r="G3715">
        <v>1142.02</v>
      </c>
    </row>
    <row r="3716" spans="5:7" x14ac:dyDescent="0.3">
      <c r="E3716" s="80">
        <v>45659</v>
      </c>
      <c r="F3716">
        <v>1010100</v>
      </c>
      <c r="G3716">
        <v>1142.02</v>
      </c>
    </row>
    <row r="3717" spans="5:7" x14ac:dyDescent="0.3">
      <c r="E3717" s="80">
        <v>45659</v>
      </c>
      <c r="F3717">
        <v>1010100</v>
      </c>
      <c r="G3717">
        <v>1142.02</v>
      </c>
    </row>
    <row r="3718" spans="5:7" x14ac:dyDescent="0.3">
      <c r="E3718" s="80">
        <v>45659</v>
      </c>
      <c r="F3718">
        <v>1010100</v>
      </c>
      <c r="G3718">
        <v>1142.02</v>
      </c>
    </row>
    <row r="3719" spans="5:7" x14ac:dyDescent="0.3">
      <c r="E3719" s="80">
        <v>45659</v>
      </c>
      <c r="F3719">
        <v>1010100</v>
      </c>
      <c r="G3719">
        <v>1142.02</v>
      </c>
    </row>
    <row r="3720" spans="5:7" x14ac:dyDescent="0.3">
      <c r="E3720" s="80">
        <v>45659</v>
      </c>
      <c r="F3720">
        <v>1010100</v>
      </c>
      <c r="G3720">
        <v>1142.02</v>
      </c>
    </row>
    <row r="3721" spans="5:7" x14ac:dyDescent="0.3">
      <c r="E3721" s="80">
        <v>45659</v>
      </c>
      <c r="F3721">
        <v>1010100</v>
      </c>
      <c r="G3721">
        <v>1142.02</v>
      </c>
    </row>
    <row r="3722" spans="5:7" x14ac:dyDescent="0.3">
      <c r="E3722" s="80">
        <v>45659</v>
      </c>
      <c r="F3722">
        <v>1010100</v>
      </c>
      <c r="G3722">
        <v>1142.02</v>
      </c>
    </row>
    <row r="3723" spans="5:7" x14ac:dyDescent="0.3">
      <c r="E3723" s="80">
        <v>45659</v>
      </c>
      <c r="F3723">
        <v>1010100</v>
      </c>
      <c r="G3723">
        <v>1142.02</v>
      </c>
    </row>
    <row r="3724" spans="5:7" x14ac:dyDescent="0.3">
      <c r="E3724" s="80">
        <v>45659</v>
      </c>
      <c r="F3724">
        <v>1010100</v>
      </c>
      <c r="G3724">
        <v>2284.04</v>
      </c>
    </row>
    <row r="3725" spans="5:7" x14ac:dyDescent="0.3">
      <c r="E3725" s="80">
        <v>45659</v>
      </c>
      <c r="F3725">
        <v>1010100</v>
      </c>
      <c r="G3725">
        <v>1142.02</v>
      </c>
    </row>
    <row r="3726" spans="5:7" x14ac:dyDescent="0.3">
      <c r="E3726" s="80">
        <v>45659</v>
      </c>
      <c r="F3726">
        <v>1010100</v>
      </c>
      <c r="G3726">
        <v>1142.02</v>
      </c>
    </row>
    <row r="3727" spans="5:7" x14ac:dyDescent="0.3">
      <c r="E3727" s="80">
        <v>45659</v>
      </c>
      <c r="F3727">
        <v>1010100</v>
      </c>
      <c r="G3727">
        <v>1142.02</v>
      </c>
    </row>
    <row r="3728" spans="5:7" x14ac:dyDescent="0.3">
      <c r="E3728" s="80">
        <v>45659</v>
      </c>
      <c r="F3728">
        <v>1010100</v>
      </c>
      <c r="G3728">
        <v>1142.02</v>
      </c>
    </row>
    <row r="3729" spans="5:7" x14ac:dyDescent="0.3">
      <c r="E3729" s="80">
        <v>45659</v>
      </c>
      <c r="F3729">
        <v>1010100</v>
      </c>
      <c r="G3729">
        <v>1142.02</v>
      </c>
    </row>
    <row r="3730" spans="5:7" x14ac:dyDescent="0.3">
      <c r="E3730" s="80">
        <v>45659</v>
      </c>
      <c r="F3730">
        <v>1010100</v>
      </c>
      <c r="G3730">
        <v>1142.02</v>
      </c>
    </row>
    <row r="3731" spans="5:7" x14ac:dyDescent="0.3">
      <c r="E3731" s="80">
        <v>45659</v>
      </c>
      <c r="F3731">
        <v>1010100</v>
      </c>
      <c r="G3731">
        <v>1142.02</v>
      </c>
    </row>
    <row r="3732" spans="5:7" x14ac:dyDescent="0.3">
      <c r="E3732" s="80">
        <v>45659</v>
      </c>
      <c r="F3732">
        <v>1010100</v>
      </c>
      <c r="G3732">
        <v>1142.02</v>
      </c>
    </row>
    <row r="3733" spans="5:7" x14ac:dyDescent="0.3">
      <c r="E3733" s="80">
        <v>45659</v>
      </c>
      <c r="F3733">
        <v>1010100</v>
      </c>
      <c r="G3733">
        <v>1142.02</v>
      </c>
    </row>
    <row r="3734" spans="5:7" x14ac:dyDescent="0.3">
      <c r="E3734" s="80">
        <v>45659</v>
      </c>
      <c r="F3734">
        <v>1010100</v>
      </c>
      <c r="G3734">
        <v>1142.02</v>
      </c>
    </row>
    <row r="3735" spans="5:7" x14ac:dyDescent="0.3">
      <c r="E3735" s="80">
        <v>45659</v>
      </c>
      <c r="F3735">
        <v>1010100</v>
      </c>
      <c r="G3735">
        <v>1142.02</v>
      </c>
    </row>
    <row r="3736" spans="5:7" x14ac:dyDescent="0.3">
      <c r="E3736" s="80">
        <v>45659</v>
      </c>
      <c r="F3736">
        <v>1010100</v>
      </c>
      <c r="G3736">
        <v>1142.02</v>
      </c>
    </row>
    <row r="3737" spans="5:7" x14ac:dyDescent="0.3">
      <c r="E3737" s="80">
        <v>45659</v>
      </c>
      <c r="F3737">
        <v>1010100</v>
      </c>
      <c r="G3737">
        <v>1142.02</v>
      </c>
    </row>
    <row r="3738" spans="5:7" x14ac:dyDescent="0.3">
      <c r="E3738" s="80">
        <v>45658</v>
      </c>
      <c r="F3738">
        <v>1010100</v>
      </c>
      <c r="G3738">
        <v>1142.02</v>
      </c>
    </row>
    <row r="3739" spans="5:7" x14ac:dyDescent="0.3">
      <c r="E3739" s="80">
        <v>45658</v>
      </c>
      <c r="F3739">
        <v>1010100</v>
      </c>
      <c r="G3739">
        <v>1142.02</v>
      </c>
    </row>
    <row r="3740" spans="5:7" x14ac:dyDescent="0.3">
      <c r="E3740" s="80">
        <v>45658</v>
      </c>
      <c r="F3740">
        <v>1010100</v>
      </c>
      <c r="G3740">
        <v>1142.02</v>
      </c>
    </row>
    <row r="3741" spans="5:7" x14ac:dyDescent="0.3">
      <c r="E3741" s="80">
        <v>45658</v>
      </c>
      <c r="F3741">
        <v>1010100</v>
      </c>
      <c r="G3741">
        <v>1142.02</v>
      </c>
    </row>
    <row r="3742" spans="5:7" x14ac:dyDescent="0.3">
      <c r="E3742" s="80">
        <v>45658</v>
      </c>
      <c r="F3742">
        <v>1010100</v>
      </c>
      <c r="G3742">
        <v>1142.02</v>
      </c>
    </row>
    <row r="3743" spans="5:7" x14ac:dyDescent="0.3">
      <c r="E3743" s="80">
        <v>45658</v>
      </c>
      <c r="F3743">
        <v>1010100</v>
      </c>
      <c r="G3743">
        <v>1142.02</v>
      </c>
    </row>
    <row r="3744" spans="5:7" x14ac:dyDescent="0.3">
      <c r="E3744" s="80">
        <v>45658</v>
      </c>
      <c r="F3744">
        <v>1010100</v>
      </c>
      <c r="G3744">
        <v>1142.02</v>
      </c>
    </row>
    <row r="3745" spans="5:7" x14ac:dyDescent="0.3">
      <c r="E3745" s="80">
        <v>45658</v>
      </c>
      <c r="F3745">
        <v>1010100</v>
      </c>
      <c r="G3745">
        <v>1142.02</v>
      </c>
    </row>
    <row r="3746" spans="5:7" x14ac:dyDescent="0.3">
      <c r="E3746" s="80">
        <v>45658</v>
      </c>
      <c r="F3746">
        <v>1010100</v>
      </c>
      <c r="G3746">
        <v>1142.02</v>
      </c>
    </row>
    <row r="3747" spans="5:7" x14ac:dyDescent="0.3">
      <c r="E3747" s="80">
        <v>45658</v>
      </c>
      <c r="F3747">
        <v>1010100</v>
      </c>
      <c r="G3747">
        <v>380.42</v>
      </c>
    </row>
    <row r="3748" spans="5:7" x14ac:dyDescent="0.3">
      <c r="E3748" s="80">
        <v>45658</v>
      </c>
      <c r="F3748">
        <v>1010100</v>
      </c>
      <c r="G3748">
        <v>1142.02</v>
      </c>
    </row>
    <row r="3749" spans="5:7" x14ac:dyDescent="0.3">
      <c r="E3749" s="80">
        <v>45658</v>
      </c>
      <c r="F3749">
        <v>1010100</v>
      </c>
      <c r="G3749">
        <v>1142.02</v>
      </c>
    </row>
    <row r="3750" spans="5:7" x14ac:dyDescent="0.3">
      <c r="E3750" s="80">
        <v>45658</v>
      </c>
      <c r="F3750">
        <v>1010100</v>
      </c>
      <c r="G3750">
        <v>1027.82</v>
      </c>
    </row>
    <row r="3751" spans="5:7" x14ac:dyDescent="0.3">
      <c r="E3751" s="80">
        <v>45658</v>
      </c>
      <c r="F3751">
        <v>1010100</v>
      </c>
      <c r="G3751">
        <v>1142.02</v>
      </c>
    </row>
    <row r="3752" spans="5:7" x14ac:dyDescent="0.3">
      <c r="E3752" s="80">
        <v>45658</v>
      </c>
      <c r="F3752">
        <v>1010100</v>
      </c>
      <c r="G3752">
        <v>1027.82</v>
      </c>
    </row>
  </sheetData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la"/>
  <dimension ref="A2:M124"/>
  <sheetViews>
    <sheetView workbookViewId="0">
      <selection activeCell="D2" sqref="D2"/>
    </sheetView>
  </sheetViews>
  <sheetFormatPr baseColWidth="10" defaultRowHeight="14.4" x14ac:dyDescent="0.3"/>
  <cols>
    <col min="1" max="1" width="16.5546875" bestFit="1" customWidth="1"/>
    <col min="2" max="2" width="14.33203125" style="98" bestFit="1" customWidth="1"/>
    <col min="3" max="3" width="14.33203125" bestFit="1" customWidth="1"/>
    <col min="4" max="4" width="16.5546875" bestFit="1" customWidth="1"/>
    <col min="5" max="5" width="14.88671875" style="98" bestFit="1" customWidth="1"/>
    <col min="7" max="7" width="26.5546875" bestFit="1" customWidth="1"/>
    <col min="8" max="8" width="21.33203125" style="77" bestFit="1" customWidth="1"/>
    <col min="9" max="12" width="7.88671875" style="77" customWidth="1"/>
    <col min="13" max="13" width="11.6640625" style="146" bestFit="1" customWidth="1"/>
    <col min="14" max="31" width="21.33203125" bestFit="1" customWidth="1"/>
    <col min="32" max="32" width="8.5546875" bestFit="1" customWidth="1"/>
    <col min="33" max="36" width="6.109375" bestFit="1" customWidth="1"/>
    <col min="37" max="37" width="8.33203125" bestFit="1" customWidth="1"/>
    <col min="38" max="49" width="6.88671875" bestFit="1" customWidth="1"/>
    <col min="50" max="50" width="8.88671875" bestFit="1" customWidth="1"/>
    <col min="51" max="66" width="6.33203125" bestFit="1" customWidth="1"/>
    <col min="67" max="67" width="8.33203125" bestFit="1" customWidth="1"/>
    <col min="68" max="74" width="7" bestFit="1" customWidth="1"/>
    <col min="75" max="75" width="9.109375" bestFit="1" customWidth="1"/>
    <col min="76" max="76" width="11.6640625" bestFit="1" customWidth="1"/>
  </cols>
  <sheetData>
    <row r="2" spans="1:13" x14ac:dyDescent="0.3">
      <c r="A2" s="79" t="s">
        <v>678</v>
      </c>
      <c r="B2" t="s">
        <v>1094</v>
      </c>
      <c r="D2" s="79" t="s">
        <v>678</v>
      </c>
      <c r="E2" t="s">
        <v>1095</v>
      </c>
      <c r="G2" s="79" t="s">
        <v>679</v>
      </c>
      <c r="H2" s="222" t="s">
        <v>806</v>
      </c>
    </row>
    <row r="3" spans="1:13" x14ac:dyDescent="0.3">
      <c r="A3" s="78">
        <v>1010100</v>
      </c>
      <c r="B3">
        <v>56343361</v>
      </c>
      <c r="D3" s="78">
        <v>1010100</v>
      </c>
      <c r="E3">
        <v>55609049.950001784</v>
      </c>
      <c r="H3" s="77" t="s">
        <v>809</v>
      </c>
      <c r="I3" s="77" t="s">
        <v>810</v>
      </c>
      <c r="J3" s="77" t="s">
        <v>811</v>
      </c>
      <c r="K3" s="77" t="s">
        <v>812</v>
      </c>
      <c r="L3" s="77" t="s">
        <v>813</v>
      </c>
      <c r="M3" s="146" t="s">
        <v>684</v>
      </c>
    </row>
    <row r="4" spans="1:13" x14ac:dyDescent="0.3">
      <c r="A4" s="78">
        <v>1010501</v>
      </c>
      <c r="B4">
        <v>6718491</v>
      </c>
      <c r="D4" s="78">
        <v>1010501</v>
      </c>
      <c r="E4">
        <v>6718491</v>
      </c>
      <c r="G4" s="79" t="s">
        <v>678</v>
      </c>
    </row>
    <row r="5" spans="1:13" x14ac:dyDescent="0.3">
      <c r="A5" s="78">
        <v>1010503</v>
      </c>
      <c r="B5">
        <v>7703260</v>
      </c>
      <c r="D5" s="78">
        <v>1010503</v>
      </c>
      <c r="E5">
        <v>7703260</v>
      </c>
      <c r="G5" s="78" t="s">
        <v>1096</v>
      </c>
      <c r="H5" s="77">
        <v>11</v>
      </c>
      <c r="I5" s="77">
        <v>5</v>
      </c>
      <c r="J5" s="77">
        <v>4</v>
      </c>
      <c r="K5" s="77">
        <v>1</v>
      </c>
      <c r="L5" s="77">
        <v>1</v>
      </c>
      <c r="M5" s="146">
        <v>22</v>
      </c>
    </row>
    <row r="6" spans="1:13" x14ac:dyDescent="0.3">
      <c r="A6" s="78">
        <v>1010600</v>
      </c>
      <c r="B6">
        <v>1689510</v>
      </c>
      <c r="D6" s="78">
        <v>1010600</v>
      </c>
      <c r="E6">
        <v>600000</v>
      </c>
      <c r="G6" s="78" t="s">
        <v>1097</v>
      </c>
      <c r="H6" s="77">
        <v>8</v>
      </c>
      <c r="I6" s="77">
        <v>2</v>
      </c>
      <c r="J6" s="77">
        <v>6</v>
      </c>
      <c r="L6" s="77">
        <v>1</v>
      </c>
      <c r="M6" s="146">
        <v>17</v>
      </c>
    </row>
    <row r="7" spans="1:13" x14ac:dyDescent="0.3">
      <c r="A7" s="78">
        <v>1010900</v>
      </c>
      <c r="B7">
        <v>23009520</v>
      </c>
      <c r="D7" s="78">
        <v>1010900</v>
      </c>
      <c r="E7">
        <v>3910234</v>
      </c>
      <c r="G7" s="78" t="s">
        <v>1098</v>
      </c>
      <c r="H7" s="77">
        <v>10</v>
      </c>
      <c r="I7" s="77">
        <v>6</v>
      </c>
      <c r="J7" s="77">
        <v>26</v>
      </c>
      <c r="K7" s="77">
        <v>9</v>
      </c>
      <c r="L7" s="77">
        <v>3</v>
      </c>
      <c r="M7" s="146">
        <v>54</v>
      </c>
    </row>
    <row r="8" spans="1:13" x14ac:dyDescent="0.3">
      <c r="A8" s="78">
        <v>1011001</v>
      </c>
      <c r="B8">
        <v>4406846</v>
      </c>
      <c r="D8" s="78">
        <v>1011001</v>
      </c>
      <c r="E8">
        <v>2012779</v>
      </c>
      <c r="G8" s="78" t="s">
        <v>1099</v>
      </c>
      <c r="H8" s="77">
        <v>2</v>
      </c>
      <c r="M8" s="146">
        <v>2</v>
      </c>
    </row>
    <row r="9" spans="1:13" x14ac:dyDescent="0.3">
      <c r="A9" s="78">
        <v>1011100</v>
      </c>
      <c r="B9">
        <v>11339602</v>
      </c>
      <c r="D9" s="78">
        <v>1011100</v>
      </c>
      <c r="E9">
        <v>11339602</v>
      </c>
      <c r="G9" s="78" t="s">
        <v>1100</v>
      </c>
      <c r="H9" s="77">
        <v>9</v>
      </c>
      <c r="I9" s="77">
        <v>12</v>
      </c>
      <c r="J9" s="77">
        <v>2</v>
      </c>
      <c r="L9" s="77">
        <v>4</v>
      </c>
      <c r="M9" s="146">
        <v>27</v>
      </c>
    </row>
    <row r="10" spans="1:13" x14ac:dyDescent="0.3">
      <c r="A10" s="78">
        <v>1011501</v>
      </c>
      <c r="B10">
        <v>3417</v>
      </c>
      <c r="D10" s="78">
        <v>1011501</v>
      </c>
      <c r="E10">
        <v>0</v>
      </c>
      <c r="G10" s="78" t="s">
        <v>1101</v>
      </c>
      <c r="H10" s="77">
        <v>1</v>
      </c>
      <c r="I10" s="77">
        <v>1</v>
      </c>
      <c r="J10" s="77">
        <v>9</v>
      </c>
      <c r="K10" s="77">
        <v>4</v>
      </c>
      <c r="M10" s="146">
        <v>15</v>
      </c>
    </row>
    <row r="11" spans="1:13" x14ac:dyDescent="0.3">
      <c r="A11" s="78">
        <v>1031000</v>
      </c>
      <c r="B11">
        <v>4157547</v>
      </c>
      <c r="D11" s="78">
        <v>1031000</v>
      </c>
      <c r="E11">
        <v>0</v>
      </c>
      <c r="G11" s="78" t="s">
        <v>1102</v>
      </c>
      <c r="I11" s="77">
        <v>2</v>
      </c>
      <c r="J11" s="77">
        <v>10</v>
      </c>
      <c r="K11" s="77">
        <v>3</v>
      </c>
      <c r="M11" s="146">
        <v>15</v>
      </c>
    </row>
    <row r="12" spans="1:13" x14ac:dyDescent="0.3">
      <c r="A12" s="78">
        <v>2010902</v>
      </c>
      <c r="B12">
        <v>0</v>
      </c>
      <c r="D12" s="78">
        <v>2010902</v>
      </c>
      <c r="E12">
        <v>1282540</v>
      </c>
      <c r="G12" s="78" t="s">
        <v>1103</v>
      </c>
      <c r="H12" s="77">
        <v>1</v>
      </c>
      <c r="I12" s="77">
        <v>2</v>
      </c>
      <c r="J12" s="77">
        <v>7</v>
      </c>
      <c r="M12" s="146">
        <v>10</v>
      </c>
    </row>
    <row r="13" spans="1:13" x14ac:dyDescent="0.3">
      <c r="A13" s="78">
        <v>2011200</v>
      </c>
      <c r="B13">
        <v>0</v>
      </c>
      <c r="D13" s="78">
        <v>2011200</v>
      </c>
      <c r="E13">
        <v>207718.14</v>
      </c>
      <c r="G13" s="78" t="s">
        <v>1104</v>
      </c>
      <c r="I13" s="77">
        <v>2</v>
      </c>
      <c r="K13" s="77">
        <v>1</v>
      </c>
      <c r="L13" s="77">
        <v>2</v>
      </c>
      <c r="M13" s="146">
        <v>5</v>
      </c>
    </row>
    <row r="14" spans="1:13" x14ac:dyDescent="0.3">
      <c r="A14" s="78">
        <v>2011310</v>
      </c>
      <c r="B14">
        <v>4133929</v>
      </c>
      <c r="D14" s="78">
        <v>2011310</v>
      </c>
      <c r="E14">
        <v>4650055.3099999847</v>
      </c>
      <c r="G14" s="78" t="s">
        <v>1105</v>
      </c>
      <c r="H14" s="77">
        <v>8</v>
      </c>
      <c r="I14" s="77">
        <v>1</v>
      </c>
      <c r="J14" s="77">
        <v>4</v>
      </c>
      <c r="K14" s="77">
        <v>1</v>
      </c>
      <c r="L14" s="77">
        <v>2</v>
      </c>
      <c r="M14" s="146">
        <v>16</v>
      </c>
    </row>
    <row r="15" spans="1:13" x14ac:dyDescent="0.3">
      <c r="A15" s="78">
        <v>2020502</v>
      </c>
      <c r="B15">
        <v>7952001</v>
      </c>
      <c r="D15" s="78">
        <v>2020502</v>
      </c>
      <c r="E15">
        <v>8647039</v>
      </c>
      <c r="G15" s="78" t="s">
        <v>1106</v>
      </c>
      <c r="H15" s="77">
        <v>3</v>
      </c>
      <c r="K15" s="77">
        <v>2</v>
      </c>
      <c r="M15" s="146">
        <v>5</v>
      </c>
    </row>
    <row r="16" spans="1:13" x14ac:dyDescent="0.3">
      <c r="A16" s="78">
        <v>2020503</v>
      </c>
      <c r="B16">
        <v>1057546</v>
      </c>
      <c r="D16" s="78">
        <v>2020503</v>
      </c>
      <c r="E16">
        <v>10694576</v>
      </c>
      <c r="G16" s="78" t="s">
        <v>1107</v>
      </c>
      <c r="K16" s="77">
        <v>1</v>
      </c>
      <c r="M16" s="146">
        <v>1</v>
      </c>
    </row>
    <row r="17" spans="1:13" x14ac:dyDescent="0.3">
      <c r="A17" s="78">
        <v>2030100</v>
      </c>
      <c r="B17">
        <v>0</v>
      </c>
      <c r="D17" s="78">
        <v>2030100</v>
      </c>
      <c r="E17">
        <v>3000000</v>
      </c>
      <c r="G17" s="78" t="s">
        <v>1108</v>
      </c>
      <c r="H17" s="77">
        <v>2</v>
      </c>
      <c r="M17" s="146">
        <v>2</v>
      </c>
    </row>
    <row r="18" spans="1:13" x14ac:dyDescent="0.3">
      <c r="A18" s="78">
        <v>2030600</v>
      </c>
      <c r="B18">
        <v>0</v>
      </c>
      <c r="D18" s="78">
        <v>2030600</v>
      </c>
      <c r="E18">
        <v>16115566</v>
      </c>
      <c r="G18" s="78" t="s">
        <v>1109</v>
      </c>
      <c r="H18" s="77">
        <v>1</v>
      </c>
      <c r="M18" s="146">
        <v>1</v>
      </c>
    </row>
    <row r="19" spans="1:13" x14ac:dyDescent="0.3">
      <c r="A19" s="78">
        <v>2030800</v>
      </c>
      <c r="B19">
        <v>9000000</v>
      </c>
      <c r="D19" s="78">
        <v>3010101</v>
      </c>
      <c r="E19">
        <v>22881925</v>
      </c>
      <c r="G19" s="223" t="s">
        <v>954</v>
      </c>
      <c r="H19" s="224"/>
      <c r="I19" s="224"/>
      <c r="J19" s="224"/>
      <c r="K19" s="224">
        <v>75</v>
      </c>
      <c r="L19" s="224">
        <v>30</v>
      </c>
      <c r="M19" s="225">
        <v>105</v>
      </c>
    </row>
    <row r="20" spans="1:13" x14ac:dyDescent="0.3">
      <c r="A20" s="78">
        <v>3010200</v>
      </c>
      <c r="B20">
        <v>3910234</v>
      </c>
      <c r="D20" s="78">
        <v>3010111</v>
      </c>
      <c r="E20">
        <v>1201461</v>
      </c>
      <c r="G20" s="223" t="s">
        <v>1110</v>
      </c>
      <c r="H20" s="224"/>
      <c r="I20" s="224"/>
      <c r="J20" s="224"/>
      <c r="K20" s="224">
        <v>51</v>
      </c>
      <c r="L20" s="224">
        <v>34</v>
      </c>
      <c r="M20" s="225">
        <v>85</v>
      </c>
    </row>
    <row r="21" spans="1:13" x14ac:dyDescent="0.3">
      <c r="A21" s="78">
        <v>3010201</v>
      </c>
      <c r="B21">
        <v>6217424</v>
      </c>
      <c r="D21" s="78">
        <v>3010201</v>
      </c>
      <c r="E21">
        <v>4749648</v>
      </c>
      <c r="G21" s="223" t="s">
        <v>1111</v>
      </c>
      <c r="H21" s="224"/>
      <c r="I21" s="224"/>
      <c r="J21" s="224"/>
      <c r="K21" s="224"/>
      <c r="L21" s="224">
        <v>14</v>
      </c>
      <c r="M21" s="225">
        <v>14</v>
      </c>
    </row>
    <row r="22" spans="1:13" x14ac:dyDescent="0.3">
      <c r="A22" s="78">
        <v>3010205</v>
      </c>
      <c r="B22">
        <v>3848890</v>
      </c>
      <c r="D22" s="78" t="s">
        <v>683</v>
      </c>
      <c r="G22" s="223" t="s">
        <v>1112</v>
      </c>
      <c r="H22" s="224"/>
      <c r="I22" s="224"/>
      <c r="J22" s="224"/>
      <c r="K22" s="224">
        <v>42</v>
      </c>
      <c r="L22" s="224">
        <v>17</v>
      </c>
      <c r="M22" s="225">
        <v>59</v>
      </c>
    </row>
    <row r="23" spans="1:13" x14ac:dyDescent="0.3">
      <c r="A23" s="78">
        <v>3010211</v>
      </c>
      <c r="B23">
        <v>5232449</v>
      </c>
      <c r="D23" s="78" t="s">
        <v>684</v>
      </c>
      <c r="E23">
        <v>161323944.40000179</v>
      </c>
      <c r="G23" s="223" t="s">
        <v>1113</v>
      </c>
      <c r="H23" s="224"/>
      <c r="I23" s="224"/>
      <c r="J23" s="224"/>
      <c r="K23" s="224">
        <v>36</v>
      </c>
      <c r="L23" s="224">
        <v>3</v>
      </c>
      <c r="M23" s="225">
        <v>39</v>
      </c>
    </row>
    <row r="24" spans="1:13" x14ac:dyDescent="0.3">
      <c r="A24" s="78">
        <v>3010212</v>
      </c>
      <c r="B24">
        <v>807977.09000000637</v>
      </c>
      <c r="G24" s="223" t="s">
        <v>1114</v>
      </c>
      <c r="H24" s="224">
        <v>1</v>
      </c>
      <c r="I24" s="224"/>
      <c r="J24" s="224">
        <v>5</v>
      </c>
      <c r="K24" s="224">
        <v>5</v>
      </c>
      <c r="L24" s="224">
        <v>1</v>
      </c>
      <c r="M24" s="225">
        <v>12</v>
      </c>
    </row>
    <row r="25" spans="1:13" x14ac:dyDescent="0.3">
      <c r="A25" s="78">
        <v>3010300</v>
      </c>
      <c r="B25">
        <v>3792436</v>
      </c>
      <c r="G25" s="223" t="s">
        <v>1115</v>
      </c>
      <c r="H25" s="224">
        <v>5</v>
      </c>
      <c r="I25" s="224">
        <v>2</v>
      </c>
      <c r="J25" s="224">
        <v>5</v>
      </c>
      <c r="K25" s="224">
        <v>14</v>
      </c>
      <c r="L25" s="224">
        <v>11</v>
      </c>
      <c r="M25" s="225">
        <v>37</v>
      </c>
    </row>
    <row r="26" spans="1:13" x14ac:dyDescent="0.3">
      <c r="A26" s="78" t="s">
        <v>683</v>
      </c>
      <c r="G26" s="223" t="s">
        <v>1116</v>
      </c>
      <c r="H26" s="224">
        <v>7</v>
      </c>
      <c r="I26" s="224">
        <v>2</v>
      </c>
      <c r="J26" s="224">
        <v>9</v>
      </c>
      <c r="K26" s="224">
        <v>29</v>
      </c>
      <c r="L26" s="224">
        <v>21</v>
      </c>
      <c r="M26" s="225">
        <v>68</v>
      </c>
    </row>
    <row r="27" spans="1:13" x14ac:dyDescent="0.3">
      <c r="A27" s="78" t="s">
        <v>684</v>
      </c>
      <c r="B27">
        <v>161324440.09</v>
      </c>
      <c r="G27" s="223" t="s">
        <v>1117</v>
      </c>
      <c r="H27" s="224">
        <v>6</v>
      </c>
      <c r="I27" s="224">
        <v>7</v>
      </c>
      <c r="J27" s="224">
        <v>11</v>
      </c>
      <c r="K27" s="224">
        <v>15</v>
      </c>
      <c r="L27" s="224">
        <v>26</v>
      </c>
      <c r="M27" s="225">
        <v>65</v>
      </c>
    </row>
    <row r="28" spans="1:13" x14ac:dyDescent="0.3">
      <c r="G28" s="223" t="s">
        <v>1118</v>
      </c>
      <c r="H28" s="224">
        <v>4</v>
      </c>
      <c r="I28" s="224">
        <v>1</v>
      </c>
      <c r="J28" s="224">
        <v>13</v>
      </c>
      <c r="K28" s="224">
        <v>23</v>
      </c>
      <c r="L28" s="224">
        <v>14</v>
      </c>
      <c r="M28" s="225">
        <v>55</v>
      </c>
    </row>
    <row r="29" spans="1:13" x14ac:dyDescent="0.3">
      <c r="G29" s="223" t="s">
        <v>1119</v>
      </c>
      <c r="H29" s="224">
        <v>3</v>
      </c>
      <c r="I29" s="224">
        <v>2</v>
      </c>
      <c r="J29" s="224">
        <v>1</v>
      </c>
      <c r="K29" s="224">
        <v>1</v>
      </c>
      <c r="L29" s="224">
        <v>11</v>
      </c>
      <c r="M29" s="225">
        <v>18</v>
      </c>
    </row>
    <row r="30" spans="1:13" x14ac:dyDescent="0.3">
      <c r="G30" s="223" t="s">
        <v>1120</v>
      </c>
      <c r="H30" s="224"/>
      <c r="I30" s="224"/>
      <c r="J30" s="224"/>
      <c r="K30" s="224"/>
      <c r="L30" s="224">
        <v>1</v>
      </c>
      <c r="M30" s="225">
        <v>1</v>
      </c>
    </row>
    <row r="31" spans="1:13" x14ac:dyDescent="0.3">
      <c r="G31" s="223" t="s">
        <v>1121</v>
      </c>
      <c r="H31" s="224"/>
      <c r="I31" s="224"/>
      <c r="J31" s="224">
        <v>2</v>
      </c>
      <c r="K31" s="224"/>
      <c r="L31" s="224"/>
      <c r="M31" s="225">
        <v>2</v>
      </c>
    </row>
    <row r="32" spans="1:13" x14ac:dyDescent="0.3">
      <c r="G32" s="223" t="s">
        <v>1122</v>
      </c>
      <c r="H32" s="224"/>
      <c r="I32" s="224"/>
      <c r="J32" s="224">
        <v>2</v>
      </c>
      <c r="K32" s="224"/>
      <c r="L32" s="224">
        <v>2</v>
      </c>
      <c r="M32" s="225">
        <v>4</v>
      </c>
    </row>
    <row r="33" spans="7:13" x14ac:dyDescent="0.3">
      <c r="G33" s="223" t="s">
        <v>1123</v>
      </c>
      <c r="H33" s="224"/>
      <c r="I33" s="224"/>
      <c r="J33" s="224"/>
      <c r="K33" s="224"/>
      <c r="L33" s="224">
        <v>1</v>
      </c>
      <c r="M33" s="225">
        <v>1</v>
      </c>
    </row>
    <row r="34" spans="7:13" x14ac:dyDescent="0.3">
      <c r="G34" s="78" t="s">
        <v>1124</v>
      </c>
      <c r="H34" s="77">
        <v>1</v>
      </c>
      <c r="M34" s="146">
        <v>1</v>
      </c>
    </row>
    <row r="35" spans="7:13" x14ac:dyDescent="0.3">
      <c r="G35" s="78" t="s">
        <v>1125</v>
      </c>
      <c r="H35" s="77">
        <v>5</v>
      </c>
      <c r="J35" s="77">
        <v>5</v>
      </c>
      <c r="K35" s="77">
        <v>2</v>
      </c>
      <c r="L35" s="77">
        <v>2</v>
      </c>
      <c r="M35" s="146">
        <v>14</v>
      </c>
    </row>
    <row r="36" spans="7:13" x14ac:dyDescent="0.3">
      <c r="G36" s="78" t="s">
        <v>1126</v>
      </c>
      <c r="J36" s="77">
        <v>2</v>
      </c>
      <c r="M36" s="146">
        <v>2</v>
      </c>
    </row>
    <row r="37" spans="7:13" x14ac:dyDescent="0.3">
      <c r="G37" s="78" t="s">
        <v>984</v>
      </c>
      <c r="H37" s="77">
        <v>2</v>
      </c>
      <c r="J37" s="77">
        <v>6</v>
      </c>
      <c r="K37" s="77">
        <v>2</v>
      </c>
      <c r="M37" s="146">
        <v>10</v>
      </c>
    </row>
    <row r="38" spans="7:13" x14ac:dyDescent="0.3">
      <c r="G38" s="78" t="s">
        <v>1127</v>
      </c>
      <c r="H38" s="77">
        <v>1</v>
      </c>
      <c r="J38" s="77">
        <v>4</v>
      </c>
      <c r="M38" s="146">
        <v>5</v>
      </c>
    </row>
    <row r="39" spans="7:13" x14ac:dyDescent="0.3">
      <c r="G39" s="78" t="s">
        <v>985</v>
      </c>
      <c r="H39" s="77">
        <v>2</v>
      </c>
      <c r="J39" s="77">
        <v>6</v>
      </c>
      <c r="K39" s="77">
        <v>3</v>
      </c>
      <c r="M39" s="146">
        <v>11</v>
      </c>
    </row>
    <row r="40" spans="7:13" x14ac:dyDescent="0.3">
      <c r="G40" s="78" t="s">
        <v>1128</v>
      </c>
      <c r="K40" s="77">
        <v>6</v>
      </c>
      <c r="L40" s="77">
        <v>4</v>
      </c>
      <c r="M40" s="146">
        <v>10</v>
      </c>
    </row>
    <row r="41" spans="7:13" x14ac:dyDescent="0.3">
      <c r="G41" s="78" t="s">
        <v>1129</v>
      </c>
      <c r="K41" s="77">
        <v>22</v>
      </c>
      <c r="L41" s="77">
        <v>5</v>
      </c>
      <c r="M41" s="146">
        <v>27</v>
      </c>
    </row>
    <row r="42" spans="7:13" x14ac:dyDescent="0.3">
      <c r="G42" s="223" t="s">
        <v>1130</v>
      </c>
      <c r="H42" s="224"/>
      <c r="I42" s="224"/>
      <c r="J42" s="224"/>
      <c r="K42" s="224">
        <v>23</v>
      </c>
      <c r="L42" s="224"/>
      <c r="M42" s="225">
        <v>23</v>
      </c>
    </row>
    <row r="43" spans="7:13" x14ac:dyDescent="0.3">
      <c r="G43" s="78" t="s">
        <v>1131</v>
      </c>
      <c r="K43" s="77">
        <v>19</v>
      </c>
      <c r="L43" s="77">
        <v>23</v>
      </c>
      <c r="M43" s="146">
        <v>42</v>
      </c>
    </row>
    <row r="44" spans="7:13" x14ac:dyDescent="0.3">
      <c r="G44" s="78" t="s">
        <v>1132</v>
      </c>
      <c r="H44" s="77">
        <v>15</v>
      </c>
      <c r="I44" s="77">
        <v>14</v>
      </c>
      <c r="J44" s="77">
        <v>12</v>
      </c>
      <c r="K44" s="77">
        <v>4</v>
      </c>
      <c r="L44" s="77">
        <v>1</v>
      </c>
      <c r="M44" s="146">
        <v>46</v>
      </c>
    </row>
    <row r="45" spans="7:13" x14ac:dyDescent="0.3">
      <c r="G45" s="78" t="s">
        <v>1133</v>
      </c>
      <c r="K45" s="77">
        <v>5</v>
      </c>
      <c r="L45" s="77">
        <v>4</v>
      </c>
      <c r="M45" s="146">
        <v>9</v>
      </c>
    </row>
    <row r="46" spans="7:13" x14ac:dyDescent="0.3">
      <c r="G46" s="78" t="s">
        <v>1134</v>
      </c>
      <c r="K46" s="77">
        <v>6</v>
      </c>
      <c r="L46" s="77">
        <v>3</v>
      </c>
      <c r="M46" s="146">
        <v>9</v>
      </c>
    </row>
    <row r="47" spans="7:13" x14ac:dyDescent="0.3">
      <c r="G47" s="78" t="s">
        <v>1135</v>
      </c>
      <c r="H47" s="77">
        <v>1</v>
      </c>
      <c r="K47" s="77">
        <v>1</v>
      </c>
      <c r="M47" s="146">
        <v>2</v>
      </c>
    </row>
    <row r="48" spans="7:13" x14ac:dyDescent="0.3">
      <c r="G48" s="78" t="s">
        <v>1136</v>
      </c>
      <c r="K48" s="77">
        <v>3</v>
      </c>
      <c r="M48" s="146">
        <v>3</v>
      </c>
    </row>
    <row r="49" spans="7:13" x14ac:dyDescent="0.3">
      <c r="G49" s="78" t="s">
        <v>1137</v>
      </c>
      <c r="H49" s="77">
        <v>2</v>
      </c>
      <c r="J49" s="77">
        <v>3</v>
      </c>
      <c r="M49" s="146">
        <v>5</v>
      </c>
    </row>
    <row r="50" spans="7:13" x14ac:dyDescent="0.3">
      <c r="G50" s="78" t="s">
        <v>1138</v>
      </c>
      <c r="J50" s="77">
        <v>3</v>
      </c>
      <c r="K50" s="77">
        <v>1</v>
      </c>
      <c r="M50" s="146">
        <v>4</v>
      </c>
    </row>
    <row r="51" spans="7:13" x14ac:dyDescent="0.3">
      <c r="G51" s="78" t="s">
        <v>1139</v>
      </c>
      <c r="I51" s="77">
        <v>2</v>
      </c>
      <c r="J51" s="77">
        <v>1</v>
      </c>
      <c r="K51" s="77">
        <v>1</v>
      </c>
      <c r="M51" s="146">
        <v>4</v>
      </c>
    </row>
    <row r="52" spans="7:13" x14ac:dyDescent="0.3">
      <c r="G52" s="78" t="s">
        <v>1140</v>
      </c>
      <c r="K52" s="77">
        <v>1</v>
      </c>
      <c r="L52" s="77">
        <v>1</v>
      </c>
      <c r="M52" s="146">
        <v>2</v>
      </c>
    </row>
    <row r="53" spans="7:13" x14ac:dyDescent="0.3">
      <c r="G53" s="78" t="s">
        <v>1141</v>
      </c>
      <c r="H53" s="77">
        <v>1</v>
      </c>
      <c r="J53" s="77">
        <v>2</v>
      </c>
      <c r="L53" s="77">
        <v>2</v>
      </c>
      <c r="M53" s="146">
        <v>5</v>
      </c>
    </row>
    <row r="54" spans="7:13" x14ac:dyDescent="0.3">
      <c r="G54" s="78" t="s">
        <v>1142</v>
      </c>
      <c r="H54" s="77">
        <v>1</v>
      </c>
      <c r="J54" s="77">
        <v>2</v>
      </c>
      <c r="K54" s="77">
        <v>2</v>
      </c>
      <c r="M54" s="146">
        <v>5</v>
      </c>
    </row>
    <row r="55" spans="7:13" x14ac:dyDescent="0.3">
      <c r="G55" s="78" t="s">
        <v>1143</v>
      </c>
      <c r="H55" s="77">
        <v>4</v>
      </c>
      <c r="J55" s="77">
        <v>2</v>
      </c>
      <c r="L55" s="77">
        <v>1</v>
      </c>
      <c r="M55" s="146">
        <v>7</v>
      </c>
    </row>
    <row r="56" spans="7:13" x14ac:dyDescent="0.3">
      <c r="G56" s="78" t="s">
        <v>1144</v>
      </c>
      <c r="H56" s="77">
        <v>3</v>
      </c>
      <c r="I56" s="77">
        <v>1</v>
      </c>
      <c r="J56" s="77">
        <v>1</v>
      </c>
      <c r="M56" s="146">
        <v>5</v>
      </c>
    </row>
    <row r="57" spans="7:13" x14ac:dyDescent="0.3">
      <c r="G57" s="78" t="s">
        <v>1145</v>
      </c>
      <c r="I57" s="77">
        <v>4</v>
      </c>
      <c r="J57" s="77">
        <v>3</v>
      </c>
      <c r="M57" s="146">
        <v>7</v>
      </c>
    </row>
    <row r="58" spans="7:13" x14ac:dyDescent="0.3">
      <c r="G58" s="78" t="s">
        <v>1146</v>
      </c>
      <c r="H58" s="77">
        <v>3</v>
      </c>
      <c r="J58" s="77">
        <v>1</v>
      </c>
      <c r="K58" s="77">
        <v>1</v>
      </c>
      <c r="M58" s="146">
        <v>5</v>
      </c>
    </row>
    <row r="59" spans="7:13" x14ac:dyDescent="0.3">
      <c r="G59" s="78" t="s">
        <v>1147</v>
      </c>
      <c r="H59" s="77">
        <v>11</v>
      </c>
      <c r="I59" s="77">
        <v>11</v>
      </c>
      <c r="J59" s="77">
        <v>6</v>
      </c>
      <c r="M59" s="146">
        <v>28</v>
      </c>
    </row>
    <row r="60" spans="7:13" x14ac:dyDescent="0.3">
      <c r="G60" s="78" t="s">
        <v>1148</v>
      </c>
      <c r="H60" s="77">
        <v>12</v>
      </c>
      <c r="I60" s="77">
        <v>4</v>
      </c>
      <c r="J60" s="77">
        <v>7</v>
      </c>
      <c r="M60" s="146">
        <v>23</v>
      </c>
    </row>
    <row r="61" spans="7:13" x14ac:dyDescent="0.3">
      <c r="G61" s="78" t="s">
        <v>1149</v>
      </c>
      <c r="H61" s="77">
        <v>5</v>
      </c>
      <c r="I61" s="77">
        <v>4</v>
      </c>
      <c r="J61" s="77">
        <v>20</v>
      </c>
      <c r="K61" s="77">
        <v>8</v>
      </c>
      <c r="L61" s="77">
        <v>3</v>
      </c>
      <c r="M61" s="146">
        <v>40</v>
      </c>
    </row>
    <row r="62" spans="7:13" x14ac:dyDescent="0.3">
      <c r="G62" s="78" t="s">
        <v>1150</v>
      </c>
      <c r="K62" s="77">
        <v>7</v>
      </c>
      <c r="L62" s="77">
        <v>2</v>
      </c>
      <c r="M62" s="146">
        <v>9</v>
      </c>
    </row>
    <row r="63" spans="7:13" x14ac:dyDescent="0.3">
      <c r="G63" s="78" t="s">
        <v>1151</v>
      </c>
      <c r="H63" s="77">
        <v>1</v>
      </c>
      <c r="M63" s="146">
        <v>1</v>
      </c>
    </row>
    <row r="64" spans="7:13" x14ac:dyDescent="0.3">
      <c r="G64" s="78" t="s">
        <v>1152</v>
      </c>
      <c r="J64" s="77">
        <v>1</v>
      </c>
      <c r="K64" s="77">
        <v>2</v>
      </c>
      <c r="M64" s="146">
        <v>3</v>
      </c>
    </row>
    <row r="65" spans="7:13" x14ac:dyDescent="0.3">
      <c r="G65" s="78" t="s">
        <v>1153</v>
      </c>
      <c r="J65" s="77">
        <v>2</v>
      </c>
      <c r="M65" s="146">
        <v>2</v>
      </c>
    </row>
    <row r="66" spans="7:13" x14ac:dyDescent="0.3">
      <c r="G66" s="78" t="s">
        <v>1154</v>
      </c>
      <c r="J66" s="77">
        <v>5</v>
      </c>
      <c r="K66" s="77">
        <v>1</v>
      </c>
      <c r="M66" s="146">
        <v>6</v>
      </c>
    </row>
    <row r="67" spans="7:13" x14ac:dyDescent="0.3">
      <c r="G67" s="78" t="s">
        <v>1155</v>
      </c>
      <c r="J67" s="77">
        <v>1</v>
      </c>
      <c r="M67" s="146">
        <v>1</v>
      </c>
    </row>
    <row r="68" spans="7:13" x14ac:dyDescent="0.3">
      <c r="G68" s="78" t="s">
        <v>1156</v>
      </c>
      <c r="J68" s="77">
        <v>1</v>
      </c>
      <c r="M68" s="146">
        <v>1</v>
      </c>
    </row>
    <row r="69" spans="7:13" x14ac:dyDescent="0.3">
      <c r="G69" s="78" t="s">
        <v>1157</v>
      </c>
      <c r="H69" s="77">
        <v>1</v>
      </c>
      <c r="J69" s="77">
        <v>2</v>
      </c>
      <c r="K69" s="77">
        <v>1</v>
      </c>
      <c r="M69" s="146">
        <v>4</v>
      </c>
    </row>
    <row r="70" spans="7:13" x14ac:dyDescent="0.3">
      <c r="G70" s="78" t="s">
        <v>1158</v>
      </c>
      <c r="H70" s="77">
        <v>1</v>
      </c>
      <c r="M70" s="146">
        <v>1</v>
      </c>
    </row>
    <row r="71" spans="7:13" x14ac:dyDescent="0.3">
      <c r="G71" s="78" t="s">
        <v>1159</v>
      </c>
      <c r="H71" s="77">
        <v>1</v>
      </c>
      <c r="J71" s="77">
        <v>4</v>
      </c>
      <c r="M71" s="146">
        <v>5</v>
      </c>
    </row>
    <row r="72" spans="7:13" x14ac:dyDescent="0.3">
      <c r="G72" s="78" t="s">
        <v>1160</v>
      </c>
      <c r="K72" s="77">
        <v>6</v>
      </c>
      <c r="L72" s="77">
        <v>1</v>
      </c>
      <c r="M72" s="146">
        <v>7</v>
      </c>
    </row>
    <row r="73" spans="7:13" x14ac:dyDescent="0.3">
      <c r="G73" s="78" t="s">
        <v>1161</v>
      </c>
      <c r="K73" s="77">
        <v>15</v>
      </c>
      <c r="L73" s="77">
        <v>14</v>
      </c>
      <c r="M73" s="146">
        <v>29</v>
      </c>
    </row>
    <row r="74" spans="7:13" x14ac:dyDescent="0.3">
      <c r="G74" s="78" t="s">
        <v>1162</v>
      </c>
      <c r="I74" s="77">
        <v>1</v>
      </c>
      <c r="J74" s="77">
        <v>1</v>
      </c>
      <c r="M74" s="146">
        <v>2</v>
      </c>
    </row>
    <row r="75" spans="7:13" x14ac:dyDescent="0.3">
      <c r="G75" s="78" t="s">
        <v>1163</v>
      </c>
      <c r="J75" s="77">
        <v>1</v>
      </c>
      <c r="M75" s="146">
        <v>1</v>
      </c>
    </row>
    <row r="76" spans="7:13" x14ac:dyDescent="0.3">
      <c r="G76" s="78" t="s">
        <v>1164</v>
      </c>
      <c r="I76" s="77">
        <v>1</v>
      </c>
      <c r="J76" s="77">
        <v>2</v>
      </c>
      <c r="M76" s="146">
        <v>3</v>
      </c>
    </row>
    <row r="77" spans="7:13" x14ac:dyDescent="0.3">
      <c r="G77" s="78" t="s">
        <v>1165</v>
      </c>
      <c r="H77" s="77">
        <v>3</v>
      </c>
      <c r="I77" s="77">
        <v>1</v>
      </c>
      <c r="J77" s="77">
        <v>1</v>
      </c>
      <c r="M77" s="146">
        <v>5</v>
      </c>
    </row>
    <row r="78" spans="7:13" x14ac:dyDescent="0.3">
      <c r="G78" s="78" t="s">
        <v>1166</v>
      </c>
      <c r="H78" s="77">
        <v>1</v>
      </c>
      <c r="J78" s="77">
        <v>1</v>
      </c>
      <c r="L78" s="77">
        <v>1</v>
      </c>
      <c r="M78" s="146">
        <v>3</v>
      </c>
    </row>
    <row r="79" spans="7:13" x14ac:dyDescent="0.3">
      <c r="G79" s="78" t="s">
        <v>1167</v>
      </c>
      <c r="J79" s="77">
        <v>2</v>
      </c>
      <c r="K79" s="77">
        <v>1</v>
      </c>
      <c r="L79" s="77">
        <v>1</v>
      </c>
      <c r="M79" s="146">
        <v>4</v>
      </c>
    </row>
    <row r="80" spans="7:13" x14ac:dyDescent="0.3">
      <c r="G80" s="78" t="s">
        <v>1168</v>
      </c>
      <c r="J80" s="77">
        <v>2</v>
      </c>
      <c r="M80" s="146">
        <v>2</v>
      </c>
    </row>
    <row r="81" spans="7:13" x14ac:dyDescent="0.3">
      <c r="G81" s="78" t="s">
        <v>1169</v>
      </c>
      <c r="K81" s="77">
        <v>1</v>
      </c>
      <c r="L81" s="77">
        <v>2</v>
      </c>
      <c r="M81" s="146">
        <v>3</v>
      </c>
    </row>
    <row r="82" spans="7:13" x14ac:dyDescent="0.3">
      <c r="G82" s="78" t="s">
        <v>1170</v>
      </c>
      <c r="K82" s="77">
        <v>1</v>
      </c>
      <c r="L82" s="77">
        <v>1</v>
      </c>
      <c r="M82" s="146">
        <v>2</v>
      </c>
    </row>
    <row r="83" spans="7:13" x14ac:dyDescent="0.3">
      <c r="G83" s="78" t="s">
        <v>1171</v>
      </c>
      <c r="L83" s="77">
        <v>1</v>
      </c>
      <c r="M83" s="146">
        <v>1</v>
      </c>
    </row>
    <row r="84" spans="7:13" x14ac:dyDescent="0.3">
      <c r="G84" s="78" t="s">
        <v>1172</v>
      </c>
      <c r="H84" s="77">
        <v>2</v>
      </c>
      <c r="K84" s="77">
        <v>8</v>
      </c>
      <c r="M84" s="146">
        <v>10</v>
      </c>
    </row>
    <row r="85" spans="7:13" x14ac:dyDescent="0.3">
      <c r="G85" s="78" t="s">
        <v>1173</v>
      </c>
      <c r="H85" s="77">
        <v>2</v>
      </c>
      <c r="K85" s="77">
        <v>1</v>
      </c>
      <c r="M85" s="146">
        <v>3</v>
      </c>
    </row>
    <row r="86" spans="7:13" x14ac:dyDescent="0.3">
      <c r="G86" s="78" t="s">
        <v>1174</v>
      </c>
      <c r="J86" s="77">
        <v>47</v>
      </c>
      <c r="K86" s="77">
        <v>44</v>
      </c>
      <c r="L86" s="77">
        <v>7</v>
      </c>
      <c r="M86" s="146">
        <v>98</v>
      </c>
    </row>
    <row r="87" spans="7:13" x14ac:dyDescent="0.3">
      <c r="G87" s="78" t="s">
        <v>1175</v>
      </c>
      <c r="J87" s="77">
        <v>2</v>
      </c>
      <c r="M87" s="146">
        <v>2</v>
      </c>
    </row>
    <row r="88" spans="7:13" x14ac:dyDescent="0.3">
      <c r="G88" s="78" t="s">
        <v>1176</v>
      </c>
      <c r="J88" s="77">
        <v>1</v>
      </c>
      <c r="M88" s="146">
        <v>1</v>
      </c>
    </row>
    <row r="89" spans="7:13" x14ac:dyDescent="0.3">
      <c r="G89" s="78" t="s">
        <v>1177</v>
      </c>
      <c r="L89" s="77">
        <v>1</v>
      </c>
      <c r="M89" s="146">
        <v>1</v>
      </c>
    </row>
    <row r="90" spans="7:13" x14ac:dyDescent="0.3">
      <c r="G90" s="78" t="s">
        <v>1178</v>
      </c>
      <c r="L90" s="77">
        <v>1</v>
      </c>
      <c r="M90" s="146">
        <v>1</v>
      </c>
    </row>
    <row r="91" spans="7:13" x14ac:dyDescent="0.3">
      <c r="G91" s="78" t="s">
        <v>1053</v>
      </c>
      <c r="K91" s="77">
        <v>6</v>
      </c>
      <c r="L91" s="77">
        <v>2</v>
      </c>
      <c r="M91" s="146">
        <v>8</v>
      </c>
    </row>
    <row r="92" spans="7:13" x14ac:dyDescent="0.3">
      <c r="G92" s="78" t="s">
        <v>1179</v>
      </c>
      <c r="H92" s="77">
        <v>2</v>
      </c>
      <c r="I92" s="77">
        <v>2</v>
      </c>
      <c r="J92" s="77">
        <v>1</v>
      </c>
      <c r="M92" s="146">
        <v>5</v>
      </c>
    </row>
    <row r="93" spans="7:13" x14ac:dyDescent="0.3">
      <c r="G93" s="78" t="s">
        <v>1180</v>
      </c>
      <c r="H93" s="77">
        <v>3</v>
      </c>
      <c r="J93" s="77">
        <v>4</v>
      </c>
      <c r="K93" s="77">
        <v>5</v>
      </c>
      <c r="M93" s="146">
        <v>12</v>
      </c>
    </row>
    <row r="94" spans="7:13" x14ac:dyDescent="0.3">
      <c r="G94" s="78" t="s">
        <v>1181</v>
      </c>
      <c r="K94" s="77">
        <v>3</v>
      </c>
      <c r="L94" s="77">
        <v>1</v>
      </c>
      <c r="M94" s="146">
        <v>4</v>
      </c>
    </row>
    <row r="95" spans="7:13" x14ac:dyDescent="0.3">
      <c r="G95" s="78" t="s">
        <v>1182</v>
      </c>
      <c r="K95" s="77">
        <v>2</v>
      </c>
      <c r="M95" s="146">
        <v>2</v>
      </c>
    </row>
    <row r="96" spans="7:13" x14ac:dyDescent="0.3">
      <c r="G96" s="78" t="s">
        <v>1183</v>
      </c>
      <c r="K96" s="77">
        <v>1</v>
      </c>
      <c r="M96" s="146">
        <v>1</v>
      </c>
    </row>
    <row r="97" spans="7:13" x14ac:dyDescent="0.3">
      <c r="G97" s="78" t="s">
        <v>1184</v>
      </c>
      <c r="J97" s="77">
        <v>2</v>
      </c>
      <c r="M97" s="146">
        <v>2</v>
      </c>
    </row>
    <row r="98" spans="7:13" x14ac:dyDescent="0.3">
      <c r="G98" s="78" t="s">
        <v>1185</v>
      </c>
      <c r="J98" s="77">
        <v>1</v>
      </c>
      <c r="M98" s="146">
        <v>1</v>
      </c>
    </row>
    <row r="99" spans="7:13" x14ac:dyDescent="0.3">
      <c r="G99" s="78" t="s">
        <v>1186</v>
      </c>
      <c r="H99" s="77">
        <v>2</v>
      </c>
      <c r="J99" s="77">
        <v>2</v>
      </c>
      <c r="K99" s="77">
        <v>1</v>
      </c>
      <c r="L99" s="77">
        <v>1</v>
      </c>
      <c r="M99" s="146">
        <v>6</v>
      </c>
    </row>
    <row r="100" spans="7:13" x14ac:dyDescent="0.3">
      <c r="G100" s="78" t="s">
        <v>1187</v>
      </c>
      <c r="H100" s="77">
        <v>2</v>
      </c>
      <c r="K100" s="77">
        <v>4</v>
      </c>
      <c r="M100" s="146">
        <v>6</v>
      </c>
    </row>
    <row r="101" spans="7:13" x14ac:dyDescent="0.3">
      <c r="G101" s="78" t="s">
        <v>1188</v>
      </c>
      <c r="J101" s="77">
        <v>3</v>
      </c>
      <c r="L101" s="77">
        <v>1</v>
      </c>
      <c r="M101" s="146">
        <v>4</v>
      </c>
    </row>
    <row r="102" spans="7:13" x14ac:dyDescent="0.3">
      <c r="G102" s="78" t="s">
        <v>1189</v>
      </c>
      <c r="H102" s="77">
        <v>1</v>
      </c>
      <c r="M102" s="146">
        <v>1</v>
      </c>
    </row>
    <row r="103" spans="7:13" x14ac:dyDescent="0.3">
      <c r="G103" s="78" t="s">
        <v>1190</v>
      </c>
      <c r="I103" s="77">
        <v>1</v>
      </c>
      <c r="J103" s="77">
        <v>4</v>
      </c>
      <c r="M103" s="146">
        <v>5</v>
      </c>
    </row>
    <row r="104" spans="7:13" x14ac:dyDescent="0.3">
      <c r="G104" s="78" t="s">
        <v>1191</v>
      </c>
      <c r="I104" s="77">
        <v>1</v>
      </c>
      <c r="J104" s="77">
        <v>2</v>
      </c>
      <c r="K104" s="77">
        <v>1</v>
      </c>
      <c r="M104" s="146">
        <v>4</v>
      </c>
    </row>
    <row r="105" spans="7:13" x14ac:dyDescent="0.3">
      <c r="G105" s="78" t="s">
        <v>1192</v>
      </c>
      <c r="H105" s="77">
        <v>1</v>
      </c>
      <c r="J105" s="77">
        <v>1</v>
      </c>
      <c r="K105" s="77">
        <v>1</v>
      </c>
      <c r="M105" s="146">
        <v>3</v>
      </c>
    </row>
    <row r="106" spans="7:13" x14ac:dyDescent="0.3">
      <c r="G106" s="78" t="s">
        <v>1193</v>
      </c>
      <c r="I106" s="77">
        <v>1</v>
      </c>
      <c r="J106" s="77">
        <v>1</v>
      </c>
      <c r="M106" s="146">
        <v>2</v>
      </c>
    </row>
    <row r="107" spans="7:13" x14ac:dyDescent="0.3">
      <c r="G107" s="78" t="s">
        <v>1194</v>
      </c>
      <c r="H107" s="77">
        <v>1</v>
      </c>
      <c r="M107" s="146">
        <v>1</v>
      </c>
    </row>
    <row r="108" spans="7:13" x14ac:dyDescent="0.3">
      <c r="G108" s="78" t="s">
        <v>1195</v>
      </c>
      <c r="I108" s="77">
        <v>1</v>
      </c>
      <c r="M108" s="146">
        <v>1</v>
      </c>
    </row>
    <row r="109" spans="7:13" x14ac:dyDescent="0.3">
      <c r="G109" s="78" t="s">
        <v>1196</v>
      </c>
      <c r="I109" s="77">
        <v>2</v>
      </c>
      <c r="J109" s="77">
        <v>2</v>
      </c>
      <c r="M109" s="146">
        <v>4</v>
      </c>
    </row>
    <row r="110" spans="7:13" x14ac:dyDescent="0.3">
      <c r="G110" s="78" t="s">
        <v>1197</v>
      </c>
      <c r="K110" s="77">
        <v>1</v>
      </c>
      <c r="M110" s="146">
        <v>1</v>
      </c>
    </row>
    <row r="111" spans="7:13" x14ac:dyDescent="0.3">
      <c r="G111" s="78" t="s">
        <v>1198</v>
      </c>
      <c r="H111" s="77">
        <v>3</v>
      </c>
      <c r="M111" s="146">
        <v>3</v>
      </c>
    </row>
    <row r="112" spans="7:13" x14ac:dyDescent="0.3">
      <c r="G112" s="78" t="s">
        <v>1199</v>
      </c>
      <c r="H112" s="77">
        <v>1</v>
      </c>
      <c r="I112" s="77">
        <v>1</v>
      </c>
      <c r="M112" s="146">
        <v>2</v>
      </c>
    </row>
    <row r="113" spans="7:13" x14ac:dyDescent="0.3">
      <c r="G113" s="78" t="s">
        <v>1200</v>
      </c>
      <c r="H113" s="77">
        <v>2</v>
      </c>
      <c r="M113" s="146">
        <v>2</v>
      </c>
    </row>
    <row r="114" spans="7:13" x14ac:dyDescent="0.3">
      <c r="G114" s="78" t="s">
        <v>1201</v>
      </c>
      <c r="H114" s="77">
        <v>6</v>
      </c>
      <c r="M114" s="146">
        <v>6</v>
      </c>
    </row>
    <row r="115" spans="7:13" x14ac:dyDescent="0.3">
      <c r="G115" s="78" t="s">
        <v>1202</v>
      </c>
      <c r="H115" s="77">
        <v>2</v>
      </c>
      <c r="I115" s="77">
        <v>1</v>
      </c>
      <c r="J115" s="77">
        <v>1</v>
      </c>
      <c r="M115" s="146">
        <v>4</v>
      </c>
    </row>
    <row r="116" spans="7:13" x14ac:dyDescent="0.3">
      <c r="G116" s="78" t="s">
        <v>1203</v>
      </c>
      <c r="K116" s="77">
        <v>1</v>
      </c>
      <c r="L116" s="77">
        <v>1</v>
      </c>
      <c r="M116" s="146">
        <v>2</v>
      </c>
    </row>
    <row r="117" spans="7:13" x14ac:dyDescent="0.3">
      <c r="G117" s="78" t="s">
        <v>1204</v>
      </c>
      <c r="H117" s="77">
        <v>1</v>
      </c>
      <c r="I117" s="77">
        <v>1</v>
      </c>
      <c r="M117" s="146">
        <v>2</v>
      </c>
    </row>
    <row r="118" spans="7:13" x14ac:dyDescent="0.3">
      <c r="G118" s="78" t="s">
        <v>1205</v>
      </c>
      <c r="J118" s="77">
        <v>2</v>
      </c>
      <c r="K118" s="77">
        <v>1</v>
      </c>
      <c r="L118" s="77">
        <v>1</v>
      </c>
      <c r="M118" s="146">
        <v>4</v>
      </c>
    </row>
    <row r="119" spans="7:13" x14ac:dyDescent="0.3">
      <c r="G119" s="78" t="s">
        <v>1206</v>
      </c>
      <c r="J119" s="77">
        <v>2</v>
      </c>
      <c r="M119" s="146">
        <v>2</v>
      </c>
    </row>
    <row r="120" spans="7:13" x14ac:dyDescent="0.3">
      <c r="G120" s="78" t="s">
        <v>1207</v>
      </c>
      <c r="L120" s="77">
        <v>1</v>
      </c>
      <c r="M120" s="146">
        <v>1</v>
      </c>
    </row>
    <row r="121" spans="7:13" x14ac:dyDescent="0.3">
      <c r="G121" s="78" t="s">
        <v>1208</v>
      </c>
      <c r="J121" s="77">
        <v>1</v>
      </c>
      <c r="K121" s="77">
        <v>2</v>
      </c>
      <c r="M121" s="146">
        <v>3</v>
      </c>
    </row>
    <row r="122" spans="7:13" x14ac:dyDescent="0.3">
      <c r="G122" s="78" t="s">
        <v>1209</v>
      </c>
      <c r="H122" s="77">
        <v>1</v>
      </c>
      <c r="I122" s="77">
        <v>1</v>
      </c>
      <c r="J122" s="77">
        <v>3</v>
      </c>
      <c r="K122" s="77">
        <v>3</v>
      </c>
      <c r="M122" s="146">
        <v>8</v>
      </c>
    </row>
    <row r="123" spans="7:13" x14ac:dyDescent="0.3">
      <c r="G123" s="78" t="s">
        <v>1210</v>
      </c>
      <c r="H123" s="77">
        <v>7</v>
      </c>
      <c r="J123" s="77">
        <v>2</v>
      </c>
      <c r="M123" s="146">
        <v>9</v>
      </c>
    </row>
    <row r="124" spans="7:13" x14ac:dyDescent="0.3">
      <c r="G124" s="78" t="s">
        <v>684</v>
      </c>
      <c r="H124" s="77">
        <v>198</v>
      </c>
      <c r="I124" s="77">
        <v>102</v>
      </c>
      <c r="J124" s="77">
        <v>312</v>
      </c>
      <c r="K124" s="77">
        <v>543</v>
      </c>
      <c r="L124" s="77">
        <v>288</v>
      </c>
      <c r="M124" s="146">
        <v>1443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>
    <pageSetUpPr fitToPage="1"/>
  </sheetPr>
  <dimension ref="A1:S486"/>
  <sheetViews>
    <sheetView zoomScale="85" zoomScaleNormal="85" workbookViewId="0">
      <selection activeCell="L4" sqref="L4"/>
    </sheetView>
  </sheetViews>
  <sheetFormatPr baseColWidth="10" defaultColWidth="11.33203125" defaultRowHeight="18" x14ac:dyDescent="0.3"/>
  <cols>
    <col min="1" max="1" width="7.44140625" style="86" bestFit="1" customWidth="1"/>
    <col min="2" max="2" width="14.33203125" style="86" bestFit="1" customWidth="1"/>
    <col min="3" max="3" width="26.109375" style="86" customWidth="1"/>
    <col min="4" max="4" width="20.33203125" style="143" customWidth="1"/>
    <col min="5" max="5" width="16.6640625" style="143" bestFit="1" customWidth="1"/>
    <col min="6" max="6" width="13.33203125" style="144" bestFit="1" customWidth="1"/>
    <col min="7" max="7" width="15.5546875" style="144" bestFit="1" customWidth="1"/>
    <col min="8" max="8" width="13.21875" style="433" bestFit="1" customWidth="1"/>
    <col min="9" max="9" width="13" style="95" bestFit="1" customWidth="1"/>
    <col min="10" max="10" width="15.5546875" style="86" bestFit="1" customWidth="1"/>
    <col min="11" max="11" width="12.88671875" style="86" bestFit="1" customWidth="1"/>
    <col min="12" max="12" width="12.88671875" style="86" customWidth="1"/>
    <col min="13" max="15" width="11.33203125" style="86" customWidth="1"/>
    <col min="16" max="16384" width="11.33203125" style="86"/>
  </cols>
  <sheetData>
    <row r="1" spans="1:19" s="97" customFormat="1" ht="24.75" customHeight="1" thickBot="1" x14ac:dyDescent="0.35">
      <c r="A1" s="820" t="s">
        <v>1211</v>
      </c>
      <c r="B1" s="802"/>
      <c r="C1" s="802"/>
      <c r="D1" s="802"/>
      <c r="E1" s="802"/>
      <c r="F1" s="802"/>
      <c r="G1" s="802"/>
      <c r="H1" s="430"/>
      <c r="I1" s="193"/>
      <c r="J1" s="105"/>
    </row>
    <row r="2" spans="1:19" s="426" customFormat="1" ht="29.4" customHeight="1" thickBot="1" x14ac:dyDescent="0.35">
      <c r="A2" s="419"/>
      <c r="B2" s="420"/>
      <c r="C2" s="421" t="s">
        <v>1212</v>
      </c>
      <c r="D2" s="422">
        <f>SUMPRODUCT(G5:G7779,D5:D7779)</f>
        <v>0</v>
      </c>
      <c r="E2" s="423">
        <f>SUMPRODUCT(G5:G7779,E5:E7779)</f>
        <v>0</v>
      </c>
      <c r="F2" s="423">
        <f>SUM(F5:F20000)</f>
        <v>0</v>
      </c>
      <c r="G2" s="423">
        <f>SUM(G5:G20000)</f>
        <v>0</v>
      </c>
      <c r="H2" s="429">
        <f>SUMPRODUCT(G5:G7779,H5:H7779)</f>
        <v>0</v>
      </c>
      <c r="I2" s="424"/>
      <c r="J2" s="425"/>
      <c r="L2" s="427" t="s">
        <v>1213</v>
      </c>
      <c r="P2" s="428" t="s">
        <v>1214</v>
      </c>
      <c r="S2" s="427" t="s">
        <v>1215</v>
      </c>
    </row>
    <row r="3" spans="1:19" s="96" customFormat="1" ht="19.5" customHeight="1" thickBot="1" x14ac:dyDescent="0.35">
      <c r="A3" s="819" t="s">
        <v>1216</v>
      </c>
      <c r="B3" s="788"/>
      <c r="C3" s="788"/>
      <c r="D3" s="192" t="s">
        <v>1217</v>
      </c>
      <c r="E3" s="326"/>
      <c r="F3" s="327" t="s">
        <v>1218</v>
      </c>
      <c r="G3" s="328"/>
      <c r="H3" s="431">
        <f>SUM(H5:H6000)</f>
        <v>0</v>
      </c>
      <c r="J3" s="219" t="s">
        <v>1219</v>
      </c>
      <c r="K3" s="219" t="s">
        <v>836</v>
      </c>
      <c r="L3" s="219" t="s">
        <v>585</v>
      </c>
      <c r="M3" s="219"/>
    </row>
    <row r="4" spans="1:19" ht="18.45" customHeight="1" thickBot="1" x14ac:dyDescent="0.35">
      <c r="A4" s="345" t="s">
        <v>674</v>
      </c>
      <c r="B4" s="346" t="s">
        <v>687</v>
      </c>
      <c r="C4" s="347" t="s">
        <v>688</v>
      </c>
      <c r="D4" s="348" t="s">
        <v>1217</v>
      </c>
      <c r="E4" s="363" t="s">
        <v>1220</v>
      </c>
      <c r="F4" s="364" t="s">
        <v>1221</v>
      </c>
      <c r="G4" s="349" t="s">
        <v>1222</v>
      </c>
      <c r="H4" s="432" t="s">
        <v>1223</v>
      </c>
      <c r="I4" s="365" t="s">
        <v>1224</v>
      </c>
      <c r="J4" s="216">
        <f>SUMPRODUCT(G5:G7779,H5:H7779)</f>
        <v>0</v>
      </c>
      <c r="K4" s="216">
        <f>balance!O19</f>
        <v>16963182</v>
      </c>
      <c r="L4" s="216">
        <f>J4-K4</f>
        <v>-16963182</v>
      </c>
      <c r="M4" s="324"/>
      <c r="N4" s="98"/>
    </row>
    <row r="5" spans="1:19" ht="14.25" customHeight="1" x14ac:dyDescent="0.3">
      <c r="H5" s="227"/>
      <c r="I5" s="152"/>
      <c r="K5" s="324"/>
      <c r="L5" s="324"/>
      <c r="N5" s="324"/>
      <c r="O5" s="325"/>
    </row>
    <row r="6" spans="1:19" ht="14.25" customHeight="1" x14ac:dyDescent="0.3">
      <c r="H6" s="705"/>
      <c r="I6" s="706"/>
    </row>
    <row r="7" spans="1:19" ht="14.25" customHeight="1" x14ac:dyDescent="0.3">
      <c r="H7" s="227"/>
      <c r="I7" s="152"/>
    </row>
    <row r="8" spans="1:19" ht="14.25" customHeight="1" x14ac:dyDescent="0.3">
      <c r="H8" s="707"/>
      <c r="I8" s="708"/>
      <c r="K8" s="324"/>
    </row>
    <row r="9" spans="1:19" ht="14.25" customHeight="1" x14ac:dyDescent="0.3">
      <c r="H9" s="227"/>
      <c r="I9" s="152"/>
    </row>
    <row r="10" spans="1:19" ht="14.25" customHeight="1" x14ac:dyDescent="0.3">
      <c r="H10" s="707"/>
      <c r="I10" s="708"/>
    </row>
    <row r="11" spans="1:19" ht="14.25" customHeight="1" x14ac:dyDescent="0.3">
      <c r="H11" s="227">
        <f t="shared" ref="H11:H74" si="0">D11-E11-F11</f>
        <v>0</v>
      </c>
      <c r="I11" s="152"/>
    </row>
    <row r="12" spans="1:19" ht="14.25" customHeight="1" x14ac:dyDescent="0.3">
      <c r="H12" s="707">
        <f t="shared" si="0"/>
        <v>0</v>
      </c>
      <c r="I12" s="708"/>
      <c r="J12" s="324"/>
    </row>
    <row r="13" spans="1:19" ht="14.25" customHeight="1" x14ac:dyDescent="0.3">
      <c r="H13" s="147">
        <f t="shared" si="0"/>
        <v>0</v>
      </c>
      <c r="I13" s="152">
        <f>E15+Tabla1[[#This Row],[Vendidos]]-Tabla1[[#This Row],[Stock]]-H15</f>
        <v>0</v>
      </c>
    </row>
    <row r="14" spans="1:19" ht="14.25" customHeight="1" x14ac:dyDescent="0.3">
      <c r="H14" s="709">
        <f t="shared" si="0"/>
        <v>0</v>
      </c>
      <c r="I14" s="706">
        <f>E16+Tabla1[[#This Row],[Vendidos]]-Tabla1[[#This Row],[Stock]]-H16</f>
        <v>0</v>
      </c>
    </row>
    <row r="15" spans="1:19" ht="14.25" customHeight="1" x14ac:dyDescent="0.3">
      <c r="H15" s="147">
        <f t="shared" si="0"/>
        <v>0</v>
      </c>
      <c r="I15" s="152">
        <f>E17+Tabla1[[#This Row],[Vendidos]]-Tabla1[[#This Row],[Stock]]-H17</f>
        <v>0</v>
      </c>
    </row>
    <row r="16" spans="1:19" ht="14.25" customHeight="1" x14ac:dyDescent="0.3">
      <c r="H16" s="709">
        <f t="shared" si="0"/>
        <v>0</v>
      </c>
      <c r="I16" s="706">
        <f>E18+Tabla1[[#This Row],[Vendidos]]-Tabla1[[#This Row],[Stock]]-H18</f>
        <v>0</v>
      </c>
    </row>
    <row r="17" spans="8:9" ht="14.25" customHeight="1" x14ac:dyDescent="0.3">
      <c r="H17" s="433">
        <f t="shared" si="0"/>
        <v>0</v>
      </c>
      <c r="I17" s="95">
        <f>E19+Tabla1[[#This Row],[Vendidos]]-Tabla1[[#This Row],[Stock]]-H19</f>
        <v>0</v>
      </c>
    </row>
    <row r="18" spans="8:9" ht="14.25" customHeight="1" x14ac:dyDescent="0.3">
      <c r="H18" s="710">
        <f t="shared" si="0"/>
        <v>0</v>
      </c>
      <c r="I18" s="708">
        <f>E20+Tabla1[[#This Row],[Vendidos]]-Tabla1[[#This Row],[Stock]]-H20</f>
        <v>0</v>
      </c>
    </row>
    <row r="19" spans="8:9" ht="14.25" customHeight="1" x14ac:dyDescent="0.3">
      <c r="H19" s="147">
        <f t="shared" si="0"/>
        <v>0</v>
      </c>
      <c r="I19" s="152">
        <f>E21+Tabla1[[#This Row],[Vendidos]]-Tabla1[[#This Row],[Stock]]-H21</f>
        <v>0</v>
      </c>
    </row>
    <row r="20" spans="8:9" ht="14.25" customHeight="1" x14ac:dyDescent="0.3">
      <c r="H20" s="710">
        <f t="shared" si="0"/>
        <v>0</v>
      </c>
      <c r="I20" s="708">
        <f>E22+Tabla1[[#This Row],[Vendidos]]-Tabla1[[#This Row],[Stock]]-H22</f>
        <v>0</v>
      </c>
    </row>
    <row r="21" spans="8:9" ht="14.25" customHeight="1" x14ac:dyDescent="0.3">
      <c r="H21" s="433">
        <f t="shared" si="0"/>
        <v>0</v>
      </c>
      <c r="I21" s="95">
        <f>E23+Tabla1[[#This Row],[Vendidos]]-Tabla1[[#This Row],[Stock]]-H23</f>
        <v>0</v>
      </c>
    </row>
    <row r="22" spans="8:9" ht="14.25" customHeight="1" x14ac:dyDescent="0.3">
      <c r="H22" s="710">
        <f t="shared" si="0"/>
        <v>0</v>
      </c>
      <c r="I22" s="708">
        <f>E24+Tabla1[[#This Row],[Vendidos]]-Tabla1[[#This Row],[Stock]]-H24</f>
        <v>0</v>
      </c>
    </row>
    <row r="23" spans="8:9" ht="14.25" customHeight="1" x14ac:dyDescent="0.3">
      <c r="H23" s="147">
        <f t="shared" si="0"/>
        <v>0</v>
      </c>
      <c r="I23" s="152">
        <f>E25+Tabla1[[#This Row],[Vendidos]]-Tabla1[[#This Row],[Stock]]-H25</f>
        <v>0</v>
      </c>
    </row>
    <row r="24" spans="8:9" ht="14.25" customHeight="1" x14ac:dyDescent="0.3">
      <c r="H24" s="710">
        <f t="shared" si="0"/>
        <v>0</v>
      </c>
      <c r="I24" s="708">
        <f>E26+Tabla1[[#This Row],[Vendidos]]-Tabla1[[#This Row],[Stock]]-H26</f>
        <v>0</v>
      </c>
    </row>
    <row r="25" spans="8:9" ht="14.25" customHeight="1" x14ac:dyDescent="0.3">
      <c r="H25" s="147">
        <f t="shared" si="0"/>
        <v>0</v>
      </c>
      <c r="I25" s="152">
        <f>E27+Tabla1[[#This Row],[Vendidos]]-Tabla1[[#This Row],[Stock]]-H27</f>
        <v>0</v>
      </c>
    </row>
    <row r="26" spans="8:9" ht="14.25" customHeight="1" x14ac:dyDescent="0.3">
      <c r="H26" s="710">
        <f t="shared" si="0"/>
        <v>0</v>
      </c>
      <c r="I26" s="708">
        <f>E28+Tabla1[[#This Row],[Vendidos]]-Tabla1[[#This Row],[Stock]]-H28</f>
        <v>0</v>
      </c>
    </row>
    <row r="27" spans="8:9" ht="14.25" customHeight="1" x14ac:dyDescent="0.3">
      <c r="H27" s="147">
        <f t="shared" si="0"/>
        <v>0</v>
      </c>
      <c r="I27" s="152">
        <f>E29+Tabla1[[#This Row],[Vendidos]]-Tabla1[[#This Row],[Stock]]-H29</f>
        <v>0</v>
      </c>
    </row>
    <row r="28" spans="8:9" ht="14.25" customHeight="1" x14ac:dyDescent="0.3">
      <c r="H28" s="710">
        <f t="shared" si="0"/>
        <v>0</v>
      </c>
      <c r="I28" s="708">
        <f>E30+Tabla1[[#This Row],[Vendidos]]-Tabla1[[#This Row],[Stock]]-H30</f>
        <v>0</v>
      </c>
    </row>
    <row r="29" spans="8:9" ht="14.25" customHeight="1" x14ac:dyDescent="0.3">
      <c r="H29" s="147">
        <f t="shared" si="0"/>
        <v>0</v>
      </c>
      <c r="I29" s="152">
        <f>E31+Tabla1[[#This Row],[Vendidos]]-Tabla1[[#This Row],[Stock]]-H31</f>
        <v>0</v>
      </c>
    </row>
    <row r="30" spans="8:9" ht="14.25" customHeight="1" x14ac:dyDescent="0.3">
      <c r="H30" s="710">
        <f t="shared" si="0"/>
        <v>0</v>
      </c>
      <c r="I30" s="708">
        <f>E32+Tabla1[[#This Row],[Vendidos]]-Tabla1[[#This Row],[Stock]]-H32</f>
        <v>0</v>
      </c>
    </row>
    <row r="31" spans="8:9" ht="14.25" customHeight="1" x14ac:dyDescent="0.3">
      <c r="H31" s="147">
        <f t="shared" si="0"/>
        <v>0</v>
      </c>
      <c r="I31" s="152">
        <f>E33+Tabla1[[#This Row],[Vendidos]]-Tabla1[[#This Row],[Stock]]-H33</f>
        <v>0</v>
      </c>
    </row>
    <row r="32" spans="8:9" ht="14.25" customHeight="1" x14ac:dyDescent="0.3">
      <c r="H32" s="710">
        <f t="shared" si="0"/>
        <v>0</v>
      </c>
      <c r="I32" s="708">
        <f>E34+Tabla1[[#This Row],[Vendidos]]-Tabla1[[#This Row],[Stock]]-H34</f>
        <v>0</v>
      </c>
    </row>
    <row r="33" spans="8:9" ht="14.25" customHeight="1" x14ac:dyDescent="0.3">
      <c r="H33" s="147">
        <f t="shared" si="0"/>
        <v>0</v>
      </c>
      <c r="I33" s="152">
        <f>E35+Tabla1[[#This Row],[Vendidos]]-Tabla1[[#This Row],[Stock]]-H35</f>
        <v>0</v>
      </c>
    </row>
    <row r="34" spans="8:9" ht="14.25" customHeight="1" x14ac:dyDescent="0.3">
      <c r="H34" s="710">
        <f t="shared" si="0"/>
        <v>0</v>
      </c>
      <c r="I34" s="708">
        <f>E36+Tabla1[[#This Row],[Vendidos]]-Tabla1[[#This Row],[Stock]]-H36</f>
        <v>0</v>
      </c>
    </row>
    <row r="35" spans="8:9" ht="14.25" customHeight="1" x14ac:dyDescent="0.3">
      <c r="H35" s="147">
        <f t="shared" si="0"/>
        <v>0</v>
      </c>
      <c r="I35" s="152">
        <f>E37+Tabla1[[#This Row],[Vendidos]]-Tabla1[[#This Row],[Stock]]-H37</f>
        <v>0</v>
      </c>
    </row>
    <row r="36" spans="8:9" ht="14.25" customHeight="1" x14ac:dyDescent="0.3">
      <c r="H36" s="710">
        <f t="shared" si="0"/>
        <v>0</v>
      </c>
      <c r="I36" s="708">
        <f>E38+Tabla1[[#This Row],[Vendidos]]-Tabla1[[#This Row],[Stock]]-H38</f>
        <v>0</v>
      </c>
    </row>
    <row r="37" spans="8:9" ht="14.25" customHeight="1" x14ac:dyDescent="0.3">
      <c r="H37" s="147">
        <f t="shared" si="0"/>
        <v>0</v>
      </c>
      <c r="I37" s="152">
        <f>E39+Tabla1[[#This Row],[Vendidos]]-Tabla1[[#This Row],[Stock]]-H39</f>
        <v>0</v>
      </c>
    </row>
    <row r="38" spans="8:9" ht="14.25" customHeight="1" x14ac:dyDescent="0.3">
      <c r="H38" s="710">
        <f t="shared" si="0"/>
        <v>0</v>
      </c>
      <c r="I38" s="708">
        <f>E40+Tabla1[[#This Row],[Vendidos]]-Tabla1[[#This Row],[Stock]]-H40</f>
        <v>0</v>
      </c>
    </row>
    <row r="39" spans="8:9" ht="14.25" customHeight="1" x14ac:dyDescent="0.3">
      <c r="H39" s="147">
        <f t="shared" si="0"/>
        <v>0</v>
      </c>
      <c r="I39" s="152">
        <f>E41+Tabla1[[#This Row],[Vendidos]]-Tabla1[[#This Row],[Stock]]-H41</f>
        <v>0</v>
      </c>
    </row>
    <row r="40" spans="8:9" ht="14.25" customHeight="1" x14ac:dyDescent="0.3">
      <c r="H40" s="710">
        <f t="shared" si="0"/>
        <v>0</v>
      </c>
      <c r="I40" s="708">
        <f>E42+Tabla1[[#This Row],[Vendidos]]-Tabla1[[#This Row],[Stock]]-H42</f>
        <v>0</v>
      </c>
    </row>
    <row r="41" spans="8:9" ht="14.25" customHeight="1" x14ac:dyDescent="0.3">
      <c r="H41" s="147">
        <f t="shared" si="0"/>
        <v>0</v>
      </c>
      <c r="I41" s="152">
        <f>E43+Tabla1[[#This Row],[Vendidos]]-Tabla1[[#This Row],[Stock]]-H43</f>
        <v>0</v>
      </c>
    </row>
    <row r="42" spans="8:9" ht="14.25" customHeight="1" x14ac:dyDescent="0.3">
      <c r="H42" s="710">
        <f t="shared" si="0"/>
        <v>0</v>
      </c>
      <c r="I42" s="708">
        <f>E44+Tabla1[[#This Row],[Vendidos]]-Tabla1[[#This Row],[Stock]]-H44</f>
        <v>0</v>
      </c>
    </row>
    <row r="43" spans="8:9" ht="14.25" customHeight="1" x14ac:dyDescent="0.3">
      <c r="H43" s="433">
        <f t="shared" si="0"/>
        <v>0</v>
      </c>
      <c r="I43" s="95">
        <f>E45+Tabla1[[#This Row],[Vendidos]]-Tabla1[[#This Row],[Stock]]-H45</f>
        <v>0</v>
      </c>
    </row>
    <row r="44" spans="8:9" ht="14.25" customHeight="1" x14ac:dyDescent="0.3">
      <c r="H44" s="710">
        <f t="shared" si="0"/>
        <v>0</v>
      </c>
      <c r="I44" s="708">
        <f>E46+Tabla1[[#This Row],[Vendidos]]-Tabla1[[#This Row],[Stock]]-H46</f>
        <v>0</v>
      </c>
    </row>
    <row r="45" spans="8:9" ht="14.25" customHeight="1" x14ac:dyDescent="0.3">
      <c r="H45" s="147">
        <f t="shared" si="0"/>
        <v>0</v>
      </c>
      <c r="I45" s="152">
        <f>E47+Tabla1[[#This Row],[Vendidos]]-Tabla1[[#This Row],[Stock]]-H47</f>
        <v>0</v>
      </c>
    </row>
    <row r="46" spans="8:9" ht="14.25" customHeight="1" x14ac:dyDescent="0.3">
      <c r="H46" s="710">
        <f t="shared" si="0"/>
        <v>0</v>
      </c>
      <c r="I46" s="708">
        <f>E48+Tabla1[[#This Row],[Vendidos]]-Tabla1[[#This Row],[Stock]]-H48</f>
        <v>0</v>
      </c>
    </row>
    <row r="47" spans="8:9" ht="14.25" customHeight="1" x14ac:dyDescent="0.3">
      <c r="H47" s="147">
        <f t="shared" si="0"/>
        <v>0</v>
      </c>
      <c r="I47" s="152">
        <f>E49+Tabla1[[#This Row],[Vendidos]]-Tabla1[[#This Row],[Stock]]-H49</f>
        <v>0</v>
      </c>
    </row>
    <row r="48" spans="8:9" ht="14.25" customHeight="1" x14ac:dyDescent="0.3">
      <c r="H48" s="710">
        <f t="shared" si="0"/>
        <v>0</v>
      </c>
      <c r="I48" s="708">
        <f>E50+Tabla1[[#This Row],[Vendidos]]-Tabla1[[#This Row],[Stock]]-H50</f>
        <v>0</v>
      </c>
    </row>
    <row r="49" spans="8:9" ht="14.25" customHeight="1" x14ac:dyDescent="0.3">
      <c r="H49" s="147">
        <f t="shared" si="0"/>
        <v>0</v>
      </c>
      <c r="I49" s="152">
        <f>E51+Tabla1[[#This Row],[Vendidos]]-Tabla1[[#This Row],[Stock]]-H51</f>
        <v>0</v>
      </c>
    </row>
    <row r="50" spans="8:9" ht="14.25" customHeight="1" x14ac:dyDescent="0.3">
      <c r="H50" s="710">
        <f t="shared" si="0"/>
        <v>0</v>
      </c>
      <c r="I50" s="708">
        <f>E52+Tabla1[[#This Row],[Vendidos]]-Tabla1[[#This Row],[Stock]]-H52</f>
        <v>0</v>
      </c>
    </row>
    <row r="51" spans="8:9" ht="14.25" customHeight="1" x14ac:dyDescent="0.3">
      <c r="H51" s="147">
        <f t="shared" si="0"/>
        <v>0</v>
      </c>
      <c r="I51" s="152">
        <f>E53+Tabla1[[#This Row],[Vendidos]]-Tabla1[[#This Row],[Stock]]-H53</f>
        <v>0</v>
      </c>
    </row>
    <row r="52" spans="8:9" ht="14.25" customHeight="1" x14ac:dyDescent="0.3">
      <c r="H52" s="710">
        <f t="shared" si="0"/>
        <v>0</v>
      </c>
      <c r="I52" s="708">
        <f>E54+Tabla1[[#This Row],[Vendidos]]-Tabla1[[#This Row],[Stock]]-H54</f>
        <v>0</v>
      </c>
    </row>
    <row r="53" spans="8:9" ht="14.25" customHeight="1" x14ac:dyDescent="0.3">
      <c r="H53" s="147">
        <f t="shared" si="0"/>
        <v>0</v>
      </c>
      <c r="I53" s="152">
        <f>E55+Tabla1[[#This Row],[Vendidos]]-Tabla1[[#This Row],[Stock]]-H55</f>
        <v>0</v>
      </c>
    </row>
    <row r="54" spans="8:9" ht="14.25" customHeight="1" x14ac:dyDescent="0.3">
      <c r="H54" s="710">
        <f t="shared" si="0"/>
        <v>0</v>
      </c>
      <c r="I54" s="708">
        <f>E56+Tabla1[[#This Row],[Vendidos]]-Tabla1[[#This Row],[Stock]]-H56</f>
        <v>0</v>
      </c>
    </row>
    <row r="55" spans="8:9" ht="14.25" customHeight="1" x14ac:dyDescent="0.3">
      <c r="H55" s="147">
        <f t="shared" si="0"/>
        <v>0</v>
      </c>
      <c r="I55" s="152">
        <f>E57+Tabla1[[#This Row],[Vendidos]]-Tabla1[[#This Row],[Stock]]-H57</f>
        <v>0</v>
      </c>
    </row>
    <row r="56" spans="8:9" ht="14.25" customHeight="1" x14ac:dyDescent="0.3">
      <c r="H56" s="710">
        <f t="shared" si="0"/>
        <v>0</v>
      </c>
      <c r="I56" s="708">
        <f>E58+Tabla1[[#This Row],[Vendidos]]-Tabla1[[#This Row],[Stock]]-H58</f>
        <v>0</v>
      </c>
    </row>
    <row r="57" spans="8:9" ht="14.25" customHeight="1" x14ac:dyDescent="0.3">
      <c r="H57" s="147">
        <f t="shared" si="0"/>
        <v>0</v>
      </c>
      <c r="I57" s="152">
        <f>E59+Tabla1[[#This Row],[Vendidos]]-Tabla1[[#This Row],[Stock]]-H59</f>
        <v>0</v>
      </c>
    </row>
    <row r="58" spans="8:9" ht="14.25" customHeight="1" x14ac:dyDescent="0.3">
      <c r="H58" s="710">
        <f t="shared" si="0"/>
        <v>0</v>
      </c>
      <c r="I58" s="708">
        <f>E60+Tabla1[[#This Row],[Vendidos]]-Tabla1[[#This Row],[Stock]]-H60</f>
        <v>0</v>
      </c>
    </row>
    <row r="59" spans="8:9" ht="14.25" customHeight="1" x14ac:dyDescent="0.3">
      <c r="H59" s="147">
        <f t="shared" si="0"/>
        <v>0</v>
      </c>
      <c r="I59" s="152">
        <f>E61+Tabla1[[#This Row],[Vendidos]]-Tabla1[[#This Row],[Stock]]-H61</f>
        <v>0</v>
      </c>
    </row>
    <row r="60" spans="8:9" ht="14.25" customHeight="1" x14ac:dyDescent="0.3">
      <c r="H60" s="710">
        <f t="shared" si="0"/>
        <v>0</v>
      </c>
      <c r="I60" s="708">
        <f>E62+Tabla1[[#This Row],[Vendidos]]-Tabla1[[#This Row],[Stock]]-H62</f>
        <v>0</v>
      </c>
    </row>
    <row r="61" spans="8:9" ht="14.25" customHeight="1" x14ac:dyDescent="0.3">
      <c r="H61" s="147">
        <f t="shared" si="0"/>
        <v>0</v>
      </c>
      <c r="I61" s="152">
        <f>E63+Tabla1[[#This Row],[Vendidos]]-Tabla1[[#This Row],[Stock]]-H63</f>
        <v>0</v>
      </c>
    </row>
    <row r="62" spans="8:9" ht="14.25" customHeight="1" x14ac:dyDescent="0.3">
      <c r="H62" s="710">
        <f t="shared" si="0"/>
        <v>0</v>
      </c>
      <c r="I62" s="708">
        <f>E64+Tabla1[[#This Row],[Vendidos]]-Tabla1[[#This Row],[Stock]]-H64</f>
        <v>0</v>
      </c>
    </row>
    <row r="63" spans="8:9" ht="14.25" customHeight="1" x14ac:dyDescent="0.3">
      <c r="H63" s="147">
        <f t="shared" si="0"/>
        <v>0</v>
      </c>
      <c r="I63" s="152">
        <f>E65+Tabla1[[#This Row],[Vendidos]]-Tabla1[[#This Row],[Stock]]-H65</f>
        <v>0</v>
      </c>
    </row>
    <row r="64" spans="8:9" ht="14.25" customHeight="1" x14ac:dyDescent="0.3">
      <c r="H64" s="710">
        <f t="shared" si="0"/>
        <v>0</v>
      </c>
      <c r="I64" s="708">
        <f>E66+Tabla1[[#This Row],[Vendidos]]-Tabla1[[#This Row],[Stock]]-H66</f>
        <v>0</v>
      </c>
    </row>
    <row r="65" spans="8:9" ht="14.25" customHeight="1" x14ac:dyDescent="0.3">
      <c r="H65" s="147">
        <f t="shared" si="0"/>
        <v>0</v>
      </c>
      <c r="I65" s="152">
        <f>E67+Tabla1[[#This Row],[Vendidos]]-Tabla1[[#This Row],[Stock]]-H67</f>
        <v>0</v>
      </c>
    </row>
    <row r="66" spans="8:9" ht="14.25" customHeight="1" x14ac:dyDescent="0.3">
      <c r="H66" s="709">
        <f t="shared" si="0"/>
        <v>0</v>
      </c>
      <c r="I66" s="706">
        <f>E68+Tabla1[[#This Row],[Vendidos]]-Tabla1[[#This Row],[Stock]]-H68</f>
        <v>0</v>
      </c>
    </row>
    <row r="67" spans="8:9" ht="14.25" customHeight="1" x14ac:dyDescent="0.3">
      <c r="H67" s="433">
        <f t="shared" si="0"/>
        <v>0</v>
      </c>
      <c r="I67" s="95">
        <f>E69+Tabla1[[#This Row],[Vendidos]]-Tabla1[[#This Row],[Stock]]-H69</f>
        <v>0</v>
      </c>
    </row>
    <row r="68" spans="8:9" ht="14.25" customHeight="1" x14ac:dyDescent="0.3">
      <c r="H68" s="709">
        <f t="shared" si="0"/>
        <v>0</v>
      </c>
      <c r="I68" s="706">
        <f>E70+Tabla1[[#This Row],[Vendidos]]-Tabla1[[#This Row],[Stock]]-H70</f>
        <v>0</v>
      </c>
    </row>
    <row r="69" spans="8:9" ht="14.25" customHeight="1" x14ac:dyDescent="0.3">
      <c r="H69" s="433">
        <f t="shared" si="0"/>
        <v>0</v>
      </c>
      <c r="I69" s="95">
        <f>E71+Tabla1[[#This Row],[Vendidos]]-Tabla1[[#This Row],[Stock]]-H71</f>
        <v>0</v>
      </c>
    </row>
    <row r="70" spans="8:9" ht="14.25" customHeight="1" x14ac:dyDescent="0.3">
      <c r="H70" s="710">
        <f t="shared" si="0"/>
        <v>0</v>
      </c>
      <c r="I70" s="708">
        <f>E72+Tabla1[[#This Row],[Vendidos]]-Tabla1[[#This Row],[Stock]]-H72</f>
        <v>0</v>
      </c>
    </row>
    <row r="71" spans="8:9" ht="14.25" customHeight="1" x14ac:dyDescent="0.3">
      <c r="H71" s="147">
        <f t="shared" si="0"/>
        <v>0</v>
      </c>
      <c r="I71" s="152">
        <f>E73+Tabla1[[#This Row],[Vendidos]]-Tabla1[[#This Row],[Stock]]-H73</f>
        <v>0</v>
      </c>
    </row>
    <row r="72" spans="8:9" ht="14.25" customHeight="1" x14ac:dyDescent="0.3">
      <c r="H72" s="709">
        <f t="shared" si="0"/>
        <v>0</v>
      </c>
      <c r="I72" s="706">
        <f>E74+Tabla1[[#This Row],[Vendidos]]-Tabla1[[#This Row],[Stock]]-H74</f>
        <v>0</v>
      </c>
    </row>
    <row r="73" spans="8:9" ht="14.25" customHeight="1" x14ac:dyDescent="0.3">
      <c r="H73" s="147">
        <f t="shared" si="0"/>
        <v>0</v>
      </c>
      <c r="I73" s="152">
        <f>E75+Tabla1[[#This Row],[Vendidos]]-Tabla1[[#This Row],[Stock]]-H75</f>
        <v>0</v>
      </c>
    </row>
    <row r="74" spans="8:9" ht="14.25" customHeight="1" x14ac:dyDescent="0.3">
      <c r="H74" s="710">
        <f t="shared" si="0"/>
        <v>0</v>
      </c>
      <c r="I74" s="708">
        <f>E76+Tabla1[[#This Row],[Vendidos]]-Tabla1[[#This Row],[Stock]]-H76</f>
        <v>0</v>
      </c>
    </row>
    <row r="75" spans="8:9" ht="14.25" customHeight="1" x14ac:dyDescent="0.3">
      <c r="H75" s="147">
        <f t="shared" ref="H75:H138" si="1">D75-E75-F75</f>
        <v>0</v>
      </c>
      <c r="I75" s="152">
        <f>E77+Tabla1[[#This Row],[Vendidos]]-Tabla1[[#This Row],[Stock]]-H77</f>
        <v>0</v>
      </c>
    </row>
    <row r="76" spans="8:9" ht="14.25" customHeight="1" x14ac:dyDescent="0.3">
      <c r="H76" s="710">
        <f t="shared" si="1"/>
        <v>0</v>
      </c>
      <c r="I76" s="708">
        <f>E78+Tabla1[[#This Row],[Vendidos]]-Tabla1[[#This Row],[Stock]]-H78</f>
        <v>0</v>
      </c>
    </row>
    <row r="77" spans="8:9" ht="14.25" customHeight="1" x14ac:dyDescent="0.3">
      <c r="H77" s="147">
        <f t="shared" si="1"/>
        <v>0</v>
      </c>
      <c r="I77" s="152">
        <f>E79+Tabla1[[#This Row],[Vendidos]]-Tabla1[[#This Row],[Stock]]-H79</f>
        <v>0</v>
      </c>
    </row>
    <row r="78" spans="8:9" ht="14.25" customHeight="1" x14ac:dyDescent="0.3">
      <c r="H78" s="710">
        <f t="shared" si="1"/>
        <v>0</v>
      </c>
      <c r="I78" s="708">
        <f>E80+Tabla1[[#This Row],[Vendidos]]-Tabla1[[#This Row],[Stock]]-H80</f>
        <v>0</v>
      </c>
    </row>
    <row r="79" spans="8:9" ht="14.25" customHeight="1" x14ac:dyDescent="0.3">
      <c r="H79" s="147">
        <f t="shared" si="1"/>
        <v>0</v>
      </c>
      <c r="I79" s="152">
        <f>E81+Tabla1[[#This Row],[Vendidos]]-Tabla1[[#This Row],[Stock]]-H81</f>
        <v>0</v>
      </c>
    </row>
    <row r="80" spans="8:9" ht="14.25" customHeight="1" x14ac:dyDescent="0.3">
      <c r="H80" s="710">
        <f t="shared" si="1"/>
        <v>0</v>
      </c>
      <c r="I80" s="708">
        <f>E82+Tabla1[[#This Row],[Vendidos]]-Tabla1[[#This Row],[Stock]]-H82</f>
        <v>0</v>
      </c>
    </row>
    <row r="81" spans="8:9" ht="14.25" customHeight="1" x14ac:dyDescent="0.3">
      <c r="H81" s="147">
        <f t="shared" si="1"/>
        <v>0</v>
      </c>
      <c r="I81" s="152">
        <f>E83+Tabla1[[#This Row],[Vendidos]]-Tabla1[[#This Row],[Stock]]-H83</f>
        <v>0</v>
      </c>
    </row>
    <row r="82" spans="8:9" ht="14.25" customHeight="1" x14ac:dyDescent="0.3">
      <c r="H82" s="710">
        <f t="shared" si="1"/>
        <v>0</v>
      </c>
      <c r="I82" s="708">
        <f>E84+Tabla1[[#This Row],[Vendidos]]-Tabla1[[#This Row],[Stock]]-H84</f>
        <v>0</v>
      </c>
    </row>
    <row r="83" spans="8:9" ht="14.25" customHeight="1" x14ac:dyDescent="0.3">
      <c r="H83" s="433">
        <f t="shared" si="1"/>
        <v>0</v>
      </c>
      <c r="I83" s="95">
        <f>E85+Tabla1[[#This Row],[Vendidos]]-Tabla1[[#This Row],[Stock]]-H85</f>
        <v>0</v>
      </c>
    </row>
    <row r="84" spans="8:9" ht="14.25" customHeight="1" x14ac:dyDescent="0.3">
      <c r="H84" s="710">
        <f t="shared" si="1"/>
        <v>0</v>
      </c>
      <c r="I84" s="708">
        <f>E86+Tabla1[[#This Row],[Vendidos]]-Tabla1[[#This Row],[Stock]]-H86</f>
        <v>0</v>
      </c>
    </row>
    <row r="85" spans="8:9" ht="14.25" customHeight="1" x14ac:dyDescent="0.3">
      <c r="H85" s="433">
        <f t="shared" si="1"/>
        <v>0</v>
      </c>
      <c r="I85" s="95">
        <f>E87+Tabla1[[#This Row],[Vendidos]]-Tabla1[[#This Row],[Stock]]-H87</f>
        <v>0</v>
      </c>
    </row>
    <row r="86" spans="8:9" ht="14.25" customHeight="1" x14ac:dyDescent="0.3">
      <c r="H86" s="709">
        <f t="shared" si="1"/>
        <v>0</v>
      </c>
      <c r="I86" s="706">
        <f>E88+Tabla1[[#This Row],[Vendidos]]-Tabla1[[#This Row],[Stock]]-H88</f>
        <v>0</v>
      </c>
    </row>
    <row r="87" spans="8:9" ht="14.25" customHeight="1" x14ac:dyDescent="0.3">
      <c r="H87" s="147">
        <f t="shared" si="1"/>
        <v>0</v>
      </c>
      <c r="I87" s="152">
        <f>E89+Tabla1[[#This Row],[Vendidos]]-Tabla1[[#This Row],[Stock]]-H89</f>
        <v>0</v>
      </c>
    </row>
    <row r="88" spans="8:9" ht="14.25" customHeight="1" x14ac:dyDescent="0.3">
      <c r="H88" s="710">
        <f t="shared" si="1"/>
        <v>0</v>
      </c>
      <c r="I88" s="708">
        <f>E90+Tabla1[[#This Row],[Vendidos]]-Tabla1[[#This Row],[Stock]]-H90</f>
        <v>0</v>
      </c>
    </row>
    <row r="89" spans="8:9" ht="14.25" customHeight="1" x14ac:dyDescent="0.3">
      <c r="H89" s="433">
        <f t="shared" si="1"/>
        <v>0</v>
      </c>
      <c r="I89" s="95">
        <f>E91+Tabla1[[#This Row],[Vendidos]]-Tabla1[[#This Row],[Stock]]-H91</f>
        <v>0</v>
      </c>
    </row>
    <row r="90" spans="8:9" ht="14.25" customHeight="1" x14ac:dyDescent="0.3">
      <c r="H90" s="710">
        <f t="shared" si="1"/>
        <v>0</v>
      </c>
      <c r="I90" s="708">
        <f>E92+Tabla1[[#This Row],[Vendidos]]-Tabla1[[#This Row],[Stock]]-H92</f>
        <v>0</v>
      </c>
    </row>
    <row r="91" spans="8:9" ht="14.25" customHeight="1" x14ac:dyDescent="0.3">
      <c r="H91" s="147">
        <f t="shared" si="1"/>
        <v>0</v>
      </c>
      <c r="I91" s="152">
        <f>E93+Tabla1[[#This Row],[Vendidos]]-Tabla1[[#This Row],[Stock]]-H93</f>
        <v>0</v>
      </c>
    </row>
    <row r="92" spans="8:9" ht="14.25" customHeight="1" x14ac:dyDescent="0.3">
      <c r="H92" s="710">
        <f t="shared" si="1"/>
        <v>0</v>
      </c>
      <c r="I92" s="708">
        <f>E94+Tabla1[[#This Row],[Vendidos]]-Tabla1[[#This Row],[Stock]]-H94</f>
        <v>0</v>
      </c>
    </row>
    <row r="93" spans="8:9" ht="14.25" customHeight="1" x14ac:dyDescent="0.3">
      <c r="H93" s="433">
        <f t="shared" si="1"/>
        <v>0</v>
      </c>
      <c r="I93" s="95">
        <f>E95+Tabla1[[#This Row],[Vendidos]]-Tabla1[[#This Row],[Stock]]-H95</f>
        <v>0</v>
      </c>
    </row>
    <row r="94" spans="8:9" ht="14.25" customHeight="1" x14ac:dyDescent="0.3">
      <c r="H94" s="709">
        <f t="shared" si="1"/>
        <v>0</v>
      </c>
      <c r="I94" s="706">
        <f>E96+Tabla1[[#This Row],[Vendidos]]-Tabla1[[#This Row],[Stock]]-H96</f>
        <v>0</v>
      </c>
    </row>
    <row r="95" spans="8:9" ht="14.25" customHeight="1" x14ac:dyDescent="0.3">
      <c r="H95" s="147">
        <f t="shared" si="1"/>
        <v>0</v>
      </c>
      <c r="I95" s="152">
        <f>E97+Tabla1[[#This Row],[Vendidos]]-Tabla1[[#This Row],[Stock]]-H97</f>
        <v>0</v>
      </c>
    </row>
    <row r="96" spans="8:9" ht="14.25" customHeight="1" x14ac:dyDescent="0.3">
      <c r="H96" s="710">
        <f t="shared" si="1"/>
        <v>0</v>
      </c>
      <c r="I96" s="708">
        <f>E98+Tabla1[[#This Row],[Vendidos]]-Tabla1[[#This Row],[Stock]]-H98</f>
        <v>0</v>
      </c>
    </row>
    <row r="97" spans="8:9" ht="14.25" customHeight="1" x14ac:dyDescent="0.3">
      <c r="H97" s="433">
        <f t="shared" si="1"/>
        <v>0</v>
      </c>
      <c r="I97" s="95">
        <f>E99+Tabla1[[#This Row],[Vendidos]]-Tabla1[[#This Row],[Stock]]-H99</f>
        <v>0</v>
      </c>
    </row>
    <row r="98" spans="8:9" ht="14.25" customHeight="1" x14ac:dyDescent="0.3">
      <c r="H98" s="709">
        <f t="shared" si="1"/>
        <v>0</v>
      </c>
      <c r="I98" s="706">
        <f>E100+Tabla1[[#This Row],[Vendidos]]-Tabla1[[#This Row],[Stock]]-H100</f>
        <v>0</v>
      </c>
    </row>
    <row r="99" spans="8:9" ht="14.25" customHeight="1" x14ac:dyDescent="0.3">
      <c r="H99" s="147">
        <f t="shared" si="1"/>
        <v>0</v>
      </c>
      <c r="I99" s="152">
        <f>E101+Tabla1[[#This Row],[Vendidos]]-Tabla1[[#This Row],[Stock]]-H101</f>
        <v>0</v>
      </c>
    </row>
    <row r="100" spans="8:9" ht="14.25" customHeight="1" x14ac:dyDescent="0.3">
      <c r="H100" s="710">
        <f t="shared" si="1"/>
        <v>0</v>
      </c>
      <c r="I100" s="708">
        <f>E102+Tabla1[[#This Row],[Vendidos]]-Tabla1[[#This Row],[Stock]]-H102</f>
        <v>0</v>
      </c>
    </row>
    <row r="101" spans="8:9" ht="14.25" customHeight="1" x14ac:dyDescent="0.3">
      <c r="H101" s="147">
        <f t="shared" si="1"/>
        <v>0</v>
      </c>
      <c r="I101" s="152">
        <f>E103+Tabla1[[#This Row],[Vendidos]]-Tabla1[[#This Row],[Stock]]-H103</f>
        <v>0</v>
      </c>
    </row>
    <row r="102" spans="8:9" ht="14.25" customHeight="1" x14ac:dyDescent="0.3">
      <c r="H102" s="710">
        <f t="shared" si="1"/>
        <v>0</v>
      </c>
      <c r="I102" s="708">
        <f>E104+Tabla1[[#This Row],[Vendidos]]-Tabla1[[#This Row],[Stock]]-H104</f>
        <v>0</v>
      </c>
    </row>
    <row r="103" spans="8:9" ht="14.25" customHeight="1" x14ac:dyDescent="0.3">
      <c r="H103" s="147">
        <f t="shared" si="1"/>
        <v>0</v>
      </c>
      <c r="I103" s="152">
        <f>E105+Tabla1[[#This Row],[Vendidos]]-Tabla1[[#This Row],[Stock]]-H105</f>
        <v>0</v>
      </c>
    </row>
    <row r="104" spans="8:9" ht="14.25" customHeight="1" x14ac:dyDescent="0.3">
      <c r="H104" s="710">
        <f t="shared" si="1"/>
        <v>0</v>
      </c>
      <c r="I104" s="708">
        <f>E106+Tabla1[[#This Row],[Vendidos]]-Tabla1[[#This Row],[Stock]]-H106</f>
        <v>0</v>
      </c>
    </row>
    <row r="105" spans="8:9" ht="14.25" customHeight="1" x14ac:dyDescent="0.3">
      <c r="H105" s="147">
        <f t="shared" si="1"/>
        <v>0</v>
      </c>
      <c r="I105" s="152">
        <f>E107+Tabla1[[#This Row],[Vendidos]]-Tabla1[[#This Row],[Stock]]-H107</f>
        <v>0</v>
      </c>
    </row>
    <row r="106" spans="8:9" ht="14.25" customHeight="1" x14ac:dyDescent="0.3">
      <c r="H106" s="710">
        <f t="shared" si="1"/>
        <v>0</v>
      </c>
      <c r="I106" s="708">
        <f>E108+Tabla1[[#This Row],[Vendidos]]-Tabla1[[#This Row],[Stock]]-H108</f>
        <v>0</v>
      </c>
    </row>
    <row r="107" spans="8:9" ht="14.25" customHeight="1" x14ac:dyDescent="0.3">
      <c r="H107" s="147">
        <f t="shared" si="1"/>
        <v>0</v>
      </c>
      <c r="I107" s="152">
        <f>E109+Tabla1[[#This Row],[Vendidos]]-Tabla1[[#This Row],[Stock]]-H109</f>
        <v>0</v>
      </c>
    </row>
    <row r="108" spans="8:9" ht="14.25" customHeight="1" x14ac:dyDescent="0.3">
      <c r="H108" s="710">
        <f t="shared" si="1"/>
        <v>0</v>
      </c>
      <c r="I108" s="708">
        <f>E110+Tabla1[[#This Row],[Vendidos]]-Tabla1[[#This Row],[Stock]]-H110</f>
        <v>0</v>
      </c>
    </row>
    <row r="109" spans="8:9" ht="14.25" customHeight="1" x14ac:dyDescent="0.3">
      <c r="H109" s="147">
        <f t="shared" si="1"/>
        <v>0</v>
      </c>
      <c r="I109" s="152">
        <f>E111+Tabla1[[#This Row],[Vendidos]]-Tabla1[[#This Row],[Stock]]-H111</f>
        <v>0</v>
      </c>
    </row>
    <row r="110" spans="8:9" ht="14.25" customHeight="1" x14ac:dyDescent="0.3">
      <c r="H110" s="710">
        <f t="shared" si="1"/>
        <v>0</v>
      </c>
      <c r="I110" s="708">
        <f>E112+Tabla1[[#This Row],[Vendidos]]-Tabla1[[#This Row],[Stock]]-H112</f>
        <v>0</v>
      </c>
    </row>
    <row r="111" spans="8:9" ht="14.25" customHeight="1" x14ac:dyDescent="0.3">
      <c r="H111" s="147">
        <f t="shared" si="1"/>
        <v>0</v>
      </c>
      <c r="I111" s="152">
        <f>E113+Tabla1[[#This Row],[Vendidos]]-Tabla1[[#This Row],[Stock]]-H113</f>
        <v>0</v>
      </c>
    </row>
    <row r="112" spans="8:9" ht="14.25" customHeight="1" x14ac:dyDescent="0.3">
      <c r="H112" s="709">
        <f t="shared" si="1"/>
        <v>0</v>
      </c>
      <c r="I112" s="706">
        <f>E114+Tabla1[[#This Row],[Vendidos]]-Tabla1[[#This Row],[Stock]]-H114</f>
        <v>0</v>
      </c>
    </row>
    <row r="113" spans="8:9" ht="14.25" customHeight="1" x14ac:dyDescent="0.3">
      <c r="H113" s="147">
        <f t="shared" si="1"/>
        <v>0</v>
      </c>
      <c r="I113" s="152">
        <f>E115+Tabla1[[#This Row],[Vendidos]]-Tabla1[[#This Row],[Stock]]-H115</f>
        <v>0</v>
      </c>
    </row>
    <row r="114" spans="8:9" ht="14.25" customHeight="1" x14ac:dyDescent="0.3">
      <c r="H114" s="710">
        <f t="shared" si="1"/>
        <v>0</v>
      </c>
      <c r="I114" s="708">
        <f>E116+Tabla1[[#This Row],[Vendidos]]-Tabla1[[#This Row],[Stock]]-H116</f>
        <v>0</v>
      </c>
    </row>
    <row r="115" spans="8:9" ht="14.25" customHeight="1" x14ac:dyDescent="0.3">
      <c r="H115" s="147">
        <f t="shared" si="1"/>
        <v>0</v>
      </c>
      <c r="I115" s="152">
        <f>E117+Tabla1[[#This Row],[Vendidos]]-Tabla1[[#This Row],[Stock]]-H117</f>
        <v>0</v>
      </c>
    </row>
    <row r="116" spans="8:9" ht="14.25" customHeight="1" x14ac:dyDescent="0.3">
      <c r="H116" s="710">
        <f t="shared" si="1"/>
        <v>0</v>
      </c>
      <c r="I116" s="708">
        <f>E118+Tabla1[[#This Row],[Vendidos]]-Tabla1[[#This Row],[Stock]]-H118</f>
        <v>0</v>
      </c>
    </row>
    <row r="117" spans="8:9" ht="14.25" customHeight="1" x14ac:dyDescent="0.3">
      <c r="H117" s="147">
        <f t="shared" si="1"/>
        <v>0</v>
      </c>
      <c r="I117" s="152">
        <f>E119+Tabla1[[#This Row],[Vendidos]]-Tabla1[[#This Row],[Stock]]-H119</f>
        <v>0</v>
      </c>
    </row>
    <row r="118" spans="8:9" ht="14.25" customHeight="1" x14ac:dyDescent="0.3">
      <c r="H118" s="710">
        <f t="shared" si="1"/>
        <v>0</v>
      </c>
      <c r="I118" s="708">
        <f>E120+Tabla1[[#This Row],[Vendidos]]-Tabla1[[#This Row],[Stock]]-H120</f>
        <v>0</v>
      </c>
    </row>
    <row r="119" spans="8:9" ht="14.25" customHeight="1" x14ac:dyDescent="0.3">
      <c r="H119" s="147">
        <f t="shared" si="1"/>
        <v>0</v>
      </c>
      <c r="I119" s="152">
        <f>E121+Tabla1[[#This Row],[Vendidos]]-Tabla1[[#This Row],[Stock]]-H121</f>
        <v>0</v>
      </c>
    </row>
    <row r="120" spans="8:9" ht="14.25" customHeight="1" x14ac:dyDescent="0.3">
      <c r="H120" s="710">
        <f t="shared" si="1"/>
        <v>0</v>
      </c>
      <c r="I120" s="708">
        <f>E122+Tabla1[[#This Row],[Vendidos]]-Tabla1[[#This Row],[Stock]]-H122</f>
        <v>0</v>
      </c>
    </row>
    <row r="121" spans="8:9" ht="14.25" customHeight="1" x14ac:dyDescent="0.3">
      <c r="H121" s="147">
        <f t="shared" si="1"/>
        <v>0</v>
      </c>
      <c r="I121" s="152">
        <f>E123+Tabla1[[#This Row],[Vendidos]]-Tabla1[[#This Row],[Stock]]-H123</f>
        <v>0</v>
      </c>
    </row>
    <row r="122" spans="8:9" ht="14.25" customHeight="1" x14ac:dyDescent="0.3">
      <c r="H122" s="710">
        <f t="shared" si="1"/>
        <v>0</v>
      </c>
      <c r="I122" s="708">
        <f>E124+Tabla1[[#This Row],[Vendidos]]-Tabla1[[#This Row],[Stock]]-H124</f>
        <v>0</v>
      </c>
    </row>
    <row r="123" spans="8:9" ht="14.25" customHeight="1" x14ac:dyDescent="0.3">
      <c r="H123" s="433">
        <f t="shared" si="1"/>
        <v>0</v>
      </c>
      <c r="I123" s="95">
        <f>E125+Tabla1[[#This Row],[Vendidos]]-Tabla1[[#This Row],[Stock]]-H125</f>
        <v>0</v>
      </c>
    </row>
    <row r="124" spans="8:9" ht="14.25" customHeight="1" x14ac:dyDescent="0.3">
      <c r="H124" s="710">
        <f t="shared" si="1"/>
        <v>0</v>
      </c>
      <c r="I124" s="708">
        <f>E126+Tabla1[[#This Row],[Vendidos]]-Tabla1[[#This Row],[Stock]]-H126</f>
        <v>0</v>
      </c>
    </row>
    <row r="125" spans="8:9" ht="14.25" customHeight="1" x14ac:dyDescent="0.3">
      <c r="H125" s="147">
        <f t="shared" si="1"/>
        <v>0</v>
      </c>
      <c r="I125" s="152">
        <f>E127+Tabla1[[#This Row],[Vendidos]]-Tabla1[[#This Row],[Stock]]-H127</f>
        <v>0</v>
      </c>
    </row>
    <row r="126" spans="8:9" ht="14.25" customHeight="1" x14ac:dyDescent="0.3">
      <c r="H126" s="710">
        <f t="shared" si="1"/>
        <v>0</v>
      </c>
      <c r="I126" s="708">
        <f>E128+Tabla1[[#This Row],[Vendidos]]-Tabla1[[#This Row],[Stock]]-H128</f>
        <v>0</v>
      </c>
    </row>
    <row r="127" spans="8:9" ht="14.25" customHeight="1" x14ac:dyDescent="0.3">
      <c r="H127" s="147">
        <f t="shared" si="1"/>
        <v>0</v>
      </c>
      <c r="I127" s="152">
        <f>E129+Tabla1[[#This Row],[Vendidos]]-Tabla1[[#This Row],[Stock]]-H129</f>
        <v>0</v>
      </c>
    </row>
    <row r="128" spans="8:9" ht="14.25" customHeight="1" x14ac:dyDescent="0.3">
      <c r="H128" s="710">
        <f t="shared" si="1"/>
        <v>0</v>
      </c>
      <c r="I128" s="708">
        <f>E130+Tabla1[[#This Row],[Vendidos]]-Tabla1[[#This Row],[Stock]]-H130</f>
        <v>0</v>
      </c>
    </row>
    <row r="129" spans="8:9" ht="14.25" customHeight="1" x14ac:dyDescent="0.3">
      <c r="H129" s="147">
        <f t="shared" si="1"/>
        <v>0</v>
      </c>
      <c r="I129" s="152">
        <f>E131+Tabla1[[#This Row],[Vendidos]]-Tabla1[[#This Row],[Stock]]-H131</f>
        <v>0</v>
      </c>
    </row>
    <row r="130" spans="8:9" ht="14.25" customHeight="1" x14ac:dyDescent="0.3">
      <c r="H130" s="710">
        <f t="shared" si="1"/>
        <v>0</v>
      </c>
      <c r="I130" s="708">
        <f>E132+Tabla1[[#This Row],[Vendidos]]-Tabla1[[#This Row],[Stock]]-H132</f>
        <v>0</v>
      </c>
    </row>
    <row r="131" spans="8:9" ht="14.25" customHeight="1" x14ac:dyDescent="0.3">
      <c r="H131" s="147">
        <f t="shared" si="1"/>
        <v>0</v>
      </c>
      <c r="I131" s="152">
        <f>E133+Tabla1[[#This Row],[Vendidos]]-Tabla1[[#This Row],[Stock]]-H133</f>
        <v>0</v>
      </c>
    </row>
    <row r="132" spans="8:9" ht="14.25" customHeight="1" x14ac:dyDescent="0.3">
      <c r="H132" s="710">
        <f t="shared" si="1"/>
        <v>0</v>
      </c>
      <c r="I132" s="708">
        <f>E134+Tabla1[[#This Row],[Vendidos]]-Tabla1[[#This Row],[Stock]]-H134</f>
        <v>0</v>
      </c>
    </row>
    <row r="133" spans="8:9" ht="14.25" customHeight="1" x14ac:dyDescent="0.3">
      <c r="H133" s="147">
        <f t="shared" si="1"/>
        <v>0</v>
      </c>
      <c r="I133" s="152">
        <f>E135+Tabla1[[#This Row],[Vendidos]]-Tabla1[[#This Row],[Stock]]-H135</f>
        <v>0</v>
      </c>
    </row>
    <row r="134" spans="8:9" ht="14.25" customHeight="1" x14ac:dyDescent="0.3">
      <c r="H134" s="710">
        <f t="shared" si="1"/>
        <v>0</v>
      </c>
      <c r="I134" s="708">
        <f>E136+Tabla1[[#This Row],[Vendidos]]-Tabla1[[#This Row],[Stock]]-H136</f>
        <v>0</v>
      </c>
    </row>
    <row r="135" spans="8:9" ht="14.25" customHeight="1" x14ac:dyDescent="0.3">
      <c r="H135" s="147">
        <f t="shared" si="1"/>
        <v>0</v>
      </c>
      <c r="I135" s="152">
        <f>E137+Tabla1[[#This Row],[Vendidos]]-Tabla1[[#This Row],[Stock]]-H137</f>
        <v>0</v>
      </c>
    </row>
    <row r="136" spans="8:9" ht="14.25" customHeight="1" x14ac:dyDescent="0.3">
      <c r="H136" s="710">
        <f t="shared" si="1"/>
        <v>0</v>
      </c>
      <c r="I136" s="708">
        <f>E138+Tabla1[[#This Row],[Vendidos]]-Tabla1[[#This Row],[Stock]]-H138</f>
        <v>0</v>
      </c>
    </row>
    <row r="137" spans="8:9" ht="14.25" customHeight="1" x14ac:dyDescent="0.3">
      <c r="H137" s="147">
        <f t="shared" si="1"/>
        <v>0</v>
      </c>
      <c r="I137" s="152">
        <f>E139+Tabla1[[#This Row],[Vendidos]]-Tabla1[[#This Row],[Stock]]-H139</f>
        <v>0</v>
      </c>
    </row>
    <row r="138" spans="8:9" ht="14.25" customHeight="1" x14ac:dyDescent="0.3">
      <c r="H138" s="710">
        <f t="shared" si="1"/>
        <v>0</v>
      </c>
      <c r="I138" s="708">
        <f>E140+Tabla1[[#This Row],[Vendidos]]-Tabla1[[#This Row],[Stock]]-H140</f>
        <v>0</v>
      </c>
    </row>
    <row r="139" spans="8:9" ht="14.25" customHeight="1" x14ac:dyDescent="0.3">
      <c r="H139" s="147">
        <f t="shared" ref="H139:H202" si="2">D139-E139-F139</f>
        <v>0</v>
      </c>
      <c r="I139" s="152">
        <f>E141+Tabla1[[#This Row],[Vendidos]]-Tabla1[[#This Row],[Stock]]-H141</f>
        <v>0</v>
      </c>
    </row>
    <row r="140" spans="8:9" ht="14.25" customHeight="1" x14ac:dyDescent="0.3">
      <c r="H140" s="710">
        <f t="shared" si="2"/>
        <v>0</v>
      </c>
      <c r="I140" s="708">
        <f>E142+Tabla1[[#This Row],[Vendidos]]-Tabla1[[#This Row],[Stock]]-H142</f>
        <v>0</v>
      </c>
    </row>
    <row r="141" spans="8:9" ht="14.25" customHeight="1" x14ac:dyDescent="0.3">
      <c r="H141" s="147">
        <f t="shared" si="2"/>
        <v>0</v>
      </c>
      <c r="I141" s="152">
        <f>E143+Tabla1[[#This Row],[Vendidos]]-Tabla1[[#This Row],[Stock]]-H143</f>
        <v>0</v>
      </c>
    </row>
    <row r="142" spans="8:9" ht="14.25" customHeight="1" x14ac:dyDescent="0.3">
      <c r="H142" s="709">
        <f t="shared" si="2"/>
        <v>0</v>
      </c>
      <c r="I142" s="706">
        <f>E144+Tabla1[[#This Row],[Vendidos]]-Tabla1[[#This Row],[Stock]]-H144</f>
        <v>0</v>
      </c>
    </row>
    <row r="143" spans="8:9" ht="14.25" customHeight="1" x14ac:dyDescent="0.3">
      <c r="H143" s="147">
        <f t="shared" si="2"/>
        <v>0</v>
      </c>
      <c r="I143" s="152">
        <f>E145+Tabla1[[#This Row],[Vendidos]]-Tabla1[[#This Row],[Stock]]-H145</f>
        <v>0</v>
      </c>
    </row>
    <row r="144" spans="8:9" ht="14.25" customHeight="1" x14ac:dyDescent="0.3">
      <c r="H144" s="710">
        <f t="shared" si="2"/>
        <v>0</v>
      </c>
      <c r="I144" s="708">
        <f>E146+Tabla1[[#This Row],[Vendidos]]-Tabla1[[#This Row],[Stock]]-H146</f>
        <v>0</v>
      </c>
    </row>
    <row r="145" spans="8:9" ht="14.25" customHeight="1" x14ac:dyDescent="0.3">
      <c r="H145" s="147">
        <f t="shared" si="2"/>
        <v>0</v>
      </c>
      <c r="I145" s="152">
        <f>E147+Tabla1[[#This Row],[Vendidos]]-Tabla1[[#This Row],[Stock]]-H147</f>
        <v>0</v>
      </c>
    </row>
    <row r="146" spans="8:9" ht="14.25" customHeight="1" x14ac:dyDescent="0.3">
      <c r="H146" s="710">
        <f t="shared" si="2"/>
        <v>0</v>
      </c>
      <c r="I146" s="708">
        <f>E148+Tabla1[[#This Row],[Vendidos]]-Tabla1[[#This Row],[Stock]]-H148</f>
        <v>0</v>
      </c>
    </row>
    <row r="147" spans="8:9" ht="14.25" customHeight="1" x14ac:dyDescent="0.3">
      <c r="H147" s="147">
        <f t="shared" si="2"/>
        <v>0</v>
      </c>
      <c r="I147" s="152">
        <f>E149+Tabla1[[#This Row],[Vendidos]]-Tabla1[[#This Row],[Stock]]-H149</f>
        <v>0</v>
      </c>
    </row>
    <row r="148" spans="8:9" ht="14.25" customHeight="1" x14ac:dyDescent="0.3">
      <c r="H148" s="710">
        <f t="shared" si="2"/>
        <v>0</v>
      </c>
      <c r="I148" s="708">
        <f>E150+Tabla1[[#This Row],[Vendidos]]-Tabla1[[#This Row],[Stock]]-H150</f>
        <v>0</v>
      </c>
    </row>
    <row r="149" spans="8:9" ht="14.25" customHeight="1" x14ac:dyDescent="0.3">
      <c r="H149" s="147">
        <f t="shared" si="2"/>
        <v>0</v>
      </c>
      <c r="I149" s="152">
        <f>E151+Tabla1[[#This Row],[Vendidos]]-Tabla1[[#This Row],[Stock]]-H151</f>
        <v>0</v>
      </c>
    </row>
    <row r="150" spans="8:9" ht="14.25" customHeight="1" x14ac:dyDescent="0.3">
      <c r="H150" s="709">
        <f t="shared" si="2"/>
        <v>0</v>
      </c>
      <c r="I150" s="706">
        <f>E152+Tabla1[[#This Row],[Vendidos]]-Tabla1[[#This Row],[Stock]]-H152</f>
        <v>0</v>
      </c>
    </row>
    <row r="151" spans="8:9" ht="14.25" customHeight="1" x14ac:dyDescent="0.3">
      <c r="H151" s="147">
        <f t="shared" si="2"/>
        <v>0</v>
      </c>
      <c r="I151" s="152">
        <f>E153+Tabla1[[#This Row],[Vendidos]]-Tabla1[[#This Row],[Stock]]-H153</f>
        <v>0</v>
      </c>
    </row>
    <row r="152" spans="8:9" ht="14.25" customHeight="1" x14ac:dyDescent="0.3">
      <c r="H152" s="710">
        <f t="shared" si="2"/>
        <v>0</v>
      </c>
      <c r="I152" s="708">
        <f>E154+Tabla1[[#This Row],[Vendidos]]-Tabla1[[#This Row],[Stock]]-H154</f>
        <v>0</v>
      </c>
    </row>
    <row r="153" spans="8:9" ht="14.25" customHeight="1" x14ac:dyDescent="0.3">
      <c r="H153" s="147">
        <f t="shared" si="2"/>
        <v>0</v>
      </c>
      <c r="I153" s="152">
        <f>E155+Tabla1[[#This Row],[Vendidos]]-Tabla1[[#This Row],[Stock]]-H155</f>
        <v>0</v>
      </c>
    </row>
    <row r="154" spans="8:9" ht="14.25" customHeight="1" x14ac:dyDescent="0.3">
      <c r="H154" s="710">
        <f t="shared" si="2"/>
        <v>0</v>
      </c>
      <c r="I154" s="708">
        <f>E156+Tabla1[[#This Row],[Vendidos]]-Tabla1[[#This Row],[Stock]]-H156</f>
        <v>0</v>
      </c>
    </row>
    <row r="155" spans="8:9" ht="14.25" customHeight="1" x14ac:dyDescent="0.3">
      <c r="H155" s="433">
        <f t="shared" si="2"/>
        <v>0</v>
      </c>
      <c r="I155" s="95">
        <f>E157+Tabla1[[#This Row],[Vendidos]]-Tabla1[[#This Row],[Stock]]-H157</f>
        <v>0</v>
      </c>
    </row>
    <row r="156" spans="8:9" ht="14.25" customHeight="1" x14ac:dyDescent="0.3">
      <c r="H156" s="709">
        <f t="shared" si="2"/>
        <v>0</v>
      </c>
      <c r="I156" s="706">
        <f>E158+Tabla1[[#This Row],[Vendidos]]-Tabla1[[#This Row],[Stock]]-H158</f>
        <v>0</v>
      </c>
    </row>
    <row r="157" spans="8:9" ht="14.25" customHeight="1" x14ac:dyDescent="0.3">
      <c r="H157" s="433">
        <f t="shared" si="2"/>
        <v>0</v>
      </c>
      <c r="I157" s="95">
        <f>E159+Tabla1[[#This Row],[Vendidos]]-Tabla1[[#This Row],[Stock]]-H159</f>
        <v>0</v>
      </c>
    </row>
    <row r="158" spans="8:9" ht="14.25" customHeight="1" x14ac:dyDescent="0.3">
      <c r="H158" s="710">
        <f t="shared" si="2"/>
        <v>0</v>
      </c>
      <c r="I158" s="708">
        <f>E160+Tabla1[[#This Row],[Vendidos]]-Tabla1[[#This Row],[Stock]]-H160</f>
        <v>0</v>
      </c>
    </row>
    <row r="159" spans="8:9" ht="14.25" customHeight="1" x14ac:dyDescent="0.3">
      <c r="H159" s="147">
        <f t="shared" si="2"/>
        <v>0</v>
      </c>
      <c r="I159" s="152">
        <f>E161+Tabla1[[#This Row],[Vendidos]]-Tabla1[[#This Row],[Stock]]-H161</f>
        <v>0</v>
      </c>
    </row>
    <row r="160" spans="8:9" ht="14.25" customHeight="1" x14ac:dyDescent="0.3">
      <c r="H160" s="710">
        <f t="shared" si="2"/>
        <v>0</v>
      </c>
      <c r="I160" s="708">
        <f>E162+Tabla1[[#This Row],[Vendidos]]-Tabla1[[#This Row],[Stock]]-H162</f>
        <v>0</v>
      </c>
    </row>
    <row r="161" spans="8:9" ht="14.25" customHeight="1" x14ac:dyDescent="0.3">
      <c r="H161" s="147">
        <f t="shared" si="2"/>
        <v>0</v>
      </c>
      <c r="I161" s="152">
        <f>E163+Tabla1[[#This Row],[Vendidos]]-Tabla1[[#This Row],[Stock]]-H163</f>
        <v>0</v>
      </c>
    </row>
    <row r="162" spans="8:9" ht="14.25" customHeight="1" x14ac:dyDescent="0.3">
      <c r="H162" s="710">
        <f t="shared" si="2"/>
        <v>0</v>
      </c>
      <c r="I162" s="708">
        <f>E164+Tabla1[[#This Row],[Vendidos]]-Tabla1[[#This Row],[Stock]]-H164</f>
        <v>0</v>
      </c>
    </row>
    <row r="163" spans="8:9" ht="14.25" customHeight="1" x14ac:dyDescent="0.3">
      <c r="H163" s="147">
        <f t="shared" si="2"/>
        <v>0</v>
      </c>
      <c r="I163" s="152">
        <f>E165+Tabla1[[#This Row],[Vendidos]]-Tabla1[[#This Row],[Stock]]-H165</f>
        <v>0</v>
      </c>
    </row>
    <row r="164" spans="8:9" ht="14.25" customHeight="1" x14ac:dyDescent="0.3">
      <c r="H164" s="709">
        <f t="shared" si="2"/>
        <v>0</v>
      </c>
      <c r="I164" s="706">
        <f>E166+Tabla1[[#This Row],[Vendidos]]-Tabla1[[#This Row],[Stock]]-H166</f>
        <v>0</v>
      </c>
    </row>
    <row r="165" spans="8:9" ht="14.25" customHeight="1" x14ac:dyDescent="0.3">
      <c r="H165" s="433">
        <f t="shared" si="2"/>
        <v>0</v>
      </c>
      <c r="I165" s="95">
        <f>E167+Tabla1[[#This Row],[Vendidos]]-Tabla1[[#This Row],[Stock]]-H167</f>
        <v>0</v>
      </c>
    </row>
    <row r="166" spans="8:9" ht="14.25" customHeight="1" x14ac:dyDescent="0.3">
      <c r="H166" s="709">
        <f t="shared" si="2"/>
        <v>0</v>
      </c>
      <c r="I166" s="706">
        <f>E168+Tabla1[[#This Row],[Vendidos]]-Tabla1[[#This Row],[Stock]]-H168</f>
        <v>0</v>
      </c>
    </row>
    <row r="167" spans="8:9" ht="14.25" customHeight="1" x14ac:dyDescent="0.3">
      <c r="H167" s="433">
        <f t="shared" si="2"/>
        <v>0</v>
      </c>
      <c r="I167" s="95">
        <f>E169+Tabla1[[#This Row],[Vendidos]]-Tabla1[[#This Row],[Stock]]-H169</f>
        <v>0</v>
      </c>
    </row>
    <row r="168" spans="8:9" ht="14.25" customHeight="1" x14ac:dyDescent="0.3">
      <c r="H168" s="709">
        <f t="shared" si="2"/>
        <v>0</v>
      </c>
      <c r="I168" s="706">
        <f>E170+Tabla1[[#This Row],[Vendidos]]-Tabla1[[#This Row],[Stock]]-H170</f>
        <v>0</v>
      </c>
    </row>
    <row r="169" spans="8:9" ht="14.25" customHeight="1" x14ac:dyDescent="0.3">
      <c r="H169" s="433">
        <f t="shared" si="2"/>
        <v>0</v>
      </c>
      <c r="I169" s="95">
        <f>E171+Tabla1[[#This Row],[Vendidos]]-Tabla1[[#This Row],[Stock]]-H171</f>
        <v>0</v>
      </c>
    </row>
    <row r="170" spans="8:9" ht="14.25" customHeight="1" x14ac:dyDescent="0.3">
      <c r="H170" s="709">
        <f t="shared" si="2"/>
        <v>0</v>
      </c>
      <c r="I170" s="706">
        <f>E172+Tabla1[[#This Row],[Vendidos]]-Tabla1[[#This Row],[Stock]]-H172</f>
        <v>0</v>
      </c>
    </row>
    <row r="171" spans="8:9" ht="14.25" customHeight="1" x14ac:dyDescent="0.3">
      <c r="H171" s="433">
        <f t="shared" si="2"/>
        <v>0</v>
      </c>
      <c r="I171" s="95">
        <f>E173+Tabla1[[#This Row],[Vendidos]]-Tabla1[[#This Row],[Stock]]-H173</f>
        <v>0</v>
      </c>
    </row>
    <row r="172" spans="8:9" ht="14.25" customHeight="1" x14ac:dyDescent="0.3">
      <c r="H172" s="709">
        <f t="shared" si="2"/>
        <v>0</v>
      </c>
      <c r="I172" s="706">
        <f>E174+Tabla1[[#This Row],[Vendidos]]-Tabla1[[#This Row],[Stock]]-H174</f>
        <v>0</v>
      </c>
    </row>
    <row r="173" spans="8:9" ht="14.25" customHeight="1" x14ac:dyDescent="0.3">
      <c r="H173" s="433">
        <f t="shared" si="2"/>
        <v>0</v>
      </c>
      <c r="I173" s="95">
        <f>E175+Tabla1[[#This Row],[Vendidos]]-Tabla1[[#This Row],[Stock]]-H175</f>
        <v>0</v>
      </c>
    </row>
    <row r="174" spans="8:9" ht="14.25" customHeight="1" x14ac:dyDescent="0.3">
      <c r="H174" s="710">
        <f t="shared" si="2"/>
        <v>0</v>
      </c>
      <c r="I174" s="708">
        <f>E176+Tabla1[[#This Row],[Vendidos]]-Tabla1[[#This Row],[Stock]]-H176</f>
        <v>0</v>
      </c>
    </row>
    <row r="175" spans="8:9" ht="14.25" customHeight="1" x14ac:dyDescent="0.3">
      <c r="H175" s="147">
        <f t="shared" si="2"/>
        <v>0</v>
      </c>
      <c r="I175" s="152">
        <f>E177+Tabla1[[#This Row],[Vendidos]]-Tabla1[[#This Row],[Stock]]-H177</f>
        <v>0</v>
      </c>
    </row>
    <row r="176" spans="8:9" ht="14.25" customHeight="1" x14ac:dyDescent="0.3">
      <c r="H176" s="710">
        <f t="shared" si="2"/>
        <v>0</v>
      </c>
      <c r="I176" s="708">
        <f>E178+Tabla1[[#This Row],[Vendidos]]-Tabla1[[#This Row],[Stock]]-H178</f>
        <v>0</v>
      </c>
    </row>
    <row r="177" spans="8:9" ht="14.25" customHeight="1" x14ac:dyDescent="0.3">
      <c r="H177" s="147">
        <f t="shared" si="2"/>
        <v>0</v>
      </c>
      <c r="I177" s="152">
        <f>E179+Tabla1[[#This Row],[Vendidos]]-Tabla1[[#This Row],[Stock]]-H179</f>
        <v>0</v>
      </c>
    </row>
    <row r="178" spans="8:9" ht="14.25" customHeight="1" x14ac:dyDescent="0.3">
      <c r="H178" s="709">
        <f t="shared" si="2"/>
        <v>0</v>
      </c>
      <c r="I178" s="706">
        <f>E180+Tabla1[[#This Row],[Vendidos]]-Tabla1[[#This Row],[Stock]]-H180</f>
        <v>0</v>
      </c>
    </row>
    <row r="179" spans="8:9" ht="14.25" customHeight="1" x14ac:dyDescent="0.3">
      <c r="H179" s="433">
        <f t="shared" si="2"/>
        <v>0</v>
      </c>
      <c r="I179" s="95">
        <f>E181+Tabla1[[#This Row],[Vendidos]]-Tabla1[[#This Row],[Stock]]-H181</f>
        <v>0</v>
      </c>
    </row>
    <row r="180" spans="8:9" ht="14.25" customHeight="1" x14ac:dyDescent="0.3">
      <c r="H180" s="709">
        <f t="shared" si="2"/>
        <v>0</v>
      </c>
      <c r="I180" s="706">
        <f>E182+Tabla1[[#This Row],[Vendidos]]-Tabla1[[#This Row],[Stock]]-H182</f>
        <v>0</v>
      </c>
    </row>
    <row r="181" spans="8:9" ht="14.25" customHeight="1" x14ac:dyDescent="0.3">
      <c r="H181" s="433">
        <f t="shared" si="2"/>
        <v>0</v>
      </c>
      <c r="I181" s="95">
        <f>E183+Tabla1[[#This Row],[Vendidos]]-Tabla1[[#This Row],[Stock]]-H183</f>
        <v>0</v>
      </c>
    </row>
    <row r="182" spans="8:9" ht="14.25" customHeight="1" x14ac:dyDescent="0.3">
      <c r="H182" s="709">
        <f t="shared" si="2"/>
        <v>0</v>
      </c>
      <c r="I182" s="706">
        <f>E184+Tabla1[[#This Row],[Vendidos]]-Tabla1[[#This Row],[Stock]]-H184</f>
        <v>0</v>
      </c>
    </row>
    <row r="183" spans="8:9" ht="14.25" customHeight="1" x14ac:dyDescent="0.3">
      <c r="H183" s="433">
        <f t="shared" si="2"/>
        <v>0</v>
      </c>
      <c r="I183" s="95">
        <f>E185+Tabla1[[#This Row],[Vendidos]]-Tabla1[[#This Row],[Stock]]-H185</f>
        <v>0</v>
      </c>
    </row>
    <row r="184" spans="8:9" ht="14.25" customHeight="1" x14ac:dyDescent="0.3">
      <c r="H184" s="710">
        <f t="shared" si="2"/>
        <v>0</v>
      </c>
      <c r="I184" s="708">
        <f>E186+Tabla1[[#This Row],[Vendidos]]-Tabla1[[#This Row],[Stock]]-H186</f>
        <v>0</v>
      </c>
    </row>
    <row r="185" spans="8:9" ht="14.25" customHeight="1" x14ac:dyDescent="0.3">
      <c r="H185" s="147">
        <f t="shared" si="2"/>
        <v>0</v>
      </c>
      <c r="I185" s="152">
        <f>E187+Tabla1[[#This Row],[Vendidos]]-Tabla1[[#This Row],[Stock]]-H187</f>
        <v>0</v>
      </c>
    </row>
    <row r="186" spans="8:9" ht="14.25" customHeight="1" x14ac:dyDescent="0.3">
      <c r="H186" s="710">
        <f t="shared" si="2"/>
        <v>0</v>
      </c>
      <c r="I186" s="708">
        <f>E188+Tabla1[[#This Row],[Vendidos]]-Tabla1[[#This Row],[Stock]]-H188</f>
        <v>0</v>
      </c>
    </row>
    <row r="187" spans="8:9" ht="14.25" customHeight="1" x14ac:dyDescent="0.3">
      <c r="H187" s="147">
        <f t="shared" si="2"/>
        <v>0</v>
      </c>
      <c r="I187" s="152">
        <f>E189+Tabla1[[#This Row],[Vendidos]]-Tabla1[[#This Row],[Stock]]-H189</f>
        <v>0</v>
      </c>
    </row>
    <row r="188" spans="8:9" ht="14.25" customHeight="1" x14ac:dyDescent="0.3">
      <c r="H188" s="710">
        <f t="shared" si="2"/>
        <v>0</v>
      </c>
      <c r="I188" s="708">
        <f>E190+Tabla1[[#This Row],[Vendidos]]-Tabla1[[#This Row],[Stock]]-H190</f>
        <v>0</v>
      </c>
    </row>
    <row r="189" spans="8:9" ht="14.25" customHeight="1" x14ac:dyDescent="0.3">
      <c r="H189" s="147">
        <f t="shared" si="2"/>
        <v>0</v>
      </c>
      <c r="I189" s="152">
        <f>E191+Tabla1[[#This Row],[Vendidos]]-Tabla1[[#This Row],[Stock]]-H191</f>
        <v>0</v>
      </c>
    </row>
    <row r="190" spans="8:9" ht="14.25" customHeight="1" x14ac:dyDescent="0.3">
      <c r="H190" s="710">
        <f t="shared" si="2"/>
        <v>0</v>
      </c>
      <c r="I190" s="708">
        <f>E192+Tabla1[[#This Row],[Vendidos]]-Tabla1[[#This Row],[Stock]]-H192</f>
        <v>0</v>
      </c>
    </row>
    <row r="191" spans="8:9" ht="14.25" customHeight="1" x14ac:dyDescent="0.3">
      <c r="H191" s="147">
        <f t="shared" si="2"/>
        <v>0</v>
      </c>
      <c r="I191" s="152">
        <f>E193+Tabla1[[#This Row],[Vendidos]]-Tabla1[[#This Row],[Stock]]-H193</f>
        <v>0</v>
      </c>
    </row>
    <row r="192" spans="8:9" ht="14.25" customHeight="1" x14ac:dyDescent="0.3">
      <c r="H192" s="710">
        <f t="shared" si="2"/>
        <v>0</v>
      </c>
      <c r="I192" s="708">
        <f>E194+Tabla1[[#This Row],[Vendidos]]-Tabla1[[#This Row],[Stock]]-H194</f>
        <v>0</v>
      </c>
    </row>
    <row r="193" spans="8:9" ht="14.25" customHeight="1" x14ac:dyDescent="0.3">
      <c r="H193" s="147">
        <f t="shared" si="2"/>
        <v>0</v>
      </c>
      <c r="I193" s="152">
        <f>E195+Tabla1[[#This Row],[Vendidos]]-Tabla1[[#This Row],[Stock]]-H195</f>
        <v>0</v>
      </c>
    </row>
    <row r="194" spans="8:9" ht="14.25" customHeight="1" x14ac:dyDescent="0.3">
      <c r="H194" s="710">
        <f t="shared" si="2"/>
        <v>0</v>
      </c>
      <c r="I194" s="708">
        <f>E196+Tabla1[[#This Row],[Vendidos]]-Tabla1[[#This Row],[Stock]]-H196</f>
        <v>0</v>
      </c>
    </row>
    <row r="195" spans="8:9" ht="14.25" customHeight="1" x14ac:dyDescent="0.3">
      <c r="H195" s="433">
        <f t="shared" si="2"/>
        <v>0</v>
      </c>
      <c r="I195" s="95">
        <f>E197+Tabla1[[#This Row],[Vendidos]]-Tabla1[[#This Row],[Stock]]-H197</f>
        <v>0</v>
      </c>
    </row>
    <row r="196" spans="8:9" ht="14.25" customHeight="1" x14ac:dyDescent="0.3">
      <c r="H196" s="709">
        <f t="shared" si="2"/>
        <v>0</v>
      </c>
      <c r="I196" s="706">
        <f>E198+Tabla1[[#This Row],[Vendidos]]-Tabla1[[#This Row],[Stock]]-H198</f>
        <v>0</v>
      </c>
    </row>
    <row r="197" spans="8:9" ht="14.25" customHeight="1" x14ac:dyDescent="0.3">
      <c r="H197" s="433">
        <f t="shared" si="2"/>
        <v>0</v>
      </c>
      <c r="I197" s="95">
        <f>E199+Tabla1[[#This Row],[Vendidos]]-Tabla1[[#This Row],[Stock]]-H199</f>
        <v>0</v>
      </c>
    </row>
    <row r="198" spans="8:9" ht="14.25" customHeight="1" x14ac:dyDescent="0.3">
      <c r="H198" s="709">
        <f t="shared" si="2"/>
        <v>0</v>
      </c>
      <c r="I198" s="706">
        <f>E200+Tabla1[[#This Row],[Vendidos]]-Tabla1[[#This Row],[Stock]]-H200</f>
        <v>0</v>
      </c>
    </row>
    <row r="199" spans="8:9" ht="14.25" customHeight="1" x14ac:dyDescent="0.3">
      <c r="H199" s="147">
        <f t="shared" si="2"/>
        <v>0</v>
      </c>
      <c r="I199" s="152">
        <f>E201+Tabla1[[#This Row],[Vendidos]]-Tabla1[[#This Row],[Stock]]-H201</f>
        <v>0</v>
      </c>
    </row>
    <row r="200" spans="8:9" ht="14.25" customHeight="1" x14ac:dyDescent="0.3">
      <c r="H200" s="710">
        <f t="shared" si="2"/>
        <v>0</v>
      </c>
      <c r="I200" s="708">
        <f>E202+Tabla1[[#This Row],[Vendidos]]-Tabla1[[#This Row],[Stock]]-H202</f>
        <v>0</v>
      </c>
    </row>
    <row r="201" spans="8:9" ht="14.25" customHeight="1" x14ac:dyDescent="0.3">
      <c r="H201" s="147">
        <f t="shared" si="2"/>
        <v>0</v>
      </c>
      <c r="I201" s="152">
        <f>E203+Tabla1[[#This Row],[Vendidos]]-Tabla1[[#This Row],[Stock]]-H203</f>
        <v>0</v>
      </c>
    </row>
    <row r="202" spans="8:9" ht="14.25" customHeight="1" x14ac:dyDescent="0.3">
      <c r="H202" s="710">
        <f t="shared" si="2"/>
        <v>0</v>
      </c>
      <c r="I202" s="708">
        <f>E204+Tabla1[[#This Row],[Vendidos]]-Tabla1[[#This Row],[Stock]]-H204</f>
        <v>0</v>
      </c>
    </row>
    <row r="203" spans="8:9" ht="14.25" customHeight="1" x14ac:dyDescent="0.3">
      <c r="H203" s="147">
        <f t="shared" ref="H203:H266" si="3">D203-E203-F203</f>
        <v>0</v>
      </c>
      <c r="I203" s="152">
        <f>E205+Tabla1[[#This Row],[Vendidos]]-Tabla1[[#This Row],[Stock]]-H205</f>
        <v>0</v>
      </c>
    </row>
    <row r="204" spans="8:9" ht="14.25" customHeight="1" x14ac:dyDescent="0.3">
      <c r="H204" s="710">
        <f t="shared" si="3"/>
        <v>0</v>
      </c>
      <c r="I204" s="708">
        <f>E206+Tabla1[[#This Row],[Vendidos]]-Tabla1[[#This Row],[Stock]]-H206</f>
        <v>0</v>
      </c>
    </row>
    <row r="205" spans="8:9" ht="14.25" customHeight="1" x14ac:dyDescent="0.3">
      <c r="H205" s="147">
        <f t="shared" si="3"/>
        <v>0</v>
      </c>
      <c r="I205" s="152">
        <f>E207+Tabla1[[#This Row],[Vendidos]]-Tabla1[[#This Row],[Stock]]-H207</f>
        <v>0</v>
      </c>
    </row>
    <row r="206" spans="8:9" ht="14.25" customHeight="1" x14ac:dyDescent="0.3">
      <c r="H206" s="710">
        <f t="shared" si="3"/>
        <v>0</v>
      </c>
      <c r="I206" s="708">
        <f>E208+Tabla1[[#This Row],[Vendidos]]-Tabla1[[#This Row],[Stock]]-H208</f>
        <v>0</v>
      </c>
    </row>
    <row r="207" spans="8:9" ht="14.25" customHeight="1" x14ac:dyDescent="0.3">
      <c r="H207" s="147">
        <f t="shared" si="3"/>
        <v>0</v>
      </c>
      <c r="I207" s="152">
        <f>E209+Tabla1[[#This Row],[Vendidos]]-Tabla1[[#This Row],[Stock]]-H209</f>
        <v>0</v>
      </c>
    </row>
    <row r="208" spans="8:9" ht="14.25" customHeight="1" x14ac:dyDescent="0.3">
      <c r="H208" s="710">
        <f t="shared" si="3"/>
        <v>0</v>
      </c>
      <c r="I208" s="708">
        <f>E210+Tabla1[[#This Row],[Vendidos]]-Tabla1[[#This Row],[Stock]]-H210</f>
        <v>0</v>
      </c>
    </row>
    <row r="209" spans="8:9" ht="14.25" customHeight="1" x14ac:dyDescent="0.3">
      <c r="H209" s="147">
        <f t="shared" si="3"/>
        <v>0</v>
      </c>
      <c r="I209" s="152">
        <f>E211+Tabla1[[#This Row],[Vendidos]]-Tabla1[[#This Row],[Stock]]-H211</f>
        <v>0</v>
      </c>
    </row>
    <row r="210" spans="8:9" ht="14.25" customHeight="1" x14ac:dyDescent="0.3">
      <c r="H210" s="710">
        <f t="shared" si="3"/>
        <v>0</v>
      </c>
      <c r="I210" s="708">
        <f>E212+Tabla1[[#This Row],[Vendidos]]-Tabla1[[#This Row],[Stock]]-H212</f>
        <v>0</v>
      </c>
    </row>
    <row r="211" spans="8:9" ht="14.25" customHeight="1" x14ac:dyDescent="0.3">
      <c r="H211" s="147">
        <f t="shared" si="3"/>
        <v>0</v>
      </c>
      <c r="I211" s="152">
        <f>E213+Tabla1[[#This Row],[Vendidos]]-Tabla1[[#This Row],[Stock]]-H213</f>
        <v>0</v>
      </c>
    </row>
    <row r="212" spans="8:9" ht="14.25" customHeight="1" x14ac:dyDescent="0.3">
      <c r="H212" s="710">
        <f t="shared" si="3"/>
        <v>0</v>
      </c>
      <c r="I212" s="708">
        <f>E214+Tabla1[[#This Row],[Vendidos]]-Tabla1[[#This Row],[Stock]]-H214</f>
        <v>0</v>
      </c>
    </row>
    <row r="213" spans="8:9" ht="14.25" customHeight="1" x14ac:dyDescent="0.3">
      <c r="H213" s="147">
        <f t="shared" si="3"/>
        <v>0</v>
      </c>
      <c r="I213" s="152">
        <f>E215+Tabla1[[#This Row],[Vendidos]]-Tabla1[[#This Row],[Stock]]-H215</f>
        <v>0</v>
      </c>
    </row>
    <row r="214" spans="8:9" ht="14.25" customHeight="1" x14ac:dyDescent="0.3">
      <c r="H214" s="709">
        <f t="shared" si="3"/>
        <v>0</v>
      </c>
      <c r="I214" s="706">
        <f>E216+Tabla1[[#This Row],[Vendidos]]-Tabla1[[#This Row],[Stock]]-H216</f>
        <v>0</v>
      </c>
    </row>
    <row r="215" spans="8:9" ht="14.25" customHeight="1" x14ac:dyDescent="0.3">
      <c r="H215" s="433">
        <f t="shared" si="3"/>
        <v>0</v>
      </c>
      <c r="I215" s="95">
        <f>E217+Tabla1[[#This Row],[Vendidos]]-Tabla1[[#This Row],[Stock]]-H217</f>
        <v>0</v>
      </c>
    </row>
    <row r="216" spans="8:9" ht="14.25" customHeight="1" x14ac:dyDescent="0.3">
      <c r="H216" s="709">
        <f t="shared" si="3"/>
        <v>0</v>
      </c>
      <c r="I216" s="706">
        <f>E218+Tabla1[[#This Row],[Vendidos]]-Tabla1[[#This Row],[Stock]]-H218</f>
        <v>0</v>
      </c>
    </row>
    <row r="217" spans="8:9" ht="14.25" customHeight="1" x14ac:dyDescent="0.3">
      <c r="H217" s="433">
        <f t="shared" si="3"/>
        <v>0</v>
      </c>
      <c r="I217" s="95">
        <f>E219+Tabla1[[#This Row],[Vendidos]]-Tabla1[[#This Row],[Stock]]-H219</f>
        <v>0</v>
      </c>
    </row>
    <row r="218" spans="8:9" ht="14.25" customHeight="1" x14ac:dyDescent="0.3">
      <c r="H218" s="709">
        <f t="shared" si="3"/>
        <v>0</v>
      </c>
      <c r="I218" s="706">
        <f>E220+Tabla1[[#This Row],[Vendidos]]-Tabla1[[#This Row],[Stock]]-H220</f>
        <v>0</v>
      </c>
    </row>
    <row r="219" spans="8:9" ht="14.25" customHeight="1" x14ac:dyDescent="0.3">
      <c r="H219" s="147">
        <f t="shared" si="3"/>
        <v>0</v>
      </c>
      <c r="I219" s="152">
        <f>E221+Tabla1[[#This Row],[Vendidos]]-Tabla1[[#This Row],[Stock]]-H221</f>
        <v>0</v>
      </c>
    </row>
    <row r="220" spans="8:9" ht="14.25" customHeight="1" x14ac:dyDescent="0.3">
      <c r="H220" s="710">
        <f t="shared" si="3"/>
        <v>0</v>
      </c>
      <c r="I220" s="708">
        <f>E222+Tabla1[[#This Row],[Vendidos]]-Tabla1[[#This Row],[Stock]]-H222</f>
        <v>0</v>
      </c>
    </row>
    <row r="221" spans="8:9" ht="14.25" customHeight="1" x14ac:dyDescent="0.3">
      <c r="H221" s="147">
        <f t="shared" si="3"/>
        <v>0</v>
      </c>
      <c r="I221" s="152">
        <f>E223+Tabla1[[#This Row],[Vendidos]]-Tabla1[[#This Row],[Stock]]-H223</f>
        <v>0</v>
      </c>
    </row>
    <row r="222" spans="8:9" ht="14.25" customHeight="1" x14ac:dyDescent="0.3">
      <c r="H222" s="710">
        <f t="shared" si="3"/>
        <v>0</v>
      </c>
      <c r="I222" s="708">
        <f>E224+Tabla1[[#This Row],[Vendidos]]-Tabla1[[#This Row],[Stock]]-H224</f>
        <v>0</v>
      </c>
    </row>
    <row r="223" spans="8:9" ht="14.25" customHeight="1" x14ac:dyDescent="0.3">
      <c r="H223" s="147">
        <f t="shared" si="3"/>
        <v>0</v>
      </c>
      <c r="I223" s="152">
        <f>E225+Tabla1[[#This Row],[Vendidos]]-Tabla1[[#This Row],[Stock]]-H225</f>
        <v>0</v>
      </c>
    </row>
    <row r="224" spans="8:9" ht="14.25" customHeight="1" x14ac:dyDescent="0.3">
      <c r="H224" s="710">
        <f t="shared" si="3"/>
        <v>0</v>
      </c>
      <c r="I224" s="708">
        <f>E226+Tabla1[[#This Row],[Vendidos]]-Tabla1[[#This Row],[Stock]]-H226</f>
        <v>0</v>
      </c>
    </row>
    <row r="225" spans="8:9" ht="14.25" customHeight="1" x14ac:dyDescent="0.3">
      <c r="H225" s="147">
        <f t="shared" si="3"/>
        <v>0</v>
      </c>
      <c r="I225" s="152">
        <f>E227+Tabla1[[#This Row],[Vendidos]]-Tabla1[[#This Row],[Stock]]-H227</f>
        <v>0</v>
      </c>
    </row>
    <row r="226" spans="8:9" ht="14.25" customHeight="1" x14ac:dyDescent="0.3">
      <c r="H226" s="710">
        <f t="shared" si="3"/>
        <v>0</v>
      </c>
      <c r="I226" s="708">
        <f>E228+Tabla1[[#This Row],[Vendidos]]-Tabla1[[#This Row],[Stock]]-H228</f>
        <v>0</v>
      </c>
    </row>
    <row r="227" spans="8:9" ht="14.25" customHeight="1" x14ac:dyDescent="0.3">
      <c r="H227" s="147">
        <f t="shared" si="3"/>
        <v>0</v>
      </c>
      <c r="I227" s="152">
        <f>E229+Tabla1[[#This Row],[Vendidos]]-Tabla1[[#This Row],[Stock]]-H229</f>
        <v>0</v>
      </c>
    </row>
    <row r="228" spans="8:9" ht="14.25" customHeight="1" x14ac:dyDescent="0.3">
      <c r="H228" s="710">
        <f t="shared" si="3"/>
        <v>0</v>
      </c>
      <c r="I228" s="708">
        <f>E230+Tabla1[[#This Row],[Vendidos]]-Tabla1[[#This Row],[Stock]]-H230</f>
        <v>0</v>
      </c>
    </row>
    <row r="229" spans="8:9" ht="14.25" customHeight="1" x14ac:dyDescent="0.3">
      <c r="H229" s="147">
        <f t="shared" si="3"/>
        <v>0</v>
      </c>
      <c r="I229" s="152">
        <f>E231+Tabla1[[#This Row],[Vendidos]]-Tabla1[[#This Row],[Stock]]-H231</f>
        <v>0</v>
      </c>
    </row>
    <row r="230" spans="8:9" ht="14.25" customHeight="1" x14ac:dyDescent="0.3">
      <c r="H230" s="710">
        <f t="shared" si="3"/>
        <v>0</v>
      </c>
      <c r="I230" s="708">
        <f>E232+Tabla1[[#This Row],[Vendidos]]-Tabla1[[#This Row],[Stock]]-H232</f>
        <v>0</v>
      </c>
    </row>
    <row r="231" spans="8:9" ht="14.25" customHeight="1" x14ac:dyDescent="0.3">
      <c r="H231" s="147">
        <f t="shared" si="3"/>
        <v>0</v>
      </c>
      <c r="I231" s="152">
        <f>E233+Tabla1[[#This Row],[Vendidos]]-Tabla1[[#This Row],[Stock]]-H233</f>
        <v>0</v>
      </c>
    </row>
    <row r="232" spans="8:9" ht="14.25" customHeight="1" x14ac:dyDescent="0.3">
      <c r="H232" s="710">
        <f t="shared" si="3"/>
        <v>0</v>
      </c>
      <c r="I232" s="708">
        <f>E234+Tabla1[[#This Row],[Vendidos]]-Tabla1[[#This Row],[Stock]]-H234</f>
        <v>0</v>
      </c>
    </row>
    <row r="233" spans="8:9" ht="14.25" customHeight="1" x14ac:dyDescent="0.3">
      <c r="H233" s="147">
        <f t="shared" si="3"/>
        <v>0</v>
      </c>
      <c r="I233" s="152">
        <f>E235+Tabla1[[#This Row],[Vendidos]]-Tabla1[[#This Row],[Stock]]-H235</f>
        <v>0</v>
      </c>
    </row>
    <row r="234" spans="8:9" ht="14.25" customHeight="1" x14ac:dyDescent="0.3">
      <c r="H234" s="710">
        <f t="shared" si="3"/>
        <v>0</v>
      </c>
      <c r="I234" s="708">
        <f>E236+Tabla1[[#This Row],[Vendidos]]-Tabla1[[#This Row],[Stock]]-H236</f>
        <v>0</v>
      </c>
    </row>
    <row r="235" spans="8:9" ht="14.25" customHeight="1" x14ac:dyDescent="0.3">
      <c r="H235" s="147">
        <f t="shared" si="3"/>
        <v>0</v>
      </c>
      <c r="I235" s="152">
        <f>E237+Tabla1[[#This Row],[Vendidos]]-Tabla1[[#This Row],[Stock]]-H237</f>
        <v>0</v>
      </c>
    </row>
    <row r="236" spans="8:9" ht="14.25" customHeight="1" x14ac:dyDescent="0.3">
      <c r="H236" s="710">
        <f t="shared" si="3"/>
        <v>0</v>
      </c>
      <c r="I236" s="708">
        <f>E238+Tabla1[[#This Row],[Vendidos]]-Tabla1[[#This Row],[Stock]]-H238</f>
        <v>0</v>
      </c>
    </row>
    <row r="237" spans="8:9" ht="14.25" customHeight="1" x14ac:dyDescent="0.3">
      <c r="H237" s="147">
        <f t="shared" si="3"/>
        <v>0</v>
      </c>
      <c r="I237" s="152">
        <f>E239+Tabla1[[#This Row],[Vendidos]]-Tabla1[[#This Row],[Stock]]-H239</f>
        <v>0</v>
      </c>
    </row>
    <row r="238" spans="8:9" ht="14.25" customHeight="1" x14ac:dyDescent="0.3">
      <c r="H238" s="710">
        <f t="shared" si="3"/>
        <v>0</v>
      </c>
      <c r="I238" s="708">
        <f>E240+Tabla1[[#This Row],[Vendidos]]-Tabla1[[#This Row],[Stock]]-H240</f>
        <v>0</v>
      </c>
    </row>
    <row r="239" spans="8:9" ht="14.25" customHeight="1" x14ac:dyDescent="0.3">
      <c r="H239" s="433">
        <f t="shared" si="3"/>
        <v>0</v>
      </c>
      <c r="I239" s="95">
        <f>E241+Tabla1[[#This Row],[Vendidos]]-Tabla1[[#This Row],[Stock]]-H241</f>
        <v>0</v>
      </c>
    </row>
    <row r="240" spans="8:9" ht="14.25" customHeight="1" x14ac:dyDescent="0.3">
      <c r="H240" s="709">
        <f t="shared" si="3"/>
        <v>0</v>
      </c>
      <c r="I240" s="706">
        <f>E242+Tabla1[[#This Row],[Vendidos]]-Tabla1[[#This Row],[Stock]]-H242</f>
        <v>0</v>
      </c>
    </row>
    <row r="241" spans="8:9" ht="14.25" customHeight="1" x14ac:dyDescent="0.3">
      <c r="H241" s="433">
        <f t="shared" si="3"/>
        <v>0</v>
      </c>
      <c r="I241" s="95">
        <f>E243+Tabla1[[#This Row],[Vendidos]]-Tabla1[[#This Row],[Stock]]-H243</f>
        <v>0</v>
      </c>
    </row>
    <row r="242" spans="8:9" ht="14.25" customHeight="1" x14ac:dyDescent="0.3">
      <c r="H242" s="709">
        <f t="shared" si="3"/>
        <v>0</v>
      </c>
      <c r="I242" s="706">
        <f>E244+Tabla1[[#This Row],[Vendidos]]-Tabla1[[#This Row],[Stock]]-H244</f>
        <v>0</v>
      </c>
    </row>
    <row r="243" spans="8:9" ht="14.25" customHeight="1" x14ac:dyDescent="0.3">
      <c r="H243" s="433">
        <f t="shared" si="3"/>
        <v>0</v>
      </c>
      <c r="I243" s="95">
        <f>E245+Tabla1[[#This Row],[Vendidos]]-Tabla1[[#This Row],[Stock]]-H245</f>
        <v>0</v>
      </c>
    </row>
    <row r="244" spans="8:9" ht="14.25" customHeight="1" x14ac:dyDescent="0.3">
      <c r="H244" s="709">
        <f t="shared" si="3"/>
        <v>0</v>
      </c>
      <c r="I244" s="706">
        <f>E246+Tabla1[[#This Row],[Vendidos]]-Tabla1[[#This Row],[Stock]]-H246</f>
        <v>0</v>
      </c>
    </row>
    <row r="245" spans="8:9" ht="14.25" customHeight="1" x14ac:dyDescent="0.3">
      <c r="H245" s="433">
        <f t="shared" si="3"/>
        <v>0</v>
      </c>
      <c r="I245" s="95">
        <f>E247+Tabla1[[#This Row],[Vendidos]]-Tabla1[[#This Row],[Stock]]-H247</f>
        <v>0</v>
      </c>
    </row>
    <row r="246" spans="8:9" ht="14.25" customHeight="1" x14ac:dyDescent="0.3">
      <c r="H246" s="709">
        <f t="shared" si="3"/>
        <v>0</v>
      </c>
      <c r="I246" s="706">
        <f>E248+Tabla1[[#This Row],[Vendidos]]-Tabla1[[#This Row],[Stock]]-H248</f>
        <v>0</v>
      </c>
    </row>
    <row r="247" spans="8:9" ht="14.25" customHeight="1" x14ac:dyDescent="0.3">
      <c r="H247" s="433">
        <f t="shared" si="3"/>
        <v>0</v>
      </c>
      <c r="I247" s="95">
        <f>E249+Tabla1[[#This Row],[Vendidos]]-Tabla1[[#This Row],[Stock]]-H249</f>
        <v>0</v>
      </c>
    </row>
    <row r="248" spans="8:9" ht="14.25" customHeight="1" x14ac:dyDescent="0.3">
      <c r="H248" s="709">
        <f t="shared" si="3"/>
        <v>0</v>
      </c>
      <c r="I248" s="706">
        <f>E250+Tabla1[[#This Row],[Vendidos]]-Tabla1[[#This Row],[Stock]]-H250</f>
        <v>0</v>
      </c>
    </row>
    <row r="249" spans="8:9" ht="14.25" customHeight="1" x14ac:dyDescent="0.3">
      <c r="H249" s="433">
        <f t="shared" si="3"/>
        <v>0</v>
      </c>
      <c r="I249" s="95">
        <f>E251+Tabla1[[#This Row],[Vendidos]]-Tabla1[[#This Row],[Stock]]-H251</f>
        <v>0</v>
      </c>
    </row>
    <row r="250" spans="8:9" ht="14.25" customHeight="1" x14ac:dyDescent="0.3">
      <c r="H250" s="709">
        <f t="shared" si="3"/>
        <v>0</v>
      </c>
      <c r="I250" s="706">
        <f>E252+Tabla1[[#This Row],[Vendidos]]-Tabla1[[#This Row],[Stock]]-H252</f>
        <v>0</v>
      </c>
    </row>
    <row r="251" spans="8:9" ht="14.25" customHeight="1" x14ac:dyDescent="0.3">
      <c r="H251" s="433">
        <f t="shared" si="3"/>
        <v>0</v>
      </c>
      <c r="I251" s="95">
        <f>E253+Tabla1[[#This Row],[Vendidos]]-Tabla1[[#This Row],[Stock]]-H253</f>
        <v>0</v>
      </c>
    </row>
    <row r="252" spans="8:9" ht="14.25" customHeight="1" x14ac:dyDescent="0.3">
      <c r="H252" s="710">
        <f t="shared" si="3"/>
        <v>0</v>
      </c>
      <c r="I252" s="708">
        <f>E254+Tabla1[[#This Row],[Vendidos]]-Tabla1[[#This Row],[Stock]]-H254</f>
        <v>0</v>
      </c>
    </row>
    <row r="253" spans="8:9" ht="14.25" customHeight="1" x14ac:dyDescent="0.3">
      <c r="H253" s="147">
        <f t="shared" si="3"/>
        <v>0</v>
      </c>
      <c r="I253" s="152">
        <f>E255+Tabla1[[#This Row],[Vendidos]]-Tabla1[[#This Row],[Stock]]-H255</f>
        <v>0</v>
      </c>
    </row>
    <row r="254" spans="8:9" ht="14.25" customHeight="1" x14ac:dyDescent="0.3">
      <c r="H254" s="710">
        <f t="shared" si="3"/>
        <v>0</v>
      </c>
      <c r="I254" s="708">
        <f>E256+Tabla1[[#This Row],[Vendidos]]-Tabla1[[#This Row],[Stock]]-H256</f>
        <v>0</v>
      </c>
    </row>
    <row r="255" spans="8:9" ht="14.25" customHeight="1" x14ac:dyDescent="0.3">
      <c r="H255" s="147">
        <f t="shared" si="3"/>
        <v>0</v>
      </c>
      <c r="I255" s="152">
        <f>E257+Tabla1[[#This Row],[Vendidos]]-Tabla1[[#This Row],[Stock]]-H257</f>
        <v>0</v>
      </c>
    </row>
    <row r="256" spans="8:9" ht="14.25" customHeight="1" x14ac:dyDescent="0.3">
      <c r="H256" s="710">
        <f t="shared" si="3"/>
        <v>0</v>
      </c>
      <c r="I256" s="708">
        <f>E258+Tabla1[[#This Row],[Vendidos]]-Tabla1[[#This Row],[Stock]]-H258</f>
        <v>0</v>
      </c>
    </row>
    <row r="257" spans="8:9" ht="14.25" customHeight="1" x14ac:dyDescent="0.3">
      <c r="H257" s="147">
        <f t="shared" si="3"/>
        <v>0</v>
      </c>
      <c r="I257" s="152">
        <f>E259+Tabla1[[#This Row],[Vendidos]]-Tabla1[[#This Row],[Stock]]-H259</f>
        <v>0</v>
      </c>
    </row>
    <row r="258" spans="8:9" ht="14.25" customHeight="1" x14ac:dyDescent="0.3">
      <c r="H258" s="710">
        <f t="shared" si="3"/>
        <v>0</v>
      </c>
      <c r="I258" s="708">
        <f>E260+Tabla1[[#This Row],[Vendidos]]-Tabla1[[#This Row],[Stock]]-H260</f>
        <v>0</v>
      </c>
    </row>
    <row r="259" spans="8:9" ht="14.25" customHeight="1" x14ac:dyDescent="0.3">
      <c r="H259" s="147">
        <f t="shared" si="3"/>
        <v>0</v>
      </c>
      <c r="I259" s="152">
        <f>E261+Tabla1[[#This Row],[Vendidos]]-Tabla1[[#This Row],[Stock]]-H261</f>
        <v>0</v>
      </c>
    </row>
    <row r="260" spans="8:9" ht="14.25" customHeight="1" x14ac:dyDescent="0.3">
      <c r="H260" s="710">
        <f t="shared" si="3"/>
        <v>0</v>
      </c>
      <c r="I260" s="708">
        <f>E262+Tabla1[[#This Row],[Vendidos]]-Tabla1[[#This Row],[Stock]]-H262</f>
        <v>0</v>
      </c>
    </row>
    <row r="261" spans="8:9" ht="14.25" customHeight="1" x14ac:dyDescent="0.3">
      <c r="H261" s="147">
        <f t="shared" si="3"/>
        <v>0</v>
      </c>
      <c r="I261" s="152">
        <f>E263+Tabla1[[#This Row],[Vendidos]]-Tabla1[[#This Row],[Stock]]-H263</f>
        <v>0</v>
      </c>
    </row>
    <row r="262" spans="8:9" ht="14.25" customHeight="1" x14ac:dyDescent="0.3">
      <c r="H262" s="710">
        <f t="shared" si="3"/>
        <v>0</v>
      </c>
      <c r="I262" s="708">
        <f>E264+Tabla1[[#This Row],[Vendidos]]-Tabla1[[#This Row],[Stock]]-H264</f>
        <v>0</v>
      </c>
    </row>
    <row r="263" spans="8:9" ht="14.25" customHeight="1" x14ac:dyDescent="0.3">
      <c r="H263" s="147">
        <f t="shared" si="3"/>
        <v>0</v>
      </c>
      <c r="I263" s="152">
        <f>E265+Tabla1[[#This Row],[Vendidos]]-Tabla1[[#This Row],[Stock]]-H265</f>
        <v>0</v>
      </c>
    </row>
    <row r="264" spans="8:9" ht="14.25" customHeight="1" x14ac:dyDescent="0.3">
      <c r="H264" s="710">
        <f t="shared" si="3"/>
        <v>0</v>
      </c>
      <c r="I264" s="708">
        <f>E266+Tabla1[[#This Row],[Vendidos]]-Tabla1[[#This Row],[Stock]]-H266</f>
        <v>0</v>
      </c>
    </row>
    <row r="265" spans="8:9" ht="14.25" customHeight="1" x14ac:dyDescent="0.3">
      <c r="H265" s="147">
        <f t="shared" si="3"/>
        <v>0</v>
      </c>
      <c r="I265" s="152">
        <f>E267+Tabla1[[#This Row],[Vendidos]]-Tabla1[[#This Row],[Stock]]-H267</f>
        <v>0</v>
      </c>
    </row>
    <row r="266" spans="8:9" ht="14.25" customHeight="1" x14ac:dyDescent="0.3">
      <c r="H266" s="710">
        <f t="shared" si="3"/>
        <v>0</v>
      </c>
      <c r="I266" s="708">
        <f>E268+Tabla1[[#This Row],[Vendidos]]-Tabla1[[#This Row],[Stock]]-H268</f>
        <v>0</v>
      </c>
    </row>
    <row r="267" spans="8:9" ht="14.25" customHeight="1" x14ac:dyDescent="0.3">
      <c r="H267" s="147">
        <f t="shared" ref="H267:H330" si="4">D267-E267-F267</f>
        <v>0</v>
      </c>
      <c r="I267" s="152">
        <f>E269+Tabla1[[#This Row],[Vendidos]]-Tabla1[[#This Row],[Stock]]-H269</f>
        <v>0</v>
      </c>
    </row>
    <row r="268" spans="8:9" ht="14.25" customHeight="1" x14ac:dyDescent="0.3">
      <c r="H268" s="710">
        <f t="shared" si="4"/>
        <v>0</v>
      </c>
      <c r="I268" s="708">
        <f>E270+Tabla1[[#This Row],[Vendidos]]-Tabla1[[#This Row],[Stock]]-H270</f>
        <v>0</v>
      </c>
    </row>
    <row r="269" spans="8:9" ht="14.25" customHeight="1" x14ac:dyDescent="0.3">
      <c r="H269" s="147">
        <f t="shared" si="4"/>
        <v>0</v>
      </c>
      <c r="I269" s="152">
        <f>E271+Tabla1[[#This Row],[Vendidos]]-Tabla1[[#This Row],[Stock]]-H271</f>
        <v>0</v>
      </c>
    </row>
    <row r="270" spans="8:9" ht="14.25" customHeight="1" x14ac:dyDescent="0.3">
      <c r="H270" s="710">
        <f t="shared" si="4"/>
        <v>0</v>
      </c>
      <c r="I270" s="708">
        <f>E272+Tabla1[[#This Row],[Vendidos]]-Tabla1[[#This Row],[Stock]]-H272</f>
        <v>0</v>
      </c>
    </row>
    <row r="271" spans="8:9" ht="14.25" customHeight="1" x14ac:dyDescent="0.3">
      <c r="H271" s="147">
        <f t="shared" si="4"/>
        <v>0</v>
      </c>
      <c r="I271" s="152">
        <f>E273+Tabla1[[#This Row],[Vendidos]]-Tabla1[[#This Row],[Stock]]-H273</f>
        <v>0</v>
      </c>
    </row>
    <row r="272" spans="8:9" ht="14.25" customHeight="1" x14ac:dyDescent="0.3">
      <c r="H272" s="710">
        <f t="shared" si="4"/>
        <v>0</v>
      </c>
      <c r="I272" s="708">
        <f>E274+Tabla1[[#This Row],[Vendidos]]-Tabla1[[#This Row],[Stock]]-H274</f>
        <v>0</v>
      </c>
    </row>
    <row r="273" spans="8:9" ht="14.25" customHeight="1" x14ac:dyDescent="0.3">
      <c r="H273" s="433">
        <f t="shared" si="4"/>
        <v>0</v>
      </c>
      <c r="I273" s="95">
        <f>E275+Tabla1[[#This Row],[Vendidos]]-Tabla1[[#This Row],[Stock]]-H275</f>
        <v>0</v>
      </c>
    </row>
    <row r="274" spans="8:9" ht="14.25" customHeight="1" x14ac:dyDescent="0.3">
      <c r="H274" s="709">
        <f t="shared" si="4"/>
        <v>0</v>
      </c>
      <c r="I274" s="706">
        <f>E276+Tabla1[[#This Row],[Vendidos]]-Tabla1[[#This Row],[Stock]]-H276</f>
        <v>0</v>
      </c>
    </row>
    <row r="275" spans="8:9" ht="14.25" customHeight="1" x14ac:dyDescent="0.3">
      <c r="H275" s="433">
        <f t="shared" si="4"/>
        <v>0</v>
      </c>
      <c r="I275" s="95">
        <f>E277+Tabla1[[#This Row],[Vendidos]]-Tabla1[[#This Row],[Stock]]-H277</f>
        <v>0</v>
      </c>
    </row>
    <row r="276" spans="8:9" ht="14.25" customHeight="1" x14ac:dyDescent="0.3">
      <c r="H276" s="709">
        <f t="shared" si="4"/>
        <v>0</v>
      </c>
      <c r="I276" s="706">
        <f>E278+Tabla1[[#This Row],[Vendidos]]-Tabla1[[#This Row],[Stock]]-H278</f>
        <v>0</v>
      </c>
    </row>
    <row r="277" spans="8:9" ht="14.25" customHeight="1" x14ac:dyDescent="0.3">
      <c r="H277" s="433">
        <f t="shared" si="4"/>
        <v>0</v>
      </c>
      <c r="I277" s="95">
        <f>E279+Tabla1[[#This Row],[Vendidos]]-Tabla1[[#This Row],[Stock]]-H279</f>
        <v>0</v>
      </c>
    </row>
    <row r="278" spans="8:9" ht="14.25" customHeight="1" x14ac:dyDescent="0.3">
      <c r="H278" s="709">
        <f t="shared" si="4"/>
        <v>0</v>
      </c>
      <c r="I278" s="706">
        <f>E280+Tabla1[[#This Row],[Vendidos]]-Tabla1[[#This Row],[Stock]]-H280</f>
        <v>0</v>
      </c>
    </row>
    <row r="279" spans="8:9" ht="14.25" customHeight="1" x14ac:dyDescent="0.3">
      <c r="H279" s="433">
        <f t="shared" si="4"/>
        <v>0</v>
      </c>
      <c r="I279" s="95">
        <f>E281+Tabla1[[#This Row],[Vendidos]]-Tabla1[[#This Row],[Stock]]-H281</f>
        <v>0</v>
      </c>
    </row>
    <row r="280" spans="8:9" ht="14.25" customHeight="1" x14ac:dyDescent="0.3">
      <c r="H280" s="709">
        <f t="shared" si="4"/>
        <v>0</v>
      </c>
      <c r="I280" s="706">
        <f>E282+Tabla1[[#This Row],[Vendidos]]-Tabla1[[#This Row],[Stock]]-H282</f>
        <v>0</v>
      </c>
    </row>
    <row r="281" spans="8:9" ht="14.25" customHeight="1" x14ac:dyDescent="0.3">
      <c r="H281" s="433">
        <f t="shared" si="4"/>
        <v>0</v>
      </c>
      <c r="I281" s="95">
        <f>E283+Tabla1[[#This Row],[Vendidos]]-Tabla1[[#This Row],[Stock]]-H283</f>
        <v>0</v>
      </c>
    </row>
    <row r="282" spans="8:9" ht="14.25" customHeight="1" x14ac:dyDescent="0.3">
      <c r="H282" s="709">
        <f t="shared" si="4"/>
        <v>0</v>
      </c>
      <c r="I282" s="706">
        <f>E284+Tabla1[[#This Row],[Vendidos]]-Tabla1[[#This Row],[Stock]]-H284</f>
        <v>0</v>
      </c>
    </row>
    <row r="283" spans="8:9" ht="14.25" customHeight="1" x14ac:dyDescent="0.3">
      <c r="H283" s="433">
        <f t="shared" si="4"/>
        <v>0</v>
      </c>
      <c r="I283" s="95">
        <f>E285+Tabla1[[#This Row],[Vendidos]]-Tabla1[[#This Row],[Stock]]-H285</f>
        <v>0</v>
      </c>
    </row>
    <row r="284" spans="8:9" ht="14.25" customHeight="1" x14ac:dyDescent="0.3">
      <c r="H284" s="709">
        <f t="shared" si="4"/>
        <v>0</v>
      </c>
      <c r="I284" s="706">
        <f>E286+Tabla1[[#This Row],[Vendidos]]-Tabla1[[#This Row],[Stock]]-H286</f>
        <v>0</v>
      </c>
    </row>
    <row r="285" spans="8:9" ht="14.25" customHeight="1" x14ac:dyDescent="0.3">
      <c r="H285" s="433">
        <f t="shared" si="4"/>
        <v>0</v>
      </c>
      <c r="I285" s="95">
        <f>E287+Tabla1[[#This Row],[Vendidos]]-Tabla1[[#This Row],[Stock]]-H287</f>
        <v>0</v>
      </c>
    </row>
    <row r="286" spans="8:9" ht="14.25" customHeight="1" x14ac:dyDescent="0.3">
      <c r="H286" s="709">
        <f t="shared" si="4"/>
        <v>0</v>
      </c>
      <c r="I286" s="706">
        <f>E288+Tabla1[[#This Row],[Vendidos]]-Tabla1[[#This Row],[Stock]]-H288</f>
        <v>0</v>
      </c>
    </row>
    <row r="287" spans="8:9" ht="14.25" customHeight="1" x14ac:dyDescent="0.3">
      <c r="H287" s="433">
        <f t="shared" si="4"/>
        <v>0</v>
      </c>
      <c r="I287" s="95">
        <f>E289+Tabla1[[#This Row],[Vendidos]]-Tabla1[[#This Row],[Stock]]-H289</f>
        <v>0</v>
      </c>
    </row>
    <row r="288" spans="8:9" ht="14.25" customHeight="1" x14ac:dyDescent="0.3">
      <c r="H288" s="709">
        <f t="shared" si="4"/>
        <v>0</v>
      </c>
      <c r="I288" s="706">
        <f>E290+Tabla1[[#This Row],[Vendidos]]-Tabla1[[#This Row],[Stock]]-H290</f>
        <v>0</v>
      </c>
    </row>
    <row r="289" spans="8:9" ht="14.25" customHeight="1" x14ac:dyDescent="0.3">
      <c r="H289" s="433">
        <f t="shared" si="4"/>
        <v>0</v>
      </c>
      <c r="I289" s="95">
        <f>E291+Tabla1[[#This Row],[Vendidos]]-Tabla1[[#This Row],[Stock]]-H291</f>
        <v>0</v>
      </c>
    </row>
    <row r="290" spans="8:9" ht="14.25" customHeight="1" x14ac:dyDescent="0.3">
      <c r="H290" s="709">
        <f t="shared" si="4"/>
        <v>0</v>
      </c>
      <c r="I290" s="706">
        <f>E292+Tabla1[[#This Row],[Vendidos]]-Tabla1[[#This Row],[Stock]]-H292</f>
        <v>0</v>
      </c>
    </row>
    <row r="291" spans="8:9" ht="14.25" customHeight="1" x14ac:dyDescent="0.3">
      <c r="H291" s="433">
        <f t="shared" si="4"/>
        <v>0</v>
      </c>
      <c r="I291" s="95">
        <f>E293+Tabla1[[#This Row],[Vendidos]]-Tabla1[[#This Row],[Stock]]-H293</f>
        <v>0</v>
      </c>
    </row>
    <row r="292" spans="8:9" ht="14.25" customHeight="1" x14ac:dyDescent="0.3">
      <c r="H292" s="709">
        <f t="shared" si="4"/>
        <v>0</v>
      </c>
      <c r="I292" s="706">
        <f>E294+Tabla1[[#This Row],[Vendidos]]-Tabla1[[#This Row],[Stock]]-H294</f>
        <v>0</v>
      </c>
    </row>
    <row r="293" spans="8:9" ht="14.25" customHeight="1" x14ac:dyDescent="0.3">
      <c r="H293" s="433">
        <f t="shared" si="4"/>
        <v>0</v>
      </c>
      <c r="I293" s="95">
        <f>E295+Tabla1[[#This Row],[Vendidos]]-Tabla1[[#This Row],[Stock]]-H295</f>
        <v>0</v>
      </c>
    </row>
    <row r="294" spans="8:9" ht="14.25" customHeight="1" x14ac:dyDescent="0.3">
      <c r="H294" s="709">
        <f t="shared" si="4"/>
        <v>0</v>
      </c>
      <c r="I294" s="706">
        <f>E296+Tabla1[[#This Row],[Vendidos]]-Tabla1[[#This Row],[Stock]]-H296</f>
        <v>0</v>
      </c>
    </row>
    <row r="295" spans="8:9" ht="14.25" customHeight="1" x14ac:dyDescent="0.3">
      <c r="H295" s="433">
        <f t="shared" si="4"/>
        <v>0</v>
      </c>
      <c r="I295" s="95">
        <f>E297+Tabla1[[#This Row],[Vendidos]]-Tabla1[[#This Row],[Stock]]-H297</f>
        <v>0</v>
      </c>
    </row>
    <row r="296" spans="8:9" ht="14.25" customHeight="1" x14ac:dyDescent="0.3">
      <c r="H296" s="709">
        <f t="shared" si="4"/>
        <v>0</v>
      </c>
      <c r="I296" s="706">
        <f>E298+Tabla1[[#This Row],[Vendidos]]-Tabla1[[#This Row],[Stock]]-H298</f>
        <v>0</v>
      </c>
    </row>
    <row r="297" spans="8:9" ht="14.25" customHeight="1" x14ac:dyDescent="0.3">
      <c r="H297" s="433">
        <f t="shared" si="4"/>
        <v>0</v>
      </c>
      <c r="I297" s="95">
        <f>E299+Tabla1[[#This Row],[Vendidos]]-Tabla1[[#This Row],[Stock]]-H299</f>
        <v>0</v>
      </c>
    </row>
    <row r="298" spans="8:9" ht="14.25" customHeight="1" x14ac:dyDescent="0.3">
      <c r="H298" s="709">
        <f t="shared" si="4"/>
        <v>0</v>
      </c>
      <c r="I298" s="706">
        <f>E300+Tabla1[[#This Row],[Vendidos]]-Tabla1[[#This Row],[Stock]]-H300</f>
        <v>0</v>
      </c>
    </row>
    <row r="299" spans="8:9" ht="14.25" customHeight="1" x14ac:dyDescent="0.3">
      <c r="H299" s="433">
        <f t="shared" si="4"/>
        <v>0</v>
      </c>
      <c r="I299" s="95">
        <f>E301+Tabla1[[#This Row],[Vendidos]]-Tabla1[[#This Row],[Stock]]-H301</f>
        <v>0</v>
      </c>
    </row>
    <row r="300" spans="8:9" ht="14.25" customHeight="1" x14ac:dyDescent="0.3">
      <c r="H300" s="709">
        <f t="shared" si="4"/>
        <v>0</v>
      </c>
      <c r="I300" s="706">
        <f>E302+Tabla1[[#This Row],[Vendidos]]-Tabla1[[#This Row],[Stock]]-H302</f>
        <v>0</v>
      </c>
    </row>
    <row r="301" spans="8:9" ht="14.25" customHeight="1" x14ac:dyDescent="0.3">
      <c r="H301" s="433">
        <f t="shared" si="4"/>
        <v>0</v>
      </c>
      <c r="I301" s="95">
        <f>E303+Tabla1[[#This Row],[Vendidos]]-Tabla1[[#This Row],[Stock]]-H303</f>
        <v>0</v>
      </c>
    </row>
    <row r="302" spans="8:9" ht="14.25" customHeight="1" x14ac:dyDescent="0.3">
      <c r="H302" s="709">
        <f t="shared" si="4"/>
        <v>0</v>
      </c>
      <c r="I302" s="706">
        <f>E304+Tabla1[[#This Row],[Vendidos]]-Tabla1[[#This Row],[Stock]]-H304</f>
        <v>0</v>
      </c>
    </row>
    <row r="303" spans="8:9" ht="14.25" customHeight="1" x14ac:dyDescent="0.3">
      <c r="H303" s="433">
        <f t="shared" si="4"/>
        <v>0</v>
      </c>
      <c r="I303" s="95">
        <f>E305+Tabla1[[#This Row],[Vendidos]]-Tabla1[[#This Row],[Stock]]-H305</f>
        <v>0</v>
      </c>
    </row>
    <row r="304" spans="8:9" ht="14.25" customHeight="1" x14ac:dyDescent="0.3">
      <c r="H304" s="709">
        <f t="shared" si="4"/>
        <v>0</v>
      </c>
      <c r="I304" s="706">
        <f>E306+Tabla1[[#This Row],[Vendidos]]-Tabla1[[#This Row],[Stock]]-H306</f>
        <v>0</v>
      </c>
    </row>
    <row r="305" spans="8:9" ht="14.25" customHeight="1" x14ac:dyDescent="0.3">
      <c r="H305" s="433">
        <f t="shared" si="4"/>
        <v>0</v>
      </c>
      <c r="I305" s="95">
        <f>E307+Tabla1[[#This Row],[Vendidos]]-Tabla1[[#This Row],[Stock]]-H307</f>
        <v>0</v>
      </c>
    </row>
    <row r="306" spans="8:9" ht="14.25" customHeight="1" x14ac:dyDescent="0.3">
      <c r="H306" s="709">
        <f t="shared" si="4"/>
        <v>0</v>
      </c>
      <c r="I306" s="706">
        <f>E308+Tabla1[[#This Row],[Vendidos]]-Tabla1[[#This Row],[Stock]]-H308</f>
        <v>0</v>
      </c>
    </row>
    <row r="307" spans="8:9" ht="14.25" customHeight="1" x14ac:dyDescent="0.3">
      <c r="H307" s="433">
        <f t="shared" si="4"/>
        <v>0</v>
      </c>
      <c r="I307" s="95">
        <f>E309+Tabla1[[#This Row],[Vendidos]]-Tabla1[[#This Row],[Stock]]-H309</f>
        <v>0</v>
      </c>
    </row>
    <row r="308" spans="8:9" ht="14.25" customHeight="1" x14ac:dyDescent="0.3">
      <c r="H308" s="709">
        <f t="shared" si="4"/>
        <v>0</v>
      </c>
      <c r="I308" s="706">
        <f>E310+Tabla1[[#This Row],[Vendidos]]-Tabla1[[#This Row],[Stock]]-H310</f>
        <v>0</v>
      </c>
    </row>
    <row r="309" spans="8:9" ht="14.25" customHeight="1" x14ac:dyDescent="0.3">
      <c r="H309" s="433">
        <f t="shared" si="4"/>
        <v>0</v>
      </c>
      <c r="I309" s="95">
        <f>E311+Tabla1[[#This Row],[Vendidos]]-Tabla1[[#This Row],[Stock]]-H311</f>
        <v>0</v>
      </c>
    </row>
    <row r="310" spans="8:9" ht="14.25" customHeight="1" x14ac:dyDescent="0.3">
      <c r="H310" s="709">
        <f t="shared" si="4"/>
        <v>0</v>
      </c>
      <c r="I310" s="706">
        <f>E312+Tabla1[[#This Row],[Vendidos]]-Tabla1[[#This Row],[Stock]]-H312</f>
        <v>0</v>
      </c>
    </row>
    <row r="311" spans="8:9" ht="14.25" customHeight="1" x14ac:dyDescent="0.3">
      <c r="H311" s="433">
        <f t="shared" si="4"/>
        <v>0</v>
      </c>
      <c r="I311" s="95">
        <f>E313+Tabla1[[#This Row],[Vendidos]]-Tabla1[[#This Row],[Stock]]-H313</f>
        <v>0</v>
      </c>
    </row>
    <row r="312" spans="8:9" ht="14.25" customHeight="1" x14ac:dyDescent="0.3">
      <c r="H312" s="709">
        <f t="shared" si="4"/>
        <v>0</v>
      </c>
      <c r="I312" s="706">
        <f>E314+Tabla1[[#This Row],[Vendidos]]-Tabla1[[#This Row],[Stock]]-H314</f>
        <v>0</v>
      </c>
    </row>
    <row r="313" spans="8:9" ht="14.25" customHeight="1" x14ac:dyDescent="0.3">
      <c r="H313" s="433">
        <f t="shared" si="4"/>
        <v>0</v>
      </c>
      <c r="I313" s="95">
        <f>E315+Tabla1[[#This Row],[Vendidos]]-Tabla1[[#This Row],[Stock]]-H315</f>
        <v>0</v>
      </c>
    </row>
    <row r="314" spans="8:9" ht="14.25" customHeight="1" x14ac:dyDescent="0.3">
      <c r="H314" s="709">
        <f t="shared" si="4"/>
        <v>0</v>
      </c>
      <c r="I314" s="706">
        <f>E316+Tabla1[[#This Row],[Vendidos]]-Tabla1[[#This Row],[Stock]]-H316</f>
        <v>0</v>
      </c>
    </row>
    <row r="315" spans="8:9" ht="14.25" customHeight="1" x14ac:dyDescent="0.3">
      <c r="H315" s="433">
        <f t="shared" si="4"/>
        <v>0</v>
      </c>
      <c r="I315" s="95">
        <f>E317+Tabla1[[#This Row],[Vendidos]]-Tabla1[[#This Row],[Stock]]-H317</f>
        <v>0</v>
      </c>
    </row>
    <row r="316" spans="8:9" ht="14.25" customHeight="1" x14ac:dyDescent="0.3">
      <c r="H316" s="709">
        <f t="shared" si="4"/>
        <v>0</v>
      </c>
      <c r="I316" s="706">
        <f>E318+Tabla1[[#This Row],[Vendidos]]-Tabla1[[#This Row],[Stock]]-H318</f>
        <v>0</v>
      </c>
    </row>
    <row r="317" spans="8:9" ht="14.25" customHeight="1" x14ac:dyDescent="0.3">
      <c r="H317" s="433">
        <f t="shared" si="4"/>
        <v>0</v>
      </c>
      <c r="I317" s="95">
        <f>E319+Tabla1[[#This Row],[Vendidos]]-Tabla1[[#This Row],[Stock]]-H319</f>
        <v>0</v>
      </c>
    </row>
    <row r="318" spans="8:9" ht="14.25" customHeight="1" x14ac:dyDescent="0.3">
      <c r="H318" s="709">
        <f t="shared" si="4"/>
        <v>0</v>
      </c>
      <c r="I318" s="706">
        <f>E320+Tabla1[[#This Row],[Vendidos]]-Tabla1[[#This Row],[Stock]]-H320</f>
        <v>0</v>
      </c>
    </row>
    <row r="319" spans="8:9" ht="14.25" customHeight="1" x14ac:dyDescent="0.3">
      <c r="H319" s="433">
        <f t="shared" si="4"/>
        <v>0</v>
      </c>
      <c r="I319" s="95">
        <f>E321+Tabla1[[#This Row],[Vendidos]]-Tabla1[[#This Row],[Stock]]-H321</f>
        <v>0</v>
      </c>
    </row>
    <row r="320" spans="8:9" ht="14.25" customHeight="1" x14ac:dyDescent="0.3">
      <c r="H320" s="709">
        <f t="shared" si="4"/>
        <v>0</v>
      </c>
      <c r="I320" s="706">
        <f>E322+Tabla1[[#This Row],[Vendidos]]-Tabla1[[#This Row],[Stock]]-H322</f>
        <v>0</v>
      </c>
    </row>
    <row r="321" spans="8:9" ht="14.25" customHeight="1" x14ac:dyDescent="0.3">
      <c r="H321" s="433">
        <f t="shared" si="4"/>
        <v>0</v>
      </c>
      <c r="I321" s="95">
        <f>E323+Tabla1[[#This Row],[Vendidos]]-Tabla1[[#This Row],[Stock]]-H323</f>
        <v>0</v>
      </c>
    </row>
    <row r="322" spans="8:9" ht="14.25" customHeight="1" x14ac:dyDescent="0.3">
      <c r="H322" s="709">
        <f t="shared" si="4"/>
        <v>0</v>
      </c>
      <c r="I322" s="706">
        <f>E324+Tabla1[[#This Row],[Vendidos]]-Tabla1[[#This Row],[Stock]]-H324</f>
        <v>0</v>
      </c>
    </row>
    <row r="323" spans="8:9" ht="14.25" customHeight="1" x14ac:dyDescent="0.3">
      <c r="H323" s="433">
        <f t="shared" si="4"/>
        <v>0</v>
      </c>
      <c r="I323" s="95">
        <f>E325+Tabla1[[#This Row],[Vendidos]]-Tabla1[[#This Row],[Stock]]-H325</f>
        <v>0</v>
      </c>
    </row>
    <row r="324" spans="8:9" ht="14.25" customHeight="1" x14ac:dyDescent="0.3">
      <c r="H324" s="709">
        <f t="shared" si="4"/>
        <v>0</v>
      </c>
      <c r="I324" s="706">
        <f>E326+Tabla1[[#This Row],[Vendidos]]-Tabla1[[#This Row],[Stock]]-H326</f>
        <v>0</v>
      </c>
    </row>
    <row r="325" spans="8:9" ht="14.25" customHeight="1" x14ac:dyDescent="0.3">
      <c r="H325" s="433">
        <f t="shared" si="4"/>
        <v>0</v>
      </c>
      <c r="I325" s="95">
        <f>E327+Tabla1[[#This Row],[Vendidos]]-Tabla1[[#This Row],[Stock]]-H327</f>
        <v>0</v>
      </c>
    </row>
    <row r="326" spans="8:9" ht="14.25" customHeight="1" x14ac:dyDescent="0.3">
      <c r="H326" s="709">
        <f t="shared" si="4"/>
        <v>0</v>
      </c>
      <c r="I326" s="706">
        <f>E328+Tabla1[[#This Row],[Vendidos]]-Tabla1[[#This Row],[Stock]]-H328</f>
        <v>0</v>
      </c>
    </row>
    <row r="327" spans="8:9" ht="14.25" customHeight="1" x14ac:dyDescent="0.3">
      <c r="H327" s="433">
        <f t="shared" si="4"/>
        <v>0</v>
      </c>
      <c r="I327" s="95">
        <f>E329+Tabla1[[#This Row],[Vendidos]]-Tabla1[[#This Row],[Stock]]-H329</f>
        <v>0</v>
      </c>
    </row>
    <row r="328" spans="8:9" ht="14.25" customHeight="1" x14ac:dyDescent="0.3">
      <c r="H328" s="709">
        <f t="shared" si="4"/>
        <v>0</v>
      </c>
      <c r="I328" s="706">
        <f>E330+Tabla1[[#This Row],[Vendidos]]-Tabla1[[#This Row],[Stock]]-H330</f>
        <v>0</v>
      </c>
    </row>
    <row r="329" spans="8:9" ht="14.25" customHeight="1" x14ac:dyDescent="0.3">
      <c r="H329" s="433">
        <f t="shared" si="4"/>
        <v>0</v>
      </c>
      <c r="I329" s="95">
        <f>E331+Tabla1[[#This Row],[Vendidos]]-Tabla1[[#This Row],[Stock]]-H331</f>
        <v>0</v>
      </c>
    </row>
    <row r="330" spans="8:9" ht="14.25" customHeight="1" x14ac:dyDescent="0.3">
      <c r="H330" s="709">
        <f t="shared" si="4"/>
        <v>0</v>
      </c>
      <c r="I330" s="706">
        <f>E332+Tabla1[[#This Row],[Vendidos]]-Tabla1[[#This Row],[Stock]]-H332</f>
        <v>0</v>
      </c>
    </row>
    <row r="331" spans="8:9" ht="14.25" customHeight="1" x14ac:dyDescent="0.3">
      <c r="H331" s="433">
        <f t="shared" ref="H331:H386" si="5">D331-E331-F331</f>
        <v>0</v>
      </c>
      <c r="I331" s="95">
        <f>E333+Tabla1[[#This Row],[Vendidos]]-Tabla1[[#This Row],[Stock]]-H333</f>
        <v>0</v>
      </c>
    </row>
    <row r="332" spans="8:9" ht="14.25" customHeight="1" x14ac:dyDescent="0.3">
      <c r="H332" s="709">
        <f t="shared" si="5"/>
        <v>0</v>
      </c>
      <c r="I332" s="706">
        <f>E334+Tabla1[[#This Row],[Vendidos]]-Tabla1[[#This Row],[Stock]]-H334</f>
        <v>0</v>
      </c>
    </row>
    <row r="333" spans="8:9" ht="14.25" customHeight="1" x14ac:dyDescent="0.3">
      <c r="H333" s="433">
        <f t="shared" si="5"/>
        <v>0</v>
      </c>
      <c r="I333" s="95">
        <f>E335+Tabla1[[#This Row],[Vendidos]]-Tabla1[[#This Row],[Stock]]-H335</f>
        <v>0</v>
      </c>
    </row>
    <row r="334" spans="8:9" ht="14.25" customHeight="1" x14ac:dyDescent="0.3">
      <c r="H334" s="709">
        <f t="shared" si="5"/>
        <v>0</v>
      </c>
      <c r="I334" s="706">
        <f>E336+Tabla1[[#This Row],[Vendidos]]-Tabla1[[#This Row],[Stock]]-H336</f>
        <v>0</v>
      </c>
    </row>
    <row r="335" spans="8:9" ht="14.25" customHeight="1" x14ac:dyDescent="0.3">
      <c r="H335" s="433">
        <f t="shared" si="5"/>
        <v>0</v>
      </c>
      <c r="I335" s="95">
        <f>E337+Tabla1[[#This Row],[Vendidos]]-Tabla1[[#This Row],[Stock]]-H337</f>
        <v>0</v>
      </c>
    </row>
    <row r="336" spans="8:9" ht="14.25" customHeight="1" x14ac:dyDescent="0.3">
      <c r="H336" s="709">
        <f t="shared" si="5"/>
        <v>0</v>
      </c>
      <c r="I336" s="706">
        <f>E338+Tabla1[[#This Row],[Vendidos]]-Tabla1[[#This Row],[Stock]]-H338</f>
        <v>0</v>
      </c>
    </row>
    <row r="337" spans="8:9" ht="14.25" customHeight="1" x14ac:dyDescent="0.3">
      <c r="H337" s="433">
        <f t="shared" si="5"/>
        <v>0</v>
      </c>
      <c r="I337" s="95">
        <f>E339+Tabla1[[#This Row],[Vendidos]]-Tabla1[[#This Row],[Stock]]-H339</f>
        <v>0</v>
      </c>
    </row>
    <row r="338" spans="8:9" ht="14.25" customHeight="1" x14ac:dyDescent="0.3">
      <c r="H338" s="709">
        <f t="shared" si="5"/>
        <v>0</v>
      </c>
      <c r="I338" s="706">
        <f>E340+Tabla1[[#This Row],[Vendidos]]-Tabla1[[#This Row],[Stock]]-H340</f>
        <v>0</v>
      </c>
    </row>
    <row r="339" spans="8:9" ht="14.25" customHeight="1" x14ac:dyDescent="0.3">
      <c r="H339" s="433">
        <f t="shared" si="5"/>
        <v>0</v>
      </c>
      <c r="I339" s="95">
        <f>E341+Tabla1[[#This Row],[Vendidos]]-Tabla1[[#This Row],[Stock]]-H341</f>
        <v>0</v>
      </c>
    </row>
    <row r="340" spans="8:9" ht="14.25" customHeight="1" x14ac:dyDescent="0.3">
      <c r="H340" s="709">
        <f t="shared" si="5"/>
        <v>0</v>
      </c>
      <c r="I340" s="706">
        <f>E342+Tabla1[[#This Row],[Vendidos]]-Tabla1[[#This Row],[Stock]]-H342</f>
        <v>0</v>
      </c>
    </row>
    <row r="341" spans="8:9" ht="14.25" customHeight="1" x14ac:dyDescent="0.3">
      <c r="H341" s="433">
        <f t="shared" si="5"/>
        <v>0</v>
      </c>
      <c r="I341" s="95">
        <f>E343+Tabla1[[#This Row],[Vendidos]]-Tabla1[[#This Row],[Stock]]-H343</f>
        <v>0</v>
      </c>
    </row>
    <row r="342" spans="8:9" ht="14.25" customHeight="1" x14ac:dyDescent="0.3">
      <c r="H342" s="709">
        <f t="shared" si="5"/>
        <v>0</v>
      </c>
      <c r="I342" s="706">
        <f>E344+Tabla1[[#This Row],[Vendidos]]-Tabla1[[#This Row],[Stock]]-H344</f>
        <v>0</v>
      </c>
    </row>
    <row r="343" spans="8:9" ht="14.25" customHeight="1" x14ac:dyDescent="0.3">
      <c r="H343" s="433">
        <f t="shared" si="5"/>
        <v>0</v>
      </c>
      <c r="I343" s="95">
        <f>E345+Tabla1[[#This Row],[Vendidos]]-Tabla1[[#This Row],[Stock]]-H345</f>
        <v>0</v>
      </c>
    </row>
    <row r="344" spans="8:9" ht="14.25" customHeight="1" x14ac:dyDescent="0.3">
      <c r="H344" s="709">
        <f t="shared" si="5"/>
        <v>0</v>
      </c>
      <c r="I344" s="706">
        <f>E346+Tabla1[[#This Row],[Vendidos]]-Tabla1[[#This Row],[Stock]]-H346</f>
        <v>0</v>
      </c>
    </row>
    <row r="345" spans="8:9" ht="14.25" customHeight="1" x14ac:dyDescent="0.3">
      <c r="H345" s="433">
        <f t="shared" si="5"/>
        <v>0</v>
      </c>
      <c r="I345" s="95">
        <f>E347+Tabla1[[#This Row],[Vendidos]]-Tabla1[[#This Row],[Stock]]-H347</f>
        <v>0</v>
      </c>
    </row>
    <row r="346" spans="8:9" ht="14.25" customHeight="1" x14ac:dyDescent="0.3">
      <c r="H346" s="709">
        <f t="shared" si="5"/>
        <v>0</v>
      </c>
      <c r="I346" s="706">
        <f>E348+Tabla1[[#This Row],[Vendidos]]-Tabla1[[#This Row],[Stock]]-H348</f>
        <v>0</v>
      </c>
    </row>
    <row r="347" spans="8:9" ht="14.25" customHeight="1" x14ac:dyDescent="0.3">
      <c r="H347" s="433">
        <f t="shared" si="5"/>
        <v>0</v>
      </c>
      <c r="I347" s="95">
        <f>E349+Tabla1[[#This Row],[Vendidos]]-Tabla1[[#This Row],[Stock]]-H349</f>
        <v>0</v>
      </c>
    </row>
    <row r="348" spans="8:9" ht="14.25" customHeight="1" x14ac:dyDescent="0.3">
      <c r="H348" s="709">
        <f t="shared" si="5"/>
        <v>0</v>
      </c>
      <c r="I348" s="706">
        <f>E350+Tabla1[[#This Row],[Vendidos]]-Tabla1[[#This Row],[Stock]]-H350</f>
        <v>0</v>
      </c>
    </row>
    <row r="349" spans="8:9" ht="14.25" customHeight="1" x14ac:dyDescent="0.3">
      <c r="H349" s="433">
        <f t="shared" si="5"/>
        <v>0</v>
      </c>
      <c r="I349" s="95">
        <f>E351+Tabla1[[#This Row],[Vendidos]]-Tabla1[[#This Row],[Stock]]-H351</f>
        <v>0</v>
      </c>
    </row>
    <row r="350" spans="8:9" ht="14.25" customHeight="1" x14ac:dyDescent="0.3">
      <c r="H350" s="709">
        <f t="shared" si="5"/>
        <v>0</v>
      </c>
      <c r="I350" s="706">
        <f>E352+Tabla1[[#This Row],[Vendidos]]-Tabla1[[#This Row],[Stock]]-H352</f>
        <v>0</v>
      </c>
    </row>
    <row r="351" spans="8:9" ht="14.25" customHeight="1" x14ac:dyDescent="0.3">
      <c r="H351" s="433">
        <f t="shared" si="5"/>
        <v>0</v>
      </c>
      <c r="I351" s="95">
        <f>E353+Tabla1[[#This Row],[Vendidos]]-Tabla1[[#This Row],[Stock]]-H353</f>
        <v>0</v>
      </c>
    </row>
    <row r="352" spans="8:9" ht="14.25" customHeight="1" x14ac:dyDescent="0.3">
      <c r="H352" s="709">
        <f t="shared" si="5"/>
        <v>0</v>
      </c>
      <c r="I352" s="706">
        <f>E354+Tabla1[[#This Row],[Vendidos]]-Tabla1[[#This Row],[Stock]]-H354</f>
        <v>0</v>
      </c>
    </row>
    <row r="353" spans="8:9" ht="14.25" customHeight="1" x14ac:dyDescent="0.3">
      <c r="H353" s="433">
        <f t="shared" si="5"/>
        <v>0</v>
      </c>
      <c r="I353" s="95">
        <f>E355+Tabla1[[#This Row],[Vendidos]]-Tabla1[[#This Row],[Stock]]-H355</f>
        <v>0</v>
      </c>
    </row>
    <row r="354" spans="8:9" ht="14.25" customHeight="1" x14ac:dyDescent="0.3">
      <c r="H354" s="709">
        <f t="shared" si="5"/>
        <v>0</v>
      </c>
      <c r="I354" s="706">
        <f>E356+Tabla1[[#This Row],[Vendidos]]-Tabla1[[#This Row],[Stock]]-H356</f>
        <v>0</v>
      </c>
    </row>
    <row r="355" spans="8:9" ht="14.25" customHeight="1" x14ac:dyDescent="0.3">
      <c r="H355" s="433">
        <f t="shared" si="5"/>
        <v>0</v>
      </c>
      <c r="I355" s="95">
        <f>E357+Tabla1[[#This Row],[Vendidos]]-Tabla1[[#This Row],[Stock]]-H357</f>
        <v>0</v>
      </c>
    </row>
    <row r="356" spans="8:9" ht="14.25" customHeight="1" x14ac:dyDescent="0.3">
      <c r="H356" s="709">
        <f t="shared" si="5"/>
        <v>0</v>
      </c>
      <c r="I356" s="706">
        <f>E358+Tabla1[[#This Row],[Vendidos]]-Tabla1[[#This Row],[Stock]]-H358</f>
        <v>0</v>
      </c>
    </row>
    <row r="357" spans="8:9" ht="14.25" customHeight="1" x14ac:dyDescent="0.3">
      <c r="H357" s="433">
        <f t="shared" si="5"/>
        <v>0</v>
      </c>
      <c r="I357" s="95">
        <f>E359+Tabla1[[#This Row],[Vendidos]]-Tabla1[[#This Row],[Stock]]-H359</f>
        <v>0</v>
      </c>
    </row>
    <row r="358" spans="8:9" ht="14.25" customHeight="1" x14ac:dyDescent="0.3">
      <c r="H358" s="709">
        <f t="shared" si="5"/>
        <v>0</v>
      </c>
      <c r="I358" s="706">
        <f>E360+Tabla1[[#This Row],[Vendidos]]-Tabla1[[#This Row],[Stock]]-H360</f>
        <v>0</v>
      </c>
    </row>
    <row r="359" spans="8:9" ht="14.25" customHeight="1" x14ac:dyDescent="0.3">
      <c r="H359" s="433">
        <f t="shared" si="5"/>
        <v>0</v>
      </c>
      <c r="I359" s="95">
        <f>E361+Tabla1[[#This Row],[Vendidos]]-Tabla1[[#This Row],[Stock]]-H361</f>
        <v>0</v>
      </c>
    </row>
    <row r="360" spans="8:9" ht="14.25" customHeight="1" x14ac:dyDescent="0.3">
      <c r="H360" s="709">
        <f t="shared" si="5"/>
        <v>0</v>
      </c>
      <c r="I360" s="706">
        <f>E362+Tabla1[[#This Row],[Vendidos]]-Tabla1[[#This Row],[Stock]]-H362</f>
        <v>0</v>
      </c>
    </row>
    <row r="361" spans="8:9" ht="14.25" customHeight="1" x14ac:dyDescent="0.3">
      <c r="H361" s="433">
        <f t="shared" si="5"/>
        <v>0</v>
      </c>
      <c r="I361" s="95">
        <f>E363+Tabla1[[#This Row],[Vendidos]]-Tabla1[[#This Row],[Stock]]-H363</f>
        <v>0</v>
      </c>
    </row>
    <row r="362" spans="8:9" ht="14.25" customHeight="1" x14ac:dyDescent="0.3">
      <c r="H362" s="709">
        <f t="shared" si="5"/>
        <v>0</v>
      </c>
      <c r="I362" s="706">
        <f>E364+Tabla1[[#This Row],[Vendidos]]-Tabla1[[#This Row],[Stock]]-H364</f>
        <v>0</v>
      </c>
    </row>
    <row r="363" spans="8:9" ht="14.25" customHeight="1" x14ac:dyDescent="0.3">
      <c r="H363" s="433">
        <f t="shared" si="5"/>
        <v>0</v>
      </c>
      <c r="I363" s="95">
        <f>E365+Tabla1[[#This Row],[Vendidos]]-Tabla1[[#This Row],[Stock]]-H365</f>
        <v>0</v>
      </c>
    </row>
    <row r="364" spans="8:9" ht="14.25" customHeight="1" x14ac:dyDescent="0.3">
      <c r="H364" s="709">
        <f t="shared" si="5"/>
        <v>0</v>
      </c>
      <c r="I364" s="706">
        <f>E366+Tabla1[[#This Row],[Vendidos]]-Tabla1[[#This Row],[Stock]]-H366</f>
        <v>0</v>
      </c>
    </row>
    <row r="365" spans="8:9" ht="14.25" customHeight="1" x14ac:dyDescent="0.3">
      <c r="H365" s="433">
        <f t="shared" si="5"/>
        <v>0</v>
      </c>
      <c r="I365" s="95">
        <f>E367+Tabla1[[#This Row],[Vendidos]]-Tabla1[[#This Row],[Stock]]-H367</f>
        <v>0</v>
      </c>
    </row>
    <row r="366" spans="8:9" ht="14.25" customHeight="1" x14ac:dyDescent="0.3">
      <c r="H366" s="709">
        <f t="shared" si="5"/>
        <v>0</v>
      </c>
      <c r="I366" s="706">
        <f>E368+Tabla1[[#This Row],[Vendidos]]-Tabla1[[#This Row],[Stock]]-H368</f>
        <v>0</v>
      </c>
    </row>
    <row r="367" spans="8:9" ht="14.25" customHeight="1" x14ac:dyDescent="0.3">
      <c r="H367" s="433">
        <f t="shared" si="5"/>
        <v>0</v>
      </c>
      <c r="I367" s="95">
        <f>E369+Tabla1[[#This Row],[Vendidos]]-Tabla1[[#This Row],[Stock]]-H369</f>
        <v>0</v>
      </c>
    </row>
    <row r="368" spans="8:9" ht="14.25" customHeight="1" x14ac:dyDescent="0.3">
      <c r="H368" s="709">
        <f t="shared" si="5"/>
        <v>0</v>
      </c>
      <c r="I368" s="706">
        <f>E370+Tabla1[[#This Row],[Vendidos]]-Tabla1[[#This Row],[Stock]]-H370</f>
        <v>0</v>
      </c>
    </row>
    <row r="369" spans="8:9" ht="14.25" customHeight="1" x14ac:dyDescent="0.3">
      <c r="H369" s="433">
        <f t="shared" si="5"/>
        <v>0</v>
      </c>
      <c r="I369" s="95">
        <f>E371+Tabla1[[#This Row],[Vendidos]]-Tabla1[[#This Row],[Stock]]-H371</f>
        <v>0</v>
      </c>
    </row>
    <row r="370" spans="8:9" ht="14.25" customHeight="1" x14ac:dyDescent="0.3">
      <c r="H370" s="709">
        <f t="shared" si="5"/>
        <v>0</v>
      </c>
      <c r="I370" s="706">
        <f>E372+Tabla1[[#This Row],[Vendidos]]-Tabla1[[#This Row],[Stock]]-H372</f>
        <v>0</v>
      </c>
    </row>
    <row r="371" spans="8:9" ht="14.25" customHeight="1" x14ac:dyDescent="0.3">
      <c r="H371" s="433">
        <f t="shared" si="5"/>
        <v>0</v>
      </c>
      <c r="I371" s="95">
        <f>E373+Tabla1[[#This Row],[Vendidos]]-Tabla1[[#This Row],[Stock]]-H373</f>
        <v>0</v>
      </c>
    </row>
    <row r="372" spans="8:9" ht="14.25" customHeight="1" x14ac:dyDescent="0.3">
      <c r="H372" s="709">
        <f t="shared" si="5"/>
        <v>0</v>
      </c>
      <c r="I372" s="706">
        <f>E374+Tabla1[[#This Row],[Vendidos]]-Tabla1[[#This Row],[Stock]]-H374</f>
        <v>0</v>
      </c>
    </row>
    <row r="373" spans="8:9" ht="14.25" customHeight="1" x14ac:dyDescent="0.3">
      <c r="H373" s="433">
        <f t="shared" si="5"/>
        <v>0</v>
      </c>
      <c r="I373" s="95">
        <f>E375+Tabla1[[#This Row],[Vendidos]]-Tabla1[[#This Row],[Stock]]-H375</f>
        <v>0</v>
      </c>
    </row>
    <row r="374" spans="8:9" ht="14.25" customHeight="1" x14ac:dyDescent="0.3">
      <c r="H374" s="709">
        <f t="shared" si="5"/>
        <v>0</v>
      </c>
      <c r="I374" s="706">
        <f>E376+Tabla1[[#This Row],[Vendidos]]-Tabla1[[#This Row],[Stock]]-H376</f>
        <v>0</v>
      </c>
    </row>
    <row r="375" spans="8:9" ht="14.25" customHeight="1" x14ac:dyDescent="0.3">
      <c r="H375" s="433">
        <f t="shared" si="5"/>
        <v>0</v>
      </c>
      <c r="I375" s="95">
        <f>E377+Tabla1[[#This Row],[Vendidos]]-Tabla1[[#This Row],[Stock]]-H377</f>
        <v>0</v>
      </c>
    </row>
    <row r="376" spans="8:9" ht="14.25" customHeight="1" x14ac:dyDescent="0.3">
      <c r="H376" s="709">
        <f t="shared" si="5"/>
        <v>0</v>
      </c>
      <c r="I376" s="706">
        <f>E378+Tabla1[[#This Row],[Vendidos]]-Tabla1[[#This Row],[Stock]]-H378</f>
        <v>0</v>
      </c>
    </row>
    <row r="377" spans="8:9" ht="14.25" customHeight="1" x14ac:dyDescent="0.3">
      <c r="H377" s="433">
        <f t="shared" si="5"/>
        <v>0</v>
      </c>
      <c r="I377" s="95">
        <f>E379+Tabla1[[#This Row],[Vendidos]]-Tabla1[[#This Row],[Stock]]-H379</f>
        <v>0</v>
      </c>
    </row>
    <row r="378" spans="8:9" ht="14.25" customHeight="1" x14ac:dyDescent="0.3">
      <c r="H378" s="709">
        <f t="shared" si="5"/>
        <v>0</v>
      </c>
      <c r="I378" s="706">
        <f>E380+Tabla1[[#This Row],[Vendidos]]-Tabla1[[#This Row],[Stock]]-H380</f>
        <v>0</v>
      </c>
    </row>
    <row r="379" spans="8:9" ht="14.25" customHeight="1" x14ac:dyDescent="0.3">
      <c r="H379" s="433">
        <f t="shared" si="5"/>
        <v>0</v>
      </c>
      <c r="I379" s="95">
        <f>E381+Tabla1[[#This Row],[Vendidos]]-Tabla1[[#This Row],[Stock]]-H381</f>
        <v>0</v>
      </c>
    </row>
    <row r="380" spans="8:9" ht="14.25" customHeight="1" x14ac:dyDescent="0.3">
      <c r="H380" s="709">
        <f t="shared" si="5"/>
        <v>0</v>
      </c>
      <c r="I380" s="706">
        <f>E382+Tabla1[[#This Row],[Vendidos]]-Tabla1[[#This Row],[Stock]]-H382</f>
        <v>0</v>
      </c>
    </row>
    <row r="381" spans="8:9" ht="14.25" customHeight="1" x14ac:dyDescent="0.3">
      <c r="H381" s="433">
        <f t="shared" si="5"/>
        <v>0</v>
      </c>
      <c r="I381" s="95">
        <f>E383+Tabla1[[#This Row],[Vendidos]]-Tabla1[[#This Row],[Stock]]-H383</f>
        <v>0</v>
      </c>
    </row>
    <row r="382" spans="8:9" ht="14.25" customHeight="1" x14ac:dyDescent="0.3">
      <c r="H382" s="709">
        <f t="shared" si="5"/>
        <v>0</v>
      </c>
      <c r="I382" s="706">
        <f>E384+Tabla1[[#This Row],[Vendidos]]-Tabla1[[#This Row],[Stock]]-H384</f>
        <v>0</v>
      </c>
    </row>
    <row r="383" spans="8:9" ht="14.25" customHeight="1" x14ac:dyDescent="0.3">
      <c r="H383" s="433">
        <f t="shared" si="5"/>
        <v>0</v>
      </c>
      <c r="I383" s="95">
        <f>E385+Tabla1[[#This Row],[Vendidos]]-Tabla1[[#This Row],[Stock]]-H385</f>
        <v>0</v>
      </c>
    </row>
    <row r="384" spans="8:9" ht="14.25" customHeight="1" x14ac:dyDescent="0.3">
      <c r="H384" s="709">
        <f t="shared" si="5"/>
        <v>0</v>
      </c>
      <c r="I384" s="706">
        <f>E386+Tabla1[[#This Row],[Vendidos]]-Tabla1[[#This Row],[Stock]]-H386</f>
        <v>0</v>
      </c>
    </row>
    <row r="385" spans="8:9" ht="14.25" customHeight="1" x14ac:dyDescent="0.3">
      <c r="H385" s="433">
        <f t="shared" si="5"/>
        <v>0</v>
      </c>
      <c r="I385" s="95">
        <f>E387+Tabla1[[#This Row],[Vendidos]]-Tabla1[[#This Row],[Stock]]-H387</f>
        <v>0</v>
      </c>
    </row>
    <row r="386" spans="8:9" ht="14.25" customHeight="1" x14ac:dyDescent="0.3">
      <c r="H386" s="709">
        <f t="shared" si="5"/>
        <v>0</v>
      </c>
      <c r="I386" s="706">
        <f>E388+Tabla1[[#This Row],[Vendidos]]-Tabla1[[#This Row],[Stock]]-H388</f>
        <v>0</v>
      </c>
    </row>
    <row r="387" spans="8:9" ht="14.25" customHeight="1" x14ac:dyDescent="0.3"/>
    <row r="388" spans="8:9" ht="14.25" customHeight="1" x14ac:dyDescent="0.3"/>
    <row r="389" spans="8:9" ht="14.25" customHeight="1" x14ac:dyDescent="0.3"/>
    <row r="390" spans="8:9" ht="14.25" customHeight="1" x14ac:dyDescent="0.3"/>
    <row r="391" spans="8:9" ht="14.25" customHeight="1" x14ac:dyDescent="0.3"/>
    <row r="392" spans="8:9" ht="14.25" customHeight="1" x14ac:dyDescent="0.3"/>
    <row r="393" spans="8:9" ht="14.25" customHeight="1" x14ac:dyDescent="0.3"/>
    <row r="394" spans="8:9" ht="14.25" customHeight="1" x14ac:dyDescent="0.3"/>
    <row r="395" spans="8:9" ht="14.25" customHeight="1" x14ac:dyDescent="0.3"/>
    <row r="396" spans="8:9" ht="14.25" customHeight="1" x14ac:dyDescent="0.3"/>
    <row r="397" spans="8:9" ht="14.25" customHeight="1" x14ac:dyDescent="0.3"/>
    <row r="398" spans="8:9" ht="14.25" customHeight="1" x14ac:dyDescent="0.3"/>
    <row r="399" spans="8:9" ht="14.25" customHeight="1" x14ac:dyDescent="0.3"/>
    <row r="400" spans="8:9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</sheetData>
  <mergeCells count="2">
    <mergeCell ref="A3:C3"/>
    <mergeCell ref="A1:G1"/>
  </mergeCells>
  <conditionalFormatting sqref="H5:H386">
    <cfRule type="cellIs" dxfId="5" priority="2" operator="lessThan">
      <formula>0</formula>
    </cfRule>
    <cfRule type="cellIs" dxfId="4" priority="1" operator="lessThan">
      <formula>0</formula>
    </cfRule>
  </conditionalFormatting>
  <printOptions horizontalCentered="1"/>
  <pageMargins left="0.23622047244094491" right="0.23622047244094491" top="0.74803149606299213" bottom="0.74803149606299213" header="0.31496062992125978" footer="0.31496062992125978"/>
  <pageSetup scale="75" fitToHeight="2" orientation="portrait" cellComments="atEnd"/>
  <headerFooter>
    <oddHeader>&amp;L&amp;"-,Negrita"&amp;D&amp;CINVENTARIO BORANGORA&amp;RPágina &amp;P</oddHeader>
    <oddFooter>&amp;LThomas Alexander Corthorn Polloni&amp;CPágina &amp;P&amp;R&amp;D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PintarFilasIntermedias">
                <anchor moveWithCells="1" sizeWithCells="1">
                  <from>
                    <xdr:col>12</xdr:col>
                    <xdr:colOff>15240</xdr:colOff>
                    <xdr:row>3</xdr:row>
                    <xdr:rowOff>60960</xdr:rowOff>
                  </from>
                  <to>
                    <xdr:col>14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FiltrarTabla">
                <anchor moveWithCells="1" sizeWithCells="1">
                  <from>
                    <xdr:col>9</xdr:col>
                    <xdr:colOff>548640</xdr:colOff>
                    <xdr:row>0</xdr:row>
                    <xdr:rowOff>502920</xdr:rowOff>
                  </from>
                  <to>
                    <xdr:col>10</xdr:col>
                    <xdr:colOff>1325880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MostrarTodosLosDatos">
                <anchor moveWithCells="1" sizeWithCells="1">
                  <from>
                    <xdr:col>0</xdr:col>
                    <xdr:colOff>0</xdr:colOff>
                    <xdr:row>0</xdr:row>
                    <xdr:rowOff>449580</xdr:rowOff>
                  </from>
                  <to>
                    <xdr:col>2</xdr:col>
                    <xdr:colOff>655320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Button 5">
              <controlPr defaultSize="0" print="0" autoFill="0" autoPict="0" macro="[0]!FiltrarTablaPorSKU">
                <anchor moveWithCells="1" sizeWithCells="1">
                  <from>
                    <xdr:col>12</xdr:col>
                    <xdr:colOff>670560</xdr:colOff>
                    <xdr:row>1</xdr:row>
                    <xdr:rowOff>22860</xdr:rowOff>
                  </from>
                  <to>
                    <xdr:col>14</xdr:col>
                    <xdr:colOff>1203960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Button 6">
              <controlPr defaultSize="0" print="0" autoFill="0" autoPict="0" macro="[0]!FiltrarTablaPorCateg">
                <anchor moveWithCells="1" sizeWithCells="1">
                  <from>
                    <xdr:col>16</xdr:col>
                    <xdr:colOff>388620</xdr:colOff>
                    <xdr:row>1</xdr:row>
                    <xdr:rowOff>15240</xdr:rowOff>
                  </from>
                  <to>
                    <xdr:col>17</xdr:col>
                    <xdr:colOff>1242060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6</vt:i4>
      </vt:variant>
    </vt:vector>
  </HeadingPairs>
  <TitlesOfParts>
    <vt:vector size="21" baseType="lpstr">
      <vt:lpstr>balance</vt:lpstr>
      <vt:lpstr>Vaciado</vt:lpstr>
      <vt:lpstr>Ficha Financiera</vt:lpstr>
      <vt:lpstr>Inicio Panel</vt:lpstr>
      <vt:lpstr>Datos</vt:lpstr>
      <vt:lpstr>Distrib_Inventario</vt:lpstr>
      <vt:lpstr>Balance Clasificado</vt:lpstr>
      <vt:lpstr>Balance General</vt:lpstr>
      <vt:lpstr>Ventas</vt:lpstr>
      <vt:lpstr>Proyección</vt:lpstr>
      <vt:lpstr>Gestion mes</vt:lpstr>
      <vt:lpstr>BodegaTiendas</vt:lpstr>
      <vt:lpstr>resultado</vt:lpstr>
      <vt:lpstr>tabla</vt:lpstr>
      <vt:lpstr>Inventario</vt:lpstr>
      <vt:lpstr>balance!Área_de_impresión</vt:lpstr>
      <vt:lpstr>'Balance Clasificado'!Área_de_impresión</vt:lpstr>
      <vt:lpstr>'Ficha Financiera'!Área_de_impresión</vt:lpstr>
      <vt:lpstr>Inventario!Área_de_impresión</vt:lpstr>
      <vt:lpstr>Vaciado!Área_de_impresión</vt:lpstr>
      <vt:lpstr>Inventario!Títulos_a_imprimir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Alexander Corthorn Polloni</dc:creator>
  <cp:lastModifiedBy>Thomas Corthorn</cp:lastModifiedBy>
  <cp:lastPrinted>2021-03-05T21:31:10Z</cp:lastPrinted>
  <dcterms:created xsi:type="dcterms:W3CDTF">2017-05-10T10:35:57Z</dcterms:created>
  <dcterms:modified xsi:type="dcterms:W3CDTF">2025-07-09T18:49:37Z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5fd5b19c-7c8f-4e01-b55e-c09ad81bd293</vt:lpwstr>
  </property>
  <property fmtid="{D5CDD505-2E9C-101B-9397-08002B2CF9AE}" pid="3" name="Clasificacion">
    <vt:lpwstr>Interna</vt:lpwstr>
  </property>
</Properties>
</file>