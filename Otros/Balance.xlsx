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b2afa76d7dee7/BRONZ/Django/Otros/"/>
    </mc:Choice>
  </mc:AlternateContent>
  <xr:revisionPtr revIDLastSave="45" documentId="8_{398D56A4-E34B-4554-A788-2A9CE93B5F74}" xr6:coauthVersionLast="47" xr6:coauthVersionMax="47" xr10:uidLastSave="{181153D8-98F6-427E-B539-D37854299DD5}"/>
  <bookViews>
    <workbookView xWindow="22932" yWindow="-108" windowWidth="23256" windowHeight="12456" activeTab="1" xr2:uid="{7F1170C4-CEDC-478A-A40D-2CAC2FE5EE82}"/>
  </bookViews>
  <sheets>
    <sheet name="Hoja1" sheetId="1" r:id="rId1"/>
    <sheet name="Hoja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2" l="1"/>
  <c r="C49" i="2" s="1"/>
  <c r="C46" i="2"/>
  <c r="C43" i="2"/>
  <c r="C39" i="2"/>
  <c r="G37" i="2"/>
  <c r="C37" i="2"/>
  <c r="G36" i="2"/>
  <c r="G35" i="2"/>
  <c r="C34" i="2"/>
  <c r="C30" i="2" s="1"/>
  <c r="G33" i="2"/>
  <c r="C31" i="2"/>
  <c r="G30" i="2"/>
  <c r="K29" i="2"/>
  <c r="G27" i="2"/>
  <c r="C27" i="2"/>
  <c r="C26" i="2"/>
  <c r="K25" i="2"/>
  <c r="C25" i="2"/>
  <c r="C24" i="2"/>
  <c r="K22" i="2"/>
  <c r="C22" i="2"/>
  <c r="G21" i="2"/>
  <c r="K20" i="2"/>
  <c r="K19" i="2" s="1"/>
  <c r="C20" i="2"/>
  <c r="C19" i="2" s="1"/>
  <c r="G19" i="2"/>
  <c r="G22" i="2" s="1"/>
  <c r="K18" i="2"/>
  <c r="K14" i="2" s="1"/>
  <c r="C17" i="2"/>
  <c r="C15" i="2" s="1"/>
  <c r="G14" i="2"/>
  <c r="C13" i="2"/>
  <c r="K12" i="2"/>
  <c r="G12" i="2"/>
  <c r="G11" i="2"/>
  <c r="C11" i="2"/>
  <c r="G10" i="2"/>
  <c r="C10" i="2"/>
  <c r="K9" i="2"/>
  <c r="K8" i="2"/>
  <c r="K7" i="2"/>
  <c r="C7" i="2"/>
  <c r="K6" i="2"/>
  <c r="G6" i="2"/>
  <c r="K5" i="2"/>
  <c r="G5" i="2"/>
  <c r="C5" i="2"/>
  <c r="C4" i="2"/>
  <c r="K3" i="2"/>
  <c r="C3" i="2"/>
  <c r="K2" i="2"/>
  <c r="G2" i="2"/>
  <c r="G15" i="2" s="1"/>
  <c r="C2" i="2"/>
  <c r="K1" i="2"/>
  <c r="K4" i="2" l="1"/>
  <c r="K10" i="2" s="1"/>
  <c r="K13" i="2" s="1"/>
  <c r="K24" i="2" s="1"/>
  <c r="K28" i="2" s="1"/>
  <c r="K31" i="2" s="1"/>
  <c r="G34" i="2" s="1"/>
  <c r="G38" i="2" s="1"/>
  <c r="G39" i="2" s="1"/>
  <c r="C53" i="2"/>
  <c r="C28" i="2"/>
  <c r="G24" i="2"/>
  <c r="G1" i="2"/>
  <c r="C9" i="2"/>
  <c r="C54" i="2" l="1"/>
  <c r="G40" i="2" s="1"/>
  <c r="G168" i="1" l="1"/>
  <c r="D169" i="1"/>
  <c r="C169" i="1"/>
  <c r="D167" i="1"/>
  <c r="C167" i="1"/>
  <c r="F166" i="1"/>
  <c r="J166" i="1" s="1"/>
  <c r="E166" i="1"/>
  <c r="I166" i="1" s="1"/>
  <c r="F165" i="1"/>
  <c r="J165" i="1" s="1"/>
  <c r="E165" i="1"/>
  <c r="I165" i="1" s="1"/>
  <c r="J164" i="1"/>
  <c r="F164" i="1"/>
  <c r="E164" i="1"/>
  <c r="I164" i="1" s="1"/>
  <c r="F162" i="1"/>
  <c r="J162" i="1" s="1"/>
  <c r="E162" i="1"/>
  <c r="I162" i="1" s="1"/>
  <c r="F161" i="1"/>
  <c r="J161" i="1" s="1"/>
  <c r="E161" i="1"/>
  <c r="I161" i="1" s="1"/>
  <c r="F160" i="1"/>
  <c r="J160" i="1" s="1"/>
  <c r="E160" i="1"/>
  <c r="I160" i="1" s="1"/>
  <c r="F159" i="1"/>
  <c r="J159" i="1" s="1"/>
  <c r="E159" i="1"/>
  <c r="I159" i="1" s="1"/>
  <c r="F158" i="1"/>
  <c r="J158" i="1" s="1"/>
  <c r="E158" i="1"/>
  <c r="I158" i="1" s="1"/>
  <c r="F157" i="1"/>
  <c r="J157" i="1" s="1"/>
  <c r="E157" i="1"/>
  <c r="I157" i="1" s="1"/>
  <c r="F156" i="1"/>
  <c r="J156" i="1" s="1"/>
  <c r="E156" i="1"/>
  <c r="I156" i="1" s="1"/>
  <c r="F155" i="1"/>
  <c r="J155" i="1" s="1"/>
  <c r="E155" i="1"/>
  <c r="I155" i="1" s="1"/>
  <c r="F154" i="1"/>
  <c r="J154" i="1" s="1"/>
  <c r="E154" i="1"/>
  <c r="I154" i="1" s="1"/>
  <c r="F153" i="1"/>
  <c r="J153" i="1" s="1"/>
  <c r="E153" i="1"/>
  <c r="I153" i="1" s="1"/>
  <c r="F152" i="1"/>
  <c r="J152" i="1" s="1"/>
  <c r="E152" i="1"/>
  <c r="I152" i="1" s="1"/>
  <c r="F151" i="1"/>
  <c r="J151" i="1" s="1"/>
  <c r="E151" i="1"/>
  <c r="I151" i="1" s="1"/>
  <c r="F150" i="1"/>
  <c r="J150" i="1" s="1"/>
  <c r="E150" i="1"/>
  <c r="I150" i="1" s="1"/>
  <c r="F149" i="1"/>
  <c r="J149" i="1" s="1"/>
  <c r="E149" i="1"/>
  <c r="I149" i="1" s="1"/>
  <c r="F148" i="1"/>
  <c r="J148" i="1" s="1"/>
  <c r="E148" i="1"/>
  <c r="I148" i="1" s="1"/>
  <c r="F147" i="1"/>
  <c r="J147" i="1" s="1"/>
  <c r="E147" i="1"/>
  <c r="I147" i="1" s="1"/>
  <c r="F146" i="1"/>
  <c r="J146" i="1" s="1"/>
  <c r="E146" i="1"/>
  <c r="I146" i="1" s="1"/>
  <c r="F145" i="1"/>
  <c r="J145" i="1" s="1"/>
  <c r="E145" i="1"/>
  <c r="I145" i="1" s="1"/>
  <c r="F144" i="1"/>
  <c r="J144" i="1" s="1"/>
  <c r="E144" i="1"/>
  <c r="I144" i="1" s="1"/>
  <c r="F143" i="1"/>
  <c r="J143" i="1" s="1"/>
  <c r="E143" i="1"/>
  <c r="I143" i="1" s="1"/>
  <c r="F142" i="1"/>
  <c r="J142" i="1" s="1"/>
  <c r="E142" i="1"/>
  <c r="I142" i="1" s="1"/>
  <c r="F141" i="1"/>
  <c r="J141" i="1" s="1"/>
  <c r="E141" i="1"/>
  <c r="I141" i="1" s="1"/>
  <c r="F140" i="1"/>
  <c r="J140" i="1" s="1"/>
  <c r="E140" i="1"/>
  <c r="I140" i="1" s="1"/>
  <c r="F139" i="1"/>
  <c r="J139" i="1" s="1"/>
  <c r="E139" i="1"/>
  <c r="I139" i="1" s="1"/>
  <c r="F138" i="1"/>
  <c r="J138" i="1" s="1"/>
  <c r="E138" i="1"/>
  <c r="I138" i="1" s="1"/>
  <c r="J137" i="1"/>
  <c r="E137" i="1"/>
  <c r="I137" i="1" s="1"/>
  <c r="F136" i="1"/>
  <c r="J136" i="1" s="1"/>
  <c r="E136" i="1"/>
  <c r="I136" i="1" s="1"/>
  <c r="F135" i="1"/>
  <c r="J135" i="1" s="1"/>
  <c r="E135" i="1"/>
  <c r="I135" i="1" s="1"/>
  <c r="F134" i="1"/>
  <c r="E134" i="1"/>
  <c r="I134" i="1" s="1"/>
  <c r="F133" i="1"/>
  <c r="E133" i="1"/>
  <c r="F132" i="1"/>
  <c r="E132" i="1"/>
  <c r="F131" i="1"/>
  <c r="E131" i="1"/>
  <c r="F130" i="1"/>
  <c r="E130" i="1"/>
  <c r="F129" i="1"/>
  <c r="H129" i="1" s="1"/>
  <c r="E129" i="1"/>
  <c r="G129" i="1" s="1"/>
  <c r="F128" i="1"/>
  <c r="H128" i="1" s="1"/>
  <c r="E128" i="1"/>
  <c r="G128" i="1" s="1"/>
  <c r="F127" i="1"/>
  <c r="H127" i="1" s="1"/>
  <c r="E127" i="1"/>
  <c r="G127" i="1" s="1"/>
  <c r="F126" i="1"/>
  <c r="H126" i="1" s="1"/>
  <c r="E126" i="1"/>
  <c r="G126" i="1" s="1"/>
  <c r="G125" i="1"/>
  <c r="F125" i="1"/>
  <c r="H125" i="1" s="1"/>
  <c r="E125" i="1"/>
  <c r="F124" i="1"/>
  <c r="H124" i="1" s="1"/>
  <c r="E124" i="1"/>
  <c r="G124" i="1" s="1"/>
  <c r="F123" i="1"/>
  <c r="H123" i="1" s="1"/>
  <c r="E123" i="1"/>
  <c r="G123" i="1" s="1"/>
  <c r="F122" i="1"/>
  <c r="H122" i="1" s="1"/>
  <c r="E122" i="1"/>
  <c r="G122" i="1" s="1"/>
  <c r="F121" i="1"/>
  <c r="H121" i="1" s="1"/>
  <c r="E121" i="1"/>
  <c r="G121" i="1" s="1"/>
  <c r="F120" i="1"/>
  <c r="H120" i="1" s="1"/>
  <c r="E120" i="1"/>
  <c r="G120" i="1" s="1"/>
  <c r="F119" i="1"/>
  <c r="H119" i="1" s="1"/>
  <c r="E119" i="1"/>
  <c r="G119" i="1" s="1"/>
  <c r="F118" i="1"/>
  <c r="H118" i="1" s="1"/>
  <c r="E118" i="1"/>
  <c r="G118" i="1" s="1"/>
  <c r="F117" i="1"/>
  <c r="H117" i="1" s="1"/>
  <c r="E117" i="1"/>
  <c r="G117" i="1" s="1"/>
  <c r="F116" i="1"/>
  <c r="H116" i="1" s="1"/>
  <c r="E116" i="1"/>
  <c r="G116" i="1" s="1"/>
  <c r="F115" i="1"/>
  <c r="E115" i="1"/>
  <c r="G115" i="1" s="1"/>
  <c r="F114" i="1"/>
  <c r="H114" i="1" s="1"/>
  <c r="E114" i="1"/>
  <c r="G114" i="1" s="1"/>
  <c r="F113" i="1"/>
  <c r="H113" i="1" s="1"/>
  <c r="E113" i="1"/>
  <c r="G113" i="1" s="1"/>
  <c r="F112" i="1"/>
  <c r="H112" i="1" s="1"/>
  <c r="E112" i="1"/>
  <c r="G112" i="1" s="1"/>
  <c r="F111" i="1"/>
  <c r="H111" i="1" s="1"/>
  <c r="E111" i="1"/>
  <c r="G111" i="1" s="1"/>
  <c r="F110" i="1"/>
  <c r="H110" i="1" s="1"/>
  <c r="E110" i="1"/>
  <c r="G110" i="1" s="1"/>
  <c r="F109" i="1"/>
  <c r="H109" i="1" s="1"/>
  <c r="E109" i="1"/>
  <c r="G109" i="1" s="1"/>
  <c r="F108" i="1"/>
  <c r="H108" i="1" s="1"/>
  <c r="E108" i="1"/>
  <c r="G108" i="1" s="1"/>
  <c r="F107" i="1"/>
  <c r="H107" i="1" s="1"/>
  <c r="E107" i="1"/>
  <c r="G107" i="1" s="1"/>
  <c r="F106" i="1"/>
  <c r="H106" i="1" s="1"/>
  <c r="E106" i="1"/>
  <c r="G106" i="1" s="1"/>
  <c r="F105" i="1"/>
  <c r="H105" i="1" s="1"/>
  <c r="E105" i="1"/>
  <c r="G105" i="1" s="1"/>
  <c r="F104" i="1"/>
  <c r="H104" i="1" s="1"/>
  <c r="E104" i="1"/>
  <c r="G104" i="1" s="1"/>
  <c r="F103" i="1"/>
  <c r="E103" i="1"/>
  <c r="G103" i="1" s="1"/>
  <c r="F102" i="1"/>
  <c r="H102" i="1" s="1"/>
  <c r="E102" i="1"/>
  <c r="G102" i="1" s="1"/>
  <c r="F101" i="1"/>
  <c r="H101" i="1" s="1"/>
  <c r="E101" i="1"/>
  <c r="G101" i="1" s="1"/>
  <c r="F100" i="1"/>
  <c r="H100" i="1" s="1"/>
  <c r="E100" i="1"/>
  <c r="G100" i="1" s="1"/>
  <c r="F99" i="1"/>
  <c r="H99" i="1" s="1"/>
  <c r="E99" i="1"/>
  <c r="G99" i="1" s="1"/>
  <c r="F98" i="1"/>
  <c r="H98" i="1" s="1"/>
  <c r="E98" i="1"/>
  <c r="G98" i="1" s="1"/>
  <c r="F97" i="1"/>
  <c r="H97" i="1" s="1"/>
  <c r="E97" i="1"/>
  <c r="G97" i="1" s="1"/>
  <c r="F96" i="1"/>
  <c r="H96" i="1" s="1"/>
  <c r="E96" i="1"/>
  <c r="G96" i="1" s="1"/>
  <c r="F95" i="1"/>
  <c r="H95" i="1" s="1"/>
  <c r="E95" i="1"/>
  <c r="G95" i="1" s="1"/>
  <c r="F94" i="1"/>
  <c r="H94" i="1" s="1"/>
  <c r="E94" i="1"/>
  <c r="G94" i="1" s="1"/>
  <c r="F93" i="1"/>
  <c r="H93" i="1" s="1"/>
  <c r="E93" i="1"/>
  <c r="G93" i="1" s="1"/>
  <c r="F92" i="1"/>
  <c r="H92" i="1" s="1"/>
  <c r="E92" i="1"/>
  <c r="G92" i="1" s="1"/>
  <c r="F91" i="1"/>
  <c r="H91" i="1" s="1"/>
  <c r="E91" i="1"/>
  <c r="G91" i="1" s="1"/>
  <c r="F90" i="1"/>
  <c r="H90" i="1" s="1"/>
  <c r="E90" i="1"/>
  <c r="G90" i="1" s="1"/>
  <c r="F89" i="1"/>
  <c r="H89" i="1" s="1"/>
  <c r="E89" i="1"/>
  <c r="G89" i="1" s="1"/>
  <c r="F88" i="1"/>
  <c r="H88" i="1" s="1"/>
  <c r="E88" i="1"/>
  <c r="G88" i="1" s="1"/>
  <c r="F87" i="1"/>
  <c r="H87" i="1" s="1"/>
  <c r="E87" i="1"/>
  <c r="G87" i="1" s="1"/>
  <c r="F86" i="1"/>
  <c r="H86" i="1" s="1"/>
  <c r="E86" i="1"/>
  <c r="G86" i="1" s="1"/>
  <c r="F85" i="1"/>
  <c r="H85" i="1" s="1"/>
  <c r="E85" i="1"/>
  <c r="G85" i="1" s="1"/>
  <c r="F84" i="1"/>
  <c r="H84" i="1" s="1"/>
  <c r="E84" i="1"/>
  <c r="G84" i="1" s="1"/>
  <c r="F83" i="1"/>
  <c r="H83" i="1" s="1"/>
  <c r="E83" i="1"/>
  <c r="G83" i="1" s="1"/>
  <c r="F82" i="1"/>
  <c r="H82" i="1" s="1"/>
  <c r="E82" i="1"/>
  <c r="G82" i="1" s="1"/>
  <c r="F81" i="1"/>
  <c r="H81" i="1" s="1"/>
  <c r="E81" i="1"/>
  <c r="G81" i="1" s="1"/>
  <c r="F80" i="1"/>
  <c r="H80" i="1" s="1"/>
  <c r="E80" i="1"/>
  <c r="G80" i="1" s="1"/>
  <c r="F79" i="1"/>
  <c r="H79" i="1" s="1"/>
  <c r="E79" i="1"/>
  <c r="G79" i="1" s="1"/>
  <c r="F78" i="1"/>
  <c r="H78" i="1" s="1"/>
  <c r="E78" i="1"/>
  <c r="G78" i="1" s="1"/>
  <c r="F77" i="1"/>
  <c r="E77" i="1"/>
  <c r="G77" i="1" s="1"/>
  <c r="F76" i="1"/>
  <c r="H76" i="1" s="1"/>
  <c r="E76" i="1"/>
  <c r="G76" i="1" s="1"/>
  <c r="F75" i="1"/>
  <c r="H75" i="1" s="1"/>
  <c r="E75" i="1"/>
  <c r="G75" i="1" s="1"/>
  <c r="F74" i="1"/>
  <c r="H74" i="1" s="1"/>
  <c r="E74" i="1"/>
  <c r="G74" i="1" s="1"/>
  <c r="F73" i="1"/>
  <c r="H73" i="1" s="1"/>
  <c r="E73" i="1"/>
  <c r="G73" i="1" s="1"/>
  <c r="F72" i="1"/>
  <c r="H72" i="1" s="1"/>
  <c r="E72" i="1"/>
  <c r="G72" i="1" s="1"/>
  <c r="F71" i="1"/>
  <c r="H71" i="1" s="1"/>
  <c r="E71" i="1"/>
  <c r="G71" i="1" s="1"/>
  <c r="F70" i="1"/>
  <c r="H70" i="1" s="1"/>
  <c r="E70" i="1"/>
  <c r="G70" i="1" s="1"/>
  <c r="F69" i="1"/>
  <c r="H69" i="1" s="1"/>
  <c r="E69" i="1"/>
  <c r="G69" i="1" s="1"/>
  <c r="H68" i="1"/>
  <c r="F68" i="1"/>
  <c r="E68" i="1"/>
  <c r="G68" i="1" s="1"/>
  <c r="F67" i="1"/>
  <c r="H67" i="1" s="1"/>
  <c r="E67" i="1"/>
  <c r="G67" i="1" s="1"/>
  <c r="F66" i="1"/>
  <c r="H66" i="1" s="1"/>
  <c r="E66" i="1"/>
  <c r="G66" i="1" s="1"/>
  <c r="F65" i="1"/>
  <c r="H65" i="1" s="1"/>
  <c r="E65" i="1"/>
  <c r="G65" i="1" s="1"/>
  <c r="F64" i="1"/>
  <c r="H64" i="1" s="1"/>
  <c r="E64" i="1"/>
  <c r="G64" i="1" s="1"/>
  <c r="F63" i="1"/>
  <c r="H63" i="1" s="1"/>
  <c r="E63" i="1"/>
  <c r="G63" i="1" s="1"/>
  <c r="F62" i="1"/>
  <c r="H62" i="1" s="1"/>
  <c r="E62" i="1"/>
  <c r="G62" i="1" s="1"/>
  <c r="F61" i="1"/>
  <c r="H61" i="1" s="1"/>
  <c r="E61" i="1"/>
  <c r="G61" i="1" s="1"/>
  <c r="F60" i="1"/>
  <c r="H60" i="1" s="1"/>
  <c r="E60" i="1"/>
  <c r="G60" i="1" s="1"/>
  <c r="F59" i="1"/>
  <c r="H59" i="1" s="1"/>
  <c r="E59" i="1"/>
  <c r="G59" i="1" s="1"/>
  <c r="F58" i="1"/>
  <c r="H58" i="1" s="1"/>
  <c r="E58" i="1"/>
  <c r="G58" i="1" s="1"/>
  <c r="F57" i="1"/>
  <c r="H57" i="1" s="1"/>
  <c r="E57" i="1"/>
  <c r="G57" i="1" s="1"/>
  <c r="F56" i="1"/>
  <c r="H56" i="1" s="1"/>
  <c r="E56" i="1"/>
  <c r="F55" i="1"/>
  <c r="H55" i="1" s="1"/>
  <c r="E55" i="1"/>
  <c r="G55" i="1" s="1"/>
  <c r="F54" i="1"/>
  <c r="H54" i="1" s="1"/>
  <c r="E54" i="1"/>
  <c r="G54" i="1" s="1"/>
  <c r="H53" i="1"/>
  <c r="F53" i="1"/>
  <c r="E53" i="1"/>
  <c r="G53" i="1" s="1"/>
  <c r="F52" i="1"/>
  <c r="H52" i="1" s="1"/>
  <c r="E52" i="1"/>
  <c r="G52" i="1" s="1"/>
  <c r="F51" i="1"/>
  <c r="H51" i="1" s="1"/>
  <c r="E51" i="1"/>
  <c r="G51" i="1" s="1"/>
  <c r="F50" i="1"/>
  <c r="H50" i="1" s="1"/>
  <c r="E50" i="1"/>
  <c r="G50" i="1" s="1"/>
  <c r="F49" i="1"/>
  <c r="H49" i="1" s="1"/>
  <c r="E49" i="1"/>
  <c r="G49" i="1" s="1"/>
  <c r="F48" i="1"/>
  <c r="H48" i="1" s="1"/>
  <c r="E48" i="1"/>
  <c r="G48" i="1" s="1"/>
  <c r="F47" i="1"/>
  <c r="H47" i="1" s="1"/>
  <c r="E47" i="1"/>
  <c r="G47" i="1" s="1"/>
  <c r="F46" i="1"/>
  <c r="H46" i="1" s="1"/>
  <c r="E46" i="1"/>
  <c r="G46" i="1" s="1"/>
  <c r="F45" i="1"/>
  <c r="H45" i="1" s="1"/>
  <c r="E45" i="1"/>
  <c r="G45" i="1" s="1"/>
  <c r="F44" i="1"/>
  <c r="H44" i="1" s="1"/>
  <c r="E44" i="1"/>
  <c r="G44" i="1" s="1"/>
  <c r="F43" i="1"/>
  <c r="H43" i="1" s="1"/>
  <c r="E43" i="1"/>
  <c r="G43" i="1" s="1"/>
  <c r="F42" i="1"/>
  <c r="H42" i="1" s="1"/>
  <c r="E42" i="1"/>
  <c r="G42" i="1" s="1"/>
  <c r="F41" i="1"/>
  <c r="E41" i="1"/>
  <c r="G41" i="1" s="1"/>
  <c r="F40" i="1"/>
  <c r="E40" i="1"/>
  <c r="G40" i="1" s="1"/>
  <c r="F39" i="1"/>
  <c r="E39" i="1"/>
  <c r="G39" i="1" s="1"/>
  <c r="F38" i="1"/>
  <c r="E38" i="1"/>
  <c r="G38" i="1" s="1"/>
  <c r="F37" i="1"/>
  <c r="E37" i="1"/>
  <c r="G37" i="1" s="1"/>
  <c r="F36" i="1"/>
  <c r="E36" i="1"/>
  <c r="G36" i="1" s="1"/>
  <c r="F35" i="1"/>
  <c r="E35" i="1"/>
  <c r="G35" i="1" s="1"/>
  <c r="F34" i="1"/>
  <c r="E34" i="1"/>
  <c r="G34" i="1" s="1"/>
  <c r="F33" i="1"/>
  <c r="H33" i="1" s="1"/>
  <c r="E33" i="1"/>
  <c r="G33" i="1" s="1"/>
  <c r="F32" i="1"/>
  <c r="H32" i="1" s="1"/>
  <c r="E32" i="1"/>
  <c r="G32" i="1" s="1"/>
  <c r="F31" i="1"/>
  <c r="H31" i="1" s="1"/>
  <c r="E31" i="1"/>
  <c r="G31" i="1" s="1"/>
  <c r="F30" i="1"/>
  <c r="H30" i="1" s="1"/>
  <c r="E30" i="1"/>
  <c r="G30" i="1" s="1"/>
  <c r="F29" i="1"/>
  <c r="H29" i="1" s="1"/>
  <c r="E29" i="1"/>
  <c r="G29" i="1" s="1"/>
  <c r="G28" i="1"/>
  <c r="F28" i="1"/>
  <c r="H28" i="1" s="1"/>
  <c r="E28" i="1"/>
  <c r="F27" i="1"/>
  <c r="H27" i="1" s="1"/>
  <c r="E27" i="1"/>
  <c r="G27" i="1" s="1"/>
  <c r="F26" i="1"/>
  <c r="H26" i="1" s="1"/>
  <c r="E26" i="1"/>
  <c r="G26" i="1" s="1"/>
  <c r="F25" i="1"/>
  <c r="H25" i="1" s="1"/>
  <c r="E25" i="1"/>
  <c r="G25" i="1" s="1"/>
  <c r="F24" i="1"/>
  <c r="H24" i="1" s="1"/>
  <c r="E24" i="1"/>
  <c r="G24" i="1" s="1"/>
  <c r="E23" i="1"/>
  <c r="G23" i="1" s="1"/>
  <c r="F22" i="1"/>
  <c r="H22" i="1" s="1"/>
  <c r="E22" i="1"/>
  <c r="G22" i="1" s="1"/>
  <c r="F21" i="1"/>
  <c r="H21" i="1" s="1"/>
  <c r="E21" i="1"/>
  <c r="G21" i="1" s="1"/>
  <c r="F20" i="1"/>
  <c r="H20" i="1" s="1"/>
  <c r="E20" i="1"/>
  <c r="G20" i="1" s="1"/>
  <c r="F19" i="1"/>
  <c r="H19" i="1" s="1"/>
  <c r="E19" i="1"/>
  <c r="G19" i="1" s="1"/>
  <c r="F18" i="1"/>
  <c r="H18" i="1" s="1"/>
  <c r="E18" i="1"/>
  <c r="G18" i="1" s="1"/>
  <c r="F17" i="1"/>
  <c r="H17" i="1" s="1"/>
  <c r="E17" i="1"/>
  <c r="G17" i="1" s="1"/>
  <c r="F16" i="1"/>
  <c r="H16" i="1" s="1"/>
  <c r="E16" i="1"/>
  <c r="G16" i="1" s="1"/>
  <c r="F15" i="1"/>
  <c r="H15" i="1" s="1"/>
  <c r="E15" i="1"/>
  <c r="G15" i="1" s="1"/>
  <c r="F14" i="1"/>
  <c r="H14" i="1" s="1"/>
  <c r="E14" i="1"/>
  <c r="G14" i="1" s="1"/>
  <c r="F13" i="1"/>
  <c r="H13" i="1" s="1"/>
  <c r="E13" i="1"/>
  <c r="G13" i="1" s="1"/>
  <c r="F12" i="1"/>
  <c r="H12" i="1" s="1"/>
  <c r="E12" i="1"/>
  <c r="G12" i="1" s="1"/>
  <c r="H11" i="1"/>
  <c r="F11" i="1"/>
  <c r="E11" i="1"/>
  <c r="G11" i="1" s="1"/>
  <c r="F10" i="1"/>
  <c r="H10" i="1" s="1"/>
  <c r="E10" i="1"/>
  <c r="G10" i="1" s="1"/>
  <c r="F9" i="1"/>
  <c r="H9" i="1" s="1"/>
  <c r="E9" i="1"/>
  <c r="G9" i="1" s="1"/>
  <c r="F8" i="1"/>
  <c r="E8" i="1"/>
  <c r="J7" i="1"/>
  <c r="I7" i="1"/>
  <c r="F1" i="1"/>
  <c r="D170" i="1" l="1"/>
  <c r="E167" i="1"/>
  <c r="E169" i="1" s="1"/>
  <c r="F167" i="1"/>
  <c r="F169" i="1" s="1"/>
  <c r="I167" i="1"/>
  <c r="J167" i="1"/>
  <c r="G8" i="1"/>
  <c r="G167" i="1" s="1"/>
  <c r="H8" i="1"/>
  <c r="H167" i="1" s="1"/>
  <c r="F170" i="1" l="1"/>
  <c r="H168" i="1"/>
  <c r="H169" i="1" s="1"/>
  <c r="J168" i="1"/>
  <c r="J169" i="1" s="1"/>
  <c r="G169" i="1"/>
  <c r="I168" i="1"/>
  <c r="I1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cisalgado</author>
    <author>Denisse Paola Loaiza Ortega</author>
  </authors>
  <commentList>
    <comment ref="C2" authorId="0" shapeId="0" xr:uid="{F4408AEA-0EF5-4184-9D10-5927E32D6E35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-efectivo
-depósito a la vista (cuenta cte)
- se </t>
        </r>
        <r>
          <rPr>
            <b/>
            <u/>
            <sz val="8"/>
            <color indexed="81"/>
            <rFont val="Tahoma"/>
            <family val="2"/>
          </rPr>
          <t>excluyen</t>
        </r>
        <r>
          <rPr>
            <sz val="8"/>
            <color indexed="81"/>
            <rFont val="Tahoma"/>
            <family val="2"/>
          </rPr>
          <t xml:space="preserve"> cheques a fecha</t>
        </r>
      </text>
    </comment>
    <comment ref="G2" authorId="0" shapeId="0" xr:uid="{F5D27B42-40EB-4756-B7D0-D16BF1295438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-prestamos bancarios
-líneas de crédito
-cartas de crédito (negociadas)
-</t>
        </r>
        <r>
          <rPr>
            <b/>
            <u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 xml:space="preserve"> incluye boletas de garantía</t>
        </r>
      </text>
    </comment>
    <comment ref="G3" authorId="0" shapeId="0" xr:uid="{9B1A9E87-EED8-4357-87DB-26AA1DA143F9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-deudas financieras con con vencimiento en c/p
-se incluyen los bonos </t>
        </r>
      </text>
    </comment>
    <comment ref="C4" authorId="0" shapeId="0" xr:uid="{E11AECFD-B8FE-4B12-93BE-8D0ACE9F5553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-depósitos liquidables dentro de un año
- se </t>
        </r>
        <r>
          <rPr>
            <b/>
            <u/>
            <sz val="8"/>
            <color indexed="81"/>
            <rFont val="Tahoma"/>
            <family val="2"/>
          </rPr>
          <t>excluyen</t>
        </r>
        <r>
          <rPr>
            <sz val="8"/>
            <color indexed="81"/>
            <rFont val="Tahoma"/>
            <family val="2"/>
          </rPr>
          <t xml:space="preserve"> aquellos otorgados en garantía</t>
        </r>
      </text>
    </comment>
    <comment ref="G4" authorId="0" shapeId="0" xr:uid="{2C8BEC47-2FFD-4309-AAF8-21F90A8D03E0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-leasing </t>
        </r>
        <r>
          <rPr>
            <b/>
            <u/>
            <sz val="8"/>
            <color indexed="81"/>
            <rFont val="Tahoma"/>
            <family val="2"/>
          </rPr>
          <t>financiero</t>
        </r>
      </text>
    </comment>
    <comment ref="G5" authorId="0" shapeId="0" xr:uid="{33C24CFB-E009-426A-B7A5-7C593DFD5AC9}">
      <text>
        <r>
          <rPr>
            <b/>
            <sz val="8"/>
            <color indexed="81"/>
            <rFont val="Tahoma"/>
            <family val="2"/>
          </rPr>
          <t xml:space="preserve">cisalgado:
</t>
        </r>
        <r>
          <rPr>
            <sz val="8"/>
            <color indexed="81"/>
            <rFont val="Tahoma"/>
            <family val="2"/>
          </rPr>
          <t>-proveedores nacionales o extranjeros</t>
        </r>
        <r>
          <rPr>
            <sz val="8"/>
            <color indexed="81"/>
            <rFont val="Tahoma"/>
            <family val="2"/>
          </rPr>
          <t xml:space="preserve">
-retenciones constructoras
-contratos por pagar</t>
        </r>
      </text>
    </comment>
    <comment ref="C8" authorId="0" shapeId="0" xr:uid="{65D24D21-BD48-46A7-8B99-DBFD4435CDFB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-bonos</t>
        </r>
      </text>
    </comment>
    <comment ref="G8" authorId="0" shapeId="0" xr:uid="{2B0BEA82-558D-4911-B75A-4F32480AF46F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-cuentas ctes accionistas (pasivo-patrimonio)</t>
        </r>
      </text>
    </comment>
    <comment ref="G9" authorId="0" shapeId="0" xr:uid="{C1D35496-DF2E-49DB-A75E-103C269440BD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-garantias de clientes
-promesa compra venta
</t>
        </r>
      </text>
    </comment>
    <comment ref="C10" authorId="0" shapeId="0" xr:uid="{1ED4098A-5184-4A5C-BD6C-3D39E918BC6E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-crédito hipotecario
-subsidio</t>
        </r>
      </text>
    </comment>
    <comment ref="G10" authorId="0" shapeId="0" xr:uid="{5EE87FF0-6530-4E0C-A256-0DEA6ED97D55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-afp, isapre, inp por pagar, entre otras
-retenciones pequeñas</t>
        </r>
      </text>
    </comment>
    <comment ref="C11" authorId="0" shapeId="0" xr:uid="{592970CB-9D87-473E-B058-19A6326972F6}">
      <text>
        <r>
          <rPr>
            <b/>
            <sz val="8"/>
            <color indexed="81"/>
            <rFont val="Tahoma"/>
            <family val="2"/>
          </rPr>
          <t xml:space="preserve">cisalgado:
</t>
        </r>
        <r>
          <rPr>
            <sz val="8"/>
            <color indexed="81"/>
            <rFont val="Tahoma"/>
            <family val="2"/>
          </rPr>
          <t>-facturas</t>
        </r>
        <r>
          <rPr>
            <sz val="8"/>
            <color indexed="81"/>
            <rFont val="Tahoma"/>
            <family val="2"/>
          </rPr>
          <t xml:space="preserve">
-ahorro previo</t>
        </r>
      </text>
    </comment>
    <comment ref="G11" authorId="0" shapeId="0" xr:uid="{59D92884-C3B7-44F1-8C63-1377CE7F2A5B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-impuesto diferido c/p</t>
        </r>
      </text>
    </comment>
    <comment ref="C13" authorId="0" shapeId="0" xr:uid="{0BE5696A-6718-4073-A4AE-3CD49EE2C8C6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-pago por aplicar
-cuentas x cobrar</t>
        </r>
      </text>
    </comment>
    <comment ref="G14" authorId="0" shapeId="0" xr:uid="{1E9D1263-EED0-4A1A-B9D4-E1150A8AE59C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-acreedores varios</t>
        </r>
      </text>
    </comment>
    <comment ref="G16" authorId="0" shapeId="0" xr:uid="{7DE900F8-056E-4319-8289-E763D00BC6E0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-prestamos bancarios lp
-líneas de crédito lp
-se incluyen bonos</t>
        </r>
      </text>
    </comment>
    <comment ref="K17" authorId="0" shapeId="0" xr:uid="{651C4BBF-4DD0-4995-ABDD-5D5365171BC3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-intereses y reajustes
-utilidades en inversiones</t>
        </r>
      </text>
    </comment>
    <comment ref="C18" authorId="0" shapeId="0" xr:uid="{8ABE8CA1-6611-435E-9A56-9FFC5E26DD8C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-anticipo renumeración
-anticipo honorarios
-fondos por rendir</t>
        </r>
      </text>
    </comment>
    <comment ref="G18" authorId="0" shapeId="0" xr:uid="{BFF828F0-2CAA-4A21-AE5F-28249D4E0D54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-repactaciones con proveedores</t>
        </r>
      </text>
    </comment>
    <comment ref="G19" authorId="0" shapeId="0" xr:uid="{C42E3AFA-2CB5-406B-9103-DA10F7EEAF5E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-deficit patrimonial</t>
        </r>
      </text>
    </comment>
    <comment ref="C20" authorId="0" shapeId="0" xr:uid="{17767966-3873-4225-9C71-67DDE0FB3E52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-terrenos en proceso</t>
        </r>
      </text>
    </comment>
    <comment ref="G20" authorId="0" shapeId="0" xr:uid="{C6FF156F-B0D5-4D0B-A76D-6DC39D6381FA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-indemnizaciones por trabajadores despedidos</t>
        </r>
      </text>
    </comment>
    <comment ref="G21" authorId="0" shapeId="0" xr:uid="{5FB235C9-2062-4BDA-A14D-6D5DB41D503C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-impuesto diferido l/p
-derechos de aduana diferidos</t>
        </r>
      </text>
    </comment>
    <comment ref="C25" authorId="0" shapeId="0" xr:uid="{C8733E5F-34C8-4F6A-9761-94FF0B22E69E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-pago previsional mensual</t>
        </r>
      </text>
    </comment>
    <comment ref="C26" authorId="0" shapeId="0" xr:uid="{9B57A169-4B21-4320-802D-2F716846FC35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-anticipo arriendo
-anticipo seguros 
-anticipo proveedores
-otros gastos anticipados</t>
        </r>
      </text>
    </comment>
    <comment ref="C27" authorId="0" shapeId="0" xr:uid="{9F23F4CA-7B92-43B4-8243-39A802C63B8D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-cuenta cte personal
-garantías
-impuesto diferido</t>
        </r>
      </text>
    </comment>
    <comment ref="G28" authorId="0" shapeId="0" xr:uid="{0FC56118-736F-429F-9254-67B2B4D29C61}">
      <text>
        <r>
          <rPr>
            <b/>
            <sz val="8"/>
            <color indexed="81"/>
            <rFont val="Tahoma"/>
            <family val="2"/>
          </rPr>
          <t>cisalgado:
-</t>
        </r>
        <r>
          <rPr>
            <sz val="8"/>
            <color indexed="81"/>
            <rFont val="Tahoma"/>
            <family val="2"/>
          </rPr>
          <t>aportes por enterar socios</t>
        </r>
      </text>
    </comment>
    <comment ref="K29" authorId="0" shapeId="0" xr:uid="{AB0E44EF-5F7E-40D1-A35D-7EC8CA2A5373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-provisiones por impuesto</t>
        </r>
      </text>
    </comment>
    <comment ref="C34" authorId="0" shapeId="0" xr:uid="{717CACB0-2774-4AD7-B948-9516C382704E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-vehiculos menores
-instalaciones
-equipos oficina
-embarcaciones
-plantaciones</t>
        </r>
      </text>
    </comment>
    <comment ref="C35" authorId="0" shapeId="0" xr:uid="{638B76B1-5729-49E6-9170-7ABF1E61E1A8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-leasing </t>
        </r>
        <r>
          <rPr>
            <b/>
            <u/>
            <sz val="8"/>
            <color indexed="81"/>
            <rFont val="Tahoma"/>
            <family val="2"/>
          </rPr>
          <t>financiero</t>
        </r>
      </text>
    </comment>
    <comment ref="C36" authorId="1" shapeId="0" xr:uid="{C94AFCDA-AD3F-4B52-A891-D004EBF4BBC2}">
      <text>
        <r>
          <rPr>
            <sz val="8"/>
            <color indexed="81"/>
            <rFont val="Tahoma"/>
            <family val="2"/>
          </rPr>
          <t xml:space="preserve">mayor o menor valor de activo fijo
</t>
        </r>
      </text>
    </comment>
    <comment ref="G36" authorId="0" shapeId="0" xr:uid="{ED487AB6-136E-4CCF-B9B4-E5A950EDFC92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 cuenta cte de algún socio (activo)</t>
        </r>
      </text>
    </comment>
    <comment ref="G37" authorId="0" shapeId="0" xr:uid="{31956006-CA36-4450-BE84-F724DE3F6EFE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-deudores incobrables (positivos en activo)</t>
        </r>
      </text>
    </comment>
    <comment ref="C44" authorId="0" shapeId="0" xr:uid="{BB359D8C-4316-4C90-8C6B-1941C3DECBBF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-terrenos y obras que serán puestas a la venta en plazo mayor a un año</t>
        </r>
      </text>
    </comment>
    <comment ref="C45" authorId="0" shapeId="0" xr:uid="{44C804CA-8E71-488B-9BE9-9531F4CEB0DE}">
      <text>
        <r>
          <rPr>
            <b/>
            <sz val="8"/>
            <color indexed="81"/>
            <rFont val="Tahoma"/>
            <family val="2"/>
          </rPr>
          <t xml:space="preserve">cisalgado:
</t>
        </r>
        <r>
          <rPr>
            <sz val="8"/>
            <color indexed="81"/>
            <rFont val="Tahoma"/>
            <family val="2"/>
          </rPr>
          <t>-aportes reembolsables por recuperar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-intereses diferidos por prestamos bancarios
-impuesto diferido
-pertenencias mineras
-garantias de arriendo
-otros 
-propiedad de inversión</t>
        </r>
      </text>
    </comment>
    <comment ref="C51" authorId="0" shapeId="0" xr:uid="{387B78F0-F9EF-4236-9500-85F78E3927F8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-ingresar con signo negativo</t>
        </r>
      </text>
    </comment>
    <comment ref="C52" authorId="0" shapeId="0" xr:uid="{E9EDC375-E798-4173-9795-E66D9D26865D}">
      <text>
        <r>
          <rPr>
            <b/>
            <sz val="8"/>
            <color indexed="81"/>
            <rFont val="Tahoma"/>
            <family val="2"/>
          </rPr>
          <t>cisalgado:</t>
        </r>
        <r>
          <rPr>
            <sz val="8"/>
            <color indexed="81"/>
            <rFont val="Tahoma"/>
            <family val="2"/>
          </rPr>
          <t xml:space="preserve">
-software
-estudio de propuesta, inversión, investigación o desarrollo
-derechos
-gastos de organización y puesta en marcha</t>
        </r>
      </text>
    </comment>
  </commentList>
</comments>
</file>

<file path=xl/sharedStrings.xml><?xml version="1.0" encoding="utf-8"?>
<sst xmlns="http://schemas.openxmlformats.org/spreadsheetml/2006/main" count="443" uniqueCount="422">
  <si>
    <t>Fecha</t>
  </si>
  <si>
    <t>BALANCE año 2024</t>
  </si>
  <si>
    <t>Nombre de la Cuenta según registros contables</t>
  </si>
  <si>
    <t>Débitos</t>
  </si>
  <si>
    <t xml:space="preserve">Créditos </t>
  </si>
  <si>
    <t>Saldo Deudor</t>
  </si>
  <si>
    <t>Saldo Acreedor</t>
  </si>
  <si>
    <t>Activo</t>
  </si>
  <si>
    <t>Pasivo</t>
  </si>
  <si>
    <t>Pérdidas</t>
  </si>
  <si>
    <t>Ganancias</t>
  </si>
  <si>
    <t xml:space="preserve"> Activos</t>
  </si>
  <si>
    <t>Activos Circulantes</t>
  </si>
  <si>
    <t>1010100</t>
  </si>
  <si>
    <t>Disponible</t>
  </si>
  <si>
    <t>1010200</t>
  </si>
  <si>
    <t>Depósitos a plazo</t>
  </si>
  <si>
    <t>1010300</t>
  </si>
  <si>
    <t>Valores negociables</t>
  </si>
  <si>
    <t>1010400</t>
  </si>
  <si>
    <t>Deudores Ventas Online</t>
  </si>
  <si>
    <t>1010500</t>
  </si>
  <si>
    <t xml:space="preserve">Deudores por venta </t>
  </si>
  <si>
    <t>1010501</t>
  </si>
  <si>
    <t xml:space="preserve">Cuentas por Cobrar </t>
  </si>
  <si>
    <t>1010502</t>
  </si>
  <si>
    <t>Facturado Falabella</t>
  </si>
  <si>
    <t>1010503</t>
  </si>
  <si>
    <t>1010600</t>
  </si>
  <si>
    <t>Documentos por cobrar Bronz</t>
  </si>
  <si>
    <t>1010700</t>
  </si>
  <si>
    <t>Deudores varios</t>
  </si>
  <si>
    <t>1010800</t>
  </si>
  <si>
    <t>Doc y cuentas por cobrar EERR (cuenta corrientes mercantil)</t>
  </si>
  <si>
    <t>1010900</t>
  </si>
  <si>
    <t>Existencias Productos para venta</t>
  </si>
  <si>
    <t>1010901</t>
  </si>
  <si>
    <t>Existencias otros</t>
  </si>
  <si>
    <t>1011000</t>
  </si>
  <si>
    <t>Impuestos por recuperar</t>
  </si>
  <si>
    <t>1011001</t>
  </si>
  <si>
    <t>IVA Créditos (por recuperar de las compras con Facturas)</t>
  </si>
  <si>
    <t>1011100</t>
  </si>
  <si>
    <t>Anticipo Rita Qiao</t>
  </si>
  <si>
    <t>1011101</t>
  </si>
  <si>
    <t>Anticipo Crema Bronceante</t>
  </si>
  <si>
    <t>1011102</t>
  </si>
  <si>
    <t xml:space="preserve">Anticipo </t>
  </si>
  <si>
    <t>1011103</t>
  </si>
  <si>
    <t>Anticipo</t>
  </si>
  <si>
    <t>1011104</t>
  </si>
  <si>
    <t>1011105</t>
  </si>
  <si>
    <t>1011106</t>
  </si>
  <si>
    <t>1011107</t>
  </si>
  <si>
    <t>1011108</t>
  </si>
  <si>
    <t>1011200</t>
  </si>
  <si>
    <t>Impuestos diferidos</t>
  </si>
  <si>
    <t>1011300</t>
  </si>
  <si>
    <t xml:space="preserve">Existencias Bolsas </t>
  </si>
  <si>
    <t>1011301</t>
  </si>
  <si>
    <t xml:space="preserve">Cajas </t>
  </si>
  <si>
    <t>1011302</t>
  </si>
  <si>
    <t>Etiqueta interna</t>
  </si>
  <si>
    <t>1011303</t>
  </si>
  <si>
    <t>Etiqueta externa</t>
  </si>
  <si>
    <t>1011304</t>
  </si>
  <si>
    <t>Papel envolver</t>
  </si>
  <si>
    <t>1011305</t>
  </si>
  <si>
    <t>Sticker interno</t>
  </si>
  <si>
    <t>1011306</t>
  </si>
  <si>
    <t>Sticker externo</t>
  </si>
  <si>
    <t>1011307</t>
  </si>
  <si>
    <t>Tarjeta comprada</t>
  </si>
  <si>
    <t>1011308</t>
  </si>
  <si>
    <t>Tarjeta impresa (papel impresora)</t>
  </si>
  <si>
    <t>1011400</t>
  </si>
  <si>
    <t>Insumos del producto</t>
  </si>
  <si>
    <t>1011500</t>
  </si>
  <si>
    <t>Productos en tránsito</t>
  </si>
  <si>
    <t>1011501</t>
  </si>
  <si>
    <t>Pago provisional mensual  (PPM)</t>
  </si>
  <si>
    <t>1020300</t>
  </si>
  <si>
    <t>Maquinarias y equipos</t>
  </si>
  <si>
    <t>1020301</t>
  </si>
  <si>
    <t>1020302</t>
  </si>
  <si>
    <t>1020303</t>
  </si>
  <si>
    <t>1020304</t>
  </si>
  <si>
    <t>1020305</t>
  </si>
  <si>
    <t>1020306</t>
  </si>
  <si>
    <t>1020307</t>
  </si>
  <si>
    <t>1020308</t>
  </si>
  <si>
    <t>1020309</t>
  </si>
  <si>
    <t>1020350</t>
  </si>
  <si>
    <t>Depreciación equipos del ejercicio (menos)</t>
  </si>
  <si>
    <t xml:space="preserve"> Activos Fijos</t>
  </si>
  <si>
    <t>1020370</t>
  </si>
  <si>
    <t>Terrenos</t>
  </si>
  <si>
    <t>1020380</t>
  </si>
  <si>
    <t>Construcción y obras de infraestructura</t>
  </si>
  <si>
    <t>1020400</t>
  </si>
  <si>
    <t>Otros activos fijos</t>
  </si>
  <si>
    <t>1020401</t>
  </si>
  <si>
    <t>1020500</t>
  </si>
  <si>
    <t>Mayor valor por retasación técnica del activo fijo</t>
  </si>
  <si>
    <t>1020600</t>
  </si>
  <si>
    <t>Depreciación acumulada (menos)</t>
  </si>
  <si>
    <t xml:space="preserve"> Otros Activos</t>
  </si>
  <si>
    <t>1030100</t>
  </si>
  <si>
    <t>Inversiones en empresas relacionadas</t>
  </si>
  <si>
    <t>1030200</t>
  </si>
  <si>
    <t>Inversiones en otras sociedades</t>
  </si>
  <si>
    <t>1030300</t>
  </si>
  <si>
    <t>Menor valor de inversiones</t>
  </si>
  <si>
    <t>1030400</t>
  </si>
  <si>
    <t>Mayor valor de inversiones (menos)</t>
  </si>
  <si>
    <t>1030500</t>
  </si>
  <si>
    <t>Deudores a largo plazo</t>
  </si>
  <si>
    <t>1030600</t>
  </si>
  <si>
    <t>Documentos y cuentas por cobrar EERR largo plazo</t>
  </si>
  <si>
    <t>1030700</t>
  </si>
  <si>
    <t>Impuestos diferidos a largo plazo</t>
  </si>
  <si>
    <t>1030800</t>
  </si>
  <si>
    <t>Intangibles</t>
  </si>
  <si>
    <t>1030900</t>
  </si>
  <si>
    <t>Amortización (menos)</t>
  </si>
  <si>
    <t>1031000</t>
  </si>
  <si>
    <t>Inversión Inicial</t>
  </si>
  <si>
    <t>1031100</t>
  </si>
  <si>
    <t>Contratos de leasing largo plazo (neto)</t>
  </si>
  <si>
    <t>1040000</t>
  </si>
  <si>
    <t>Cuentas de Orden de Activos</t>
  </si>
  <si>
    <t>Pasivos</t>
  </si>
  <si>
    <t xml:space="preserve"> Pasivos Circulantes</t>
  </si>
  <si>
    <t>2010100</t>
  </si>
  <si>
    <t>Obligaciones con bancos e inst financieras a corto plazo</t>
  </si>
  <si>
    <t>2010200</t>
  </si>
  <si>
    <t>Oblig con bancos e inst fin largo plazo, porción corto plazo</t>
  </si>
  <si>
    <t>2010300</t>
  </si>
  <si>
    <t>Obligaciones con el público (pagarés)</t>
  </si>
  <si>
    <t>2010400</t>
  </si>
  <si>
    <t>Obligaciones con el público - porción corto plazo (bonos)</t>
  </si>
  <si>
    <t>2010500</t>
  </si>
  <si>
    <t>Obligaciones largo plazo con vencimiento dentro un año</t>
  </si>
  <si>
    <t>2010600</t>
  </si>
  <si>
    <t>Dividendos por pagar</t>
  </si>
  <si>
    <t>2010700</t>
  </si>
  <si>
    <t>Cuentas por pagar</t>
  </si>
  <si>
    <t>2010701</t>
  </si>
  <si>
    <t>2010702</t>
  </si>
  <si>
    <t>2010703</t>
  </si>
  <si>
    <t xml:space="preserve">Cuentas por pagar </t>
  </si>
  <si>
    <t>2010704</t>
  </si>
  <si>
    <t>2010800</t>
  </si>
  <si>
    <t>Documentos por pagar</t>
  </si>
  <si>
    <t>2010900</t>
  </si>
  <si>
    <t>Acreedores varios</t>
  </si>
  <si>
    <t>2010901</t>
  </si>
  <si>
    <t>Cuenta por pagar Beatriz</t>
  </si>
  <si>
    <t>2010902</t>
  </si>
  <si>
    <t>Cuenta por pagar Tuti</t>
  </si>
  <si>
    <t>2010903</t>
  </si>
  <si>
    <t>Cuenta por pagar TCP</t>
  </si>
  <si>
    <t>2011000</t>
  </si>
  <si>
    <t>Doc y cuentas por pagar EERR (cuenta corrientes mercantil)</t>
  </si>
  <si>
    <t>2011100</t>
  </si>
  <si>
    <t>Provisiones</t>
  </si>
  <si>
    <t>2011200</t>
  </si>
  <si>
    <t>Retenciones</t>
  </si>
  <si>
    <t>2011300</t>
  </si>
  <si>
    <t>Impuesto a la renta</t>
  </si>
  <si>
    <t>2011310</t>
  </si>
  <si>
    <t>IVA por pagar (por las boletas y facturas de ventas emitidas)</t>
  </si>
  <si>
    <t>2011311</t>
  </si>
  <si>
    <t>Provisión IVA a pagar de Cuentas por Cobrar de ventas</t>
  </si>
  <si>
    <t>2011400</t>
  </si>
  <si>
    <t>Ingresos percibidos por adelantado</t>
  </si>
  <si>
    <t>2011500</t>
  </si>
  <si>
    <t>2011600</t>
  </si>
  <si>
    <t>Otros pasivos circulantes</t>
  </si>
  <si>
    <t xml:space="preserve"> Pasivos a Largo Plazo</t>
  </si>
  <si>
    <t>2020100</t>
  </si>
  <si>
    <t>Obligaciones con bancos e instituciones financieras</t>
  </si>
  <si>
    <t>2020200</t>
  </si>
  <si>
    <t>Obligaciones con el público largo plazo (bonos)</t>
  </si>
  <si>
    <t>2020300</t>
  </si>
  <si>
    <t>Documentos por pagar largo plazo</t>
  </si>
  <si>
    <t>2020400</t>
  </si>
  <si>
    <t>Acreedores varios largo plazo</t>
  </si>
  <si>
    <t>2020500</t>
  </si>
  <si>
    <t>Doc y cuentas por pagar empresas relacionadas largo plazo</t>
  </si>
  <si>
    <t>2020501</t>
  </si>
  <si>
    <t>Prestamo a Borangora</t>
  </si>
  <si>
    <t>2020502</t>
  </si>
  <si>
    <t>Documentos y cuentas por pagar María Jesús</t>
  </si>
  <si>
    <t>2020503</t>
  </si>
  <si>
    <t>Documentos y cuentas por pagar Thomas</t>
  </si>
  <si>
    <t>2020600</t>
  </si>
  <si>
    <t>Provisiones largo plazo</t>
  </si>
  <si>
    <t>2020700</t>
  </si>
  <si>
    <t>2020800</t>
  </si>
  <si>
    <t>Otros pasivos a largo plazo</t>
  </si>
  <si>
    <t>Patrimonio</t>
  </si>
  <si>
    <t>2030100</t>
  </si>
  <si>
    <t>Capital pagado</t>
  </si>
  <si>
    <t>2030200</t>
  </si>
  <si>
    <t>Reserva revalorización capital</t>
  </si>
  <si>
    <t>2030300</t>
  </si>
  <si>
    <t>Sobreprecio en venta de acciones propias</t>
  </si>
  <si>
    <t>2030400</t>
  </si>
  <si>
    <t>Otras reservas</t>
  </si>
  <si>
    <t>2030401</t>
  </si>
  <si>
    <t>Ajustes patrimonio</t>
  </si>
  <si>
    <t>2030402</t>
  </si>
  <si>
    <t>Ajuste Inventario</t>
  </si>
  <si>
    <t>2030500</t>
  </si>
  <si>
    <t>Reservas futuros dividendos</t>
  </si>
  <si>
    <t>2030501</t>
  </si>
  <si>
    <t>Condonación deuda relacionada</t>
  </si>
  <si>
    <t>2030600</t>
  </si>
  <si>
    <t>Utilidades acumuladas</t>
  </si>
  <si>
    <t>2030700</t>
  </si>
  <si>
    <t>Pérdidas acumuladas</t>
  </si>
  <si>
    <t>2030800</t>
  </si>
  <si>
    <t>Dividendos provisorios</t>
  </si>
  <si>
    <t>2030900</t>
  </si>
  <si>
    <t>Déficit acumulado período de desarrollo</t>
  </si>
  <si>
    <t>2031000</t>
  </si>
  <si>
    <t>Otros ajustes patrimoniales</t>
  </si>
  <si>
    <t>2040000</t>
  </si>
  <si>
    <t>Cuentas de Orden de Pasivos</t>
  </si>
  <si>
    <t>Resultado De Explotacion</t>
  </si>
  <si>
    <t>Ingresos de explotación</t>
  </si>
  <si>
    <t>3010101</t>
  </si>
  <si>
    <t>Ingresos neto por ventas</t>
  </si>
  <si>
    <t>3010111</t>
  </si>
  <si>
    <t>Ingresos por envíos</t>
  </si>
  <si>
    <t>3010120</t>
  </si>
  <si>
    <t>Devoluciones</t>
  </si>
  <si>
    <t>3010130</t>
  </si>
  <si>
    <t>Costo Devoluciones (mas)</t>
  </si>
  <si>
    <t>3010200</t>
  </si>
  <si>
    <t>Costos directos de ventas (menos)</t>
  </si>
  <si>
    <t>3010201</t>
  </si>
  <si>
    <t>Gastos de comercialización</t>
  </si>
  <si>
    <t>3010202</t>
  </si>
  <si>
    <t>Gastos de envío propios</t>
  </si>
  <si>
    <t>3010203</t>
  </si>
  <si>
    <t>Gastos Reverso</t>
  </si>
  <si>
    <t>3010205</t>
  </si>
  <si>
    <t>Marketing y Publicidad</t>
  </si>
  <si>
    <t>3010211</t>
  </si>
  <si>
    <t>Gastos de comercialización Ventas Online</t>
  </si>
  <si>
    <t>3010212</t>
  </si>
  <si>
    <t>Costo comisiones plataformas de pago</t>
  </si>
  <si>
    <t>3010213</t>
  </si>
  <si>
    <t>3010214</t>
  </si>
  <si>
    <t>3010215</t>
  </si>
  <si>
    <t xml:space="preserve">Gastos de comercialización </t>
  </si>
  <si>
    <t>3010216</t>
  </si>
  <si>
    <t>3010300</t>
  </si>
  <si>
    <t xml:space="preserve">Gastos de administración </t>
  </si>
  <si>
    <t>3010400</t>
  </si>
  <si>
    <t>Depreciación del ejercicio (menos)</t>
  </si>
  <si>
    <t>3020100</t>
  </si>
  <si>
    <t>Ingresos financieros</t>
  </si>
  <si>
    <t>3020200</t>
  </si>
  <si>
    <t>Utilidad inversiones empresas relacionadas</t>
  </si>
  <si>
    <t>3020300</t>
  </si>
  <si>
    <t>Otros ingresos fuera de la explotación</t>
  </si>
  <si>
    <t>3020400</t>
  </si>
  <si>
    <t>Castigos cuentas por cobrar</t>
  </si>
  <si>
    <t>3020500</t>
  </si>
  <si>
    <t>Amortización menor valor de inversiones (menos)</t>
  </si>
  <si>
    <t>3020600</t>
  </si>
  <si>
    <t>Gastos financieros con empresas relacionadas (menos)</t>
  </si>
  <si>
    <t>3020700</t>
  </si>
  <si>
    <t>Gastos financieros con empresas no relacionados (menos)</t>
  </si>
  <si>
    <t>3020800</t>
  </si>
  <si>
    <t>Otros gastos - Inversión Inicial</t>
  </si>
  <si>
    <t>3020900</t>
  </si>
  <si>
    <t>Pérdida  por ajuste inventario</t>
  </si>
  <si>
    <t>3021000</t>
  </si>
  <si>
    <t>Otros egresos fuera de la explotación (menos)</t>
  </si>
  <si>
    <t>3021100</t>
  </si>
  <si>
    <t>Corrección monetaria</t>
  </si>
  <si>
    <t>3021200</t>
  </si>
  <si>
    <t>Diferencias de cambio</t>
  </si>
  <si>
    <t>3030100</t>
  </si>
  <si>
    <t>Impuesto a La Renta</t>
  </si>
  <si>
    <t>3030200</t>
  </si>
  <si>
    <t>Ítemes Extraordinarios</t>
  </si>
  <si>
    <t>3030300</t>
  </si>
  <si>
    <t>Amortización mayor valor de inversiones</t>
  </si>
  <si>
    <t xml:space="preserve">SUMAS </t>
  </si>
  <si>
    <r>
      <t xml:space="preserve">Utilidad </t>
    </r>
    <r>
      <rPr>
        <b/>
        <sz val="12"/>
        <color rgb="FFFF0000"/>
        <rFont val="Arial"/>
        <family val="2"/>
      </rPr>
      <t>(Pérdida)</t>
    </r>
    <r>
      <rPr>
        <b/>
        <sz val="12"/>
        <rFont val="Arial"/>
        <family val="2"/>
      </rPr>
      <t xml:space="preserve"> Del Ejercicio</t>
    </r>
  </si>
  <si>
    <t>SUMAS TOTALES</t>
  </si>
  <si>
    <t>Codigo</t>
  </si>
  <si>
    <t>caja y banco</t>
  </si>
  <si>
    <t>deuda financiera CP</t>
  </si>
  <si>
    <t>ventas</t>
  </si>
  <si>
    <t>valores negociables</t>
  </si>
  <si>
    <t>deudas LP con vencimiento en C</t>
  </si>
  <si>
    <t>costo de venta</t>
  </si>
  <si>
    <t>depósitos a plazo</t>
  </si>
  <si>
    <t>acreedores por leasing CP</t>
  </si>
  <si>
    <t>margen bruto</t>
  </si>
  <si>
    <t>acciones</t>
  </si>
  <si>
    <t>cxp del giro a corto plazo</t>
  </si>
  <si>
    <t>gastos comercialización</t>
  </si>
  <si>
    <t>fondos mutuos</t>
  </si>
  <si>
    <t>deuda. emp. afil. cp</t>
  </si>
  <si>
    <t>gastos de públicidad marketing</t>
  </si>
  <si>
    <t>pactos</t>
  </si>
  <si>
    <t>deuda empr. afiliada a cp oper.</t>
  </si>
  <si>
    <t>gastos arriendos comisiones tiendas</t>
  </si>
  <si>
    <t>otros valores negociables</t>
  </si>
  <si>
    <t>deuda empr afiliada a cp no op.</t>
  </si>
  <si>
    <t>gastos de envíos adicionales</t>
  </si>
  <si>
    <t>cuentas por cobrar</t>
  </si>
  <si>
    <t>ingresos percibidos x adelantado</t>
  </si>
  <si>
    <t>gastos de administración</t>
  </si>
  <si>
    <t>documentos por cobrar del giro</t>
  </si>
  <si>
    <t>provisiones corto plazo</t>
  </si>
  <si>
    <t>resultado operacional bruto</t>
  </si>
  <si>
    <t>deudores por venta</t>
  </si>
  <si>
    <t>impuestos por pagar</t>
  </si>
  <si>
    <t>gastos financieros</t>
  </si>
  <si>
    <t>documentos en protesto</t>
  </si>
  <si>
    <t>cuenta corriente de socios</t>
  </si>
  <si>
    <t>90a</t>
  </si>
  <si>
    <t>depreciación del ejercicio (-)</t>
  </si>
  <si>
    <t>otras ctas. por cobrar del giro</t>
  </si>
  <si>
    <t>dividendos por pagar</t>
  </si>
  <si>
    <t>resultado oper. neto</t>
  </si>
  <si>
    <t>provisión incobrables (menos)</t>
  </si>
  <si>
    <t>otros acreedores corto plazo</t>
  </si>
  <si>
    <t>ingresos fuera de explotación</t>
  </si>
  <si>
    <t xml:space="preserve"> cxc a emp. afil cp</t>
  </si>
  <si>
    <t>total pasivo circulante</t>
  </si>
  <si>
    <t>utilidad inv. emp. relac.</t>
  </si>
  <si>
    <t>cxc a empr. afiliadas cp op</t>
  </si>
  <si>
    <t>deuda financiera lp</t>
  </si>
  <si>
    <t>amort. mayor valor de inversiones</t>
  </si>
  <si>
    <t>cxc a empr. afiliadas cp no op</t>
  </si>
  <si>
    <t>acreedores por leasing lp</t>
  </si>
  <si>
    <t>ingresos financieros</t>
  </si>
  <si>
    <t>varios deudores (trabajadores)</t>
  </si>
  <si>
    <t>cxp del giro a largo plazo</t>
  </si>
  <si>
    <t>otros ingresos fuera de explotación</t>
  </si>
  <si>
    <t>existencias</t>
  </si>
  <si>
    <t>cuenta corriente de socios largo plazo</t>
  </si>
  <si>
    <t>egresos fuera de explotación</t>
  </si>
  <si>
    <t>materias primas y materiales</t>
  </si>
  <si>
    <t>provisiones largo plazo</t>
  </si>
  <si>
    <t>pérdida ajuste inventario</t>
  </si>
  <si>
    <t>productos en proceso</t>
  </si>
  <si>
    <t>otros acreed. lp</t>
  </si>
  <si>
    <t>amort. menor valor de inversiones</t>
  </si>
  <si>
    <t>productos terminados</t>
  </si>
  <si>
    <t>total pasivo de largo plazo</t>
  </si>
  <si>
    <t>otros egresos fuera de explotación</t>
  </si>
  <si>
    <t>importaciones en transito</t>
  </si>
  <si>
    <t>amort. intangibles</t>
  </si>
  <si>
    <t>otras existencias</t>
  </si>
  <si>
    <t>total pasivo exigible</t>
  </si>
  <si>
    <t>resultado antes corr. monet</t>
  </si>
  <si>
    <t>impuestos por recuperar</t>
  </si>
  <si>
    <t>ajuste monetario</t>
  </si>
  <si>
    <t>gastos anticipados</t>
  </si>
  <si>
    <t>interés minoritario</t>
  </si>
  <si>
    <t>correción monetaria</t>
  </si>
  <si>
    <t>otros activos circulantes</t>
  </si>
  <si>
    <t>capital</t>
  </si>
  <si>
    <t>diferencia de cambio</t>
  </si>
  <si>
    <t>total activo circulante</t>
  </si>
  <si>
    <t>cuenta obligada socios (menos)</t>
  </si>
  <si>
    <t>utilidad antes de impuestos</t>
  </si>
  <si>
    <t>reservas de revalorización</t>
  </si>
  <si>
    <t>impuesto a la renta (-)</t>
  </si>
  <si>
    <t>activo fijo</t>
  </si>
  <si>
    <t>reservas varias</t>
  </si>
  <si>
    <t>interés minoritario (-)</t>
  </si>
  <si>
    <t>maquinarias</t>
  </si>
  <si>
    <t>reservas futuros dividendos</t>
  </si>
  <si>
    <t>UTILIDAD NETA DEL PERIODO</t>
  </si>
  <si>
    <t>terrenos</t>
  </si>
  <si>
    <t>fluc. val. y/o mayor valor inv.</t>
  </si>
  <si>
    <t>edificios</t>
  </si>
  <si>
    <t>utilidad neta retenida</t>
  </si>
  <si>
    <t xml:space="preserve"> </t>
  </si>
  <si>
    <t>otro activo fijo</t>
  </si>
  <si>
    <t>utilidad neta del periodo</t>
  </si>
  <si>
    <t>activos en leasing</t>
  </si>
  <si>
    <t>Ajustes</t>
  </si>
  <si>
    <t>retas. técnica del act. fijo</t>
  </si>
  <si>
    <t>divid. pagados y/o retiro socios (menos)</t>
  </si>
  <si>
    <t>depreciacion acumulada (menos)</t>
  </si>
  <si>
    <t>castigos (menos)</t>
  </si>
  <si>
    <t>depreciacion del ejercicio (menos)</t>
  </si>
  <si>
    <t>total patrimonio neto</t>
  </si>
  <si>
    <t>cxc a largo plazo</t>
  </si>
  <si>
    <t>TOTAL PASIVOS</t>
  </si>
  <si>
    <t>Cuadre</t>
  </si>
  <si>
    <t>provision incobrable (menos)</t>
  </si>
  <si>
    <t>cxc a emp. afil lp</t>
  </si>
  <si>
    <t>otros activos largo plazo</t>
  </si>
  <si>
    <t>otros activos largo plazo operativos</t>
  </si>
  <si>
    <t>otros activos largo plazo no operativos</t>
  </si>
  <si>
    <t>inversiones en sociedades</t>
  </si>
  <si>
    <t>inversiones en comp. afiliadas</t>
  </si>
  <si>
    <t>inversiones en otras sociedades</t>
  </si>
  <si>
    <t>activos intangibles</t>
  </si>
  <si>
    <t>menor valor de inversiones</t>
  </si>
  <si>
    <t>mayor valor de inversiones</t>
  </si>
  <si>
    <t>inversión inicial</t>
  </si>
  <si>
    <t>total activos fijos y de lp</t>
  </si>
  <si>
    <t>TOTAL DE ACTIVOS</t>
  </si>
  <si>
    <t>PASIVO</t>
  </si>
  <si>
    <t>RESULTADO</t>
  </si>
  <si>
    <t xml:space="preserve">linea </t>
  </si>
  <si>
    <t>ACTIVO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</si>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</sst>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#,###,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indexed="10"/>
      <name val="Calibri"/>
      <family val="2"/>
    </font>
    <font>
      <b/>
      <sz val="14"/>
      <name val="Calibri"/>
      <family val="2"/>
    </font>
    <font>
      <b/>
      <sz val="12"/>
      <color indexed="10"/>
      <name val="Calibri"/>
      <family val="2"/>
    </font>
    <font>
      <b/>
      <sz val="12"/>
      <color indexed="48"/>
      <name val="Calibri"/>
      <family val="2"/>
    </font>
    <font>
      <b/>
      <sz val="14"/>
      <color indexed="48"/>
      <name val="Calibri"/>
      <family val="2"/>
    </font>
    <font>
      <sz val="14"/>
      <color indexed="10"/>
      <name val="Calibri"/>
      <family val="2"/>
    </font>
    <font>
      <u/>
      <sz val="10"/>
      <color indexed="12"/>
      <name val="Arial"/>
      <family val="2"/>
    </font>
    <font>
      <u/>
      <sz val="12"/>
      <color indexed="12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9"/>
      </bottom>
      <diagonal/>
    </border>
    <border>
      <left style="thin">
        <color indexed="64"/>
      </left>
      <right/>
      <top/>
      <bottom style="double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Dashed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0" fontId="1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219">
    <xf numFmtId="0" fontId="0" fillId="0" borderId="0" xfId="0"/>
    <xf numFmtId="1" fontId="3" fillId="0" borderId="0" xfId="0" applyNumberFormat="1" applyFont="1" applyAlignment="1">
      <alignment horizontal="center" vertical="center"/>
    </xf>
    <xf numFmtId="0" fontId="4" fillId="0" borderId="0" xfId="0" applyFont="1"/>
    <xf numFmtId="3" fontId="1" fillId="0" borderId="0" xfId="2" applyNumberFormat="1" applyFont="1" applyAlignment="1">
      <alignment horizontal="center"/>
    </xf>
    <xf numFmtId="41" fontId="5" fillId="0" borderId="1" xfId="2" applyFont="1" applyBorder="1" applyAlignment="1">
      <alignment horizontal="right"/>
    </xf>
    <xf numFmtId="14" fontId="6" fillId="0" borderId="2" xfId="2" applyNumberFormat="1" applyFont="1" applyBorder="1"/>
    <xf numFmtId="41" fontId="1" fillId="0" borderId="0" xfId="2" applyFont="1"/>
    <xf numFmtId="41" fontId="7" fillId="0" borderId="3" xfId="2" applyFont="1" applyFill="1" applyBorder="1" applyAlignment="1">
      <alignment horizontal="center" vertical="center"/>
    </xf>
    <xf numFmtId="49" fontId="8" fillId="0" borderId="0" xfId="0" applyNumberFormat="1" applyFont="1"/>
    <xf numFmtId="1" fontId="3" fillId="0" borderId="1" xfId="1" applyNumberFormat="1" applyFont="1" applyFill="1" applyBorder="1" applyAlignment="1">
      <alignment horizontal="center" vertical="center"/>
    </xf>
    <xf numFmtId="0" fontId="12" fillId="2" borderId="15" xfId="4" applyFont="1" applyFill="1" applyBorder="1" applyAlignment="1">
      <alignment wrapText="1"/>
    </xf>
    <xf numFmtId="3" fontId="1" fillId="0" borderId="16" xfId="2" applyNumberFormat="1" applyFont="1" applyBorder="1" applyAlignment="1">
      <alignment horizontal="center"/>
    </xf>
    <xf numFmtId="41" fontId="13" fillId="2" borderId="2" xfId="2" applyFont="1" applyFill="1" applyBorder="1" applyAlignment="1">
      <alignment vertical="top" wrapText="1"/>
    </xf>
    <xf numFmtId="41" fontId="13" fillId="2" borderId="17" xfId="2" applyFont="1" applyFill="1" applyBorder="1" applyAlignment="1">
      <alignment vertical="top" wrapText="1"/>
    </xf>
    <xf numFmtId="41" fontId="13" fillId="2" borderId="18" xfId="2" applyFont="1" applyFill="1" applyBorder="1" applyAlignment="1">
      <alignment vertical="top" wrapText="1"/>
    </xf>
    <xf numFmtId="1" fontId="3" fillId="0" borderId="19" xfId="1" applyNumberFormat="1" applyFont="1" applyFill="1" applyBorder="1" applyAlignment="1">
      <alignment horizontal="center" vertical="center"/>
    </xf>
    <xf numFmtId="0" fontId="12" fillId="2" borderId="20" xfId="4" applyFont="1" applyFill="1" applyBorder="1" applyAlignment="1">
      <alignment vertical="center" wrapText="1"/>
    </xf>
    <xf numFmtId="3" fontId="0" fillId="0" borderId="0" xfId="2" applyNumberFormat="1" applyFont="1" applyBorder="1" applyAlignment="1">
      <alignment horizontal="center"/>
    </xf>
    <xf numFmtId="3" fontId="0" fillId="0" borderId="0" xfId="2" applyNumberFormat="1" applyFont="1"/>
    <xf numFmtId="41" fontId="1" fillId="0" borderId="21" xfId="2" applyFont="1" applyBorder="1"/>
    <xf numFmtId="41" fontId="1" fillId="0" borderId="22" xfId="2" applyFont="1" applyBorder="1"/>
    <xf numFmtId="41" fontId="1" fillId="0" borderId="0" xfId="2" applyFont="1" applyBorder="1"/>
    <xf numFmtId="41" fontId="1" fillId="0" borderId="23" xfId="2" applyFont="1" applyBorder="1"/>
    <xf numFmtId="49" fontId="3" fillId="0" borderId="19" xfId="1" quotePrefix="1" applyNumberFormat="1" applyFont="1" applyFill="1" applyBorder="1" applyAlignment="1">
      <alignment horizontal="center" vertical="center"/>
    </xf>
    <xf numFmtId="0" fontId="12" fillId="3" borderId="25" xfId="4" applyFont="1" applyFill="1" applyBorder="1" applyAlignment="1">
      <alignment wrapText="1"/>
    </xf>
    <xf numFmtId="3" fontId="0" fillId="3" borderId="25" xfId="2" applyNumberFormat="1" applyFont="1" applyFill="1" applyBorder="1"/>
    <xf numFmtId="3" fontId="0" fillId="3" borderId="26" xfId="2" applyNumberFormat="1" applyFont="1" applyFill="1" applyBorder="1"/>
    <xf numFmtId="41" fontId="1" fillId="3" borderId="26" xfId="2" applyFont="1" applyFill="1" applyBorder="1"/>
    <xf numFmtId="0" fontId="14" fillId="0" borderId="25" xfId="4" applyFont="1" applyBorder="1" applyAlignment="1">
      <alignment wrapText="1"/>
    </xf>
    <xf numFmtId="3" fontId="0" fillId="0" borderId="0" xfId="0" applyNumberFormat="1"/>
    <xf numFmtId="41" fontId="7" fillId="0" borderId="22" xfId="2" applyFont="1" applyBorder="1"/>
    <xf numFmtId="49" fontId="15" fillId="0" borderId="24" xfId="4" quotePrefix="1" applyNumberFormat="1" applyFont="1" applyBorder="1" applyAlignment="1">
      <alignment horizontal="center"/>
    </xf>
    <xf numFmtId="49" fontId="8" fillId="0" borderId="25" xfId="0" applyNumberFormat="1" applyFont="1" applyBorder="1"/>
    <xf numFmtId="49" fontId="15" fillId="0" borderId="19" xfId="4" quotePrefix="1" applyNumberFormat="1" applyFont="1" applyBorder="1" applyAlignment="1">
      <alignment horizontal="center"/>
    </xf>
    <xf numFmtId="0" fontId="14" fillId="2" borderId="25" xfId="4" applyFont="1" applyFill="1" applyBorder="1" applyAlignment="1">
      <alignment wrapText="1"/>
    </xf>
    <xf numFmtId="41" fontId="1" fillId="3" borderId="27" xfId="2" applyFont="1" applyFill="1" applyBorder="1"/>
    <xf numFmtId="41" fontId="7" fillId="3" borderId="26" xfId="2" applyFont="1" applyFill="1" applyBorder="1"/>
    <xf numFmtId="41" fontId="3" fillId="3" borderId="27" xfId="2" applyFont="1" applyFill="1" applyBorder="1"/>
    <xf numFmtId="41" fontId="1" fillId="3" borderId="28" xfId="2" applyFont="1" applyFill="1" applyBorder="1"/>
    <xf numFmtId="41" fontId="1" fillId="3" borderId="29" xfId="2" applyFont="1" applyFill="1" applyBorder="1"/>
    <xf numFmtId="0" fontId="14" fillId="2" borderId="25" xfId="4" applyFont="1" applyFill="1" applyBorder="1" applyAlignment="1">
      <alignment vertical="center" wrapText="1"/>
    </xf>
    <xf numFmtId="41" fontId="2" fillId="0" borderId="22" xfId="2" applyFont="1" applyBorder="1"/>
    <xf numFmtId="41" fontId="2" fillId="3" borderId="26" xfId="2" applyFont="1" applyFill="1" applyBorder="1"/>
    <xf numFmtId="41" fontId="0" fillId="0" borderId="22" xfId="2" applyFont="1" applyBorder="1"/>
    <xf numFmtId="41" fontId="0" fillId="3" borderId="26" xfId="2" applyFont="1" applyFill="1" applyBorder="1"/>
    <xf numFmtId="41" fontId="16" fillId="3" borderId="26" xfId="2" applyFont="1" applyFill="1" applyBorder="1"/>
    <xf numFmtId="41" fontId="7" fillId="0" borderId="21" xfId="2" applyFont="1" applyBorder="1"/>
    <xf numFmtId="0" fontId="14" fillId="0" borderId="25" xfId="4" applyFont="1" applyBorder="1" applyAlignment="1">
      <alignment vertical="center" wrapText="1"/>
    </xf>
    <xf numFmtId="41" fontId="7" fillId="3" borderId="27" xfId="2" applyFont="1" applyFill="1" applyBorder="1"/>
    <xf numFmtId="0" fontId="14" fillId="2" borderId="25" xfId="4" applyFont="1" applyFill="1" applyBorder="1" applyAlignment="1">
      <alignment horizontal="left" vertical="center" wrapText="1"/>
    </xf>
    <xf numFmtId="0" fontId="8" fillId="0" borderId="0" xfId="0" applyFont="1"/>
    <xf numFmtId="0" fontId="14" fillId="0" borderId="22" xfId="4" applyFont="1" applyBorder="1"/>
    <xf numFmtId="49" fontId="3" fillId="0" borderId="6" xfId="1" quotePrefix="1" applyNumberFormat="1" applyFont="1" applyFill="1" applyBorder="1" applyAlignment="1">
      <alignment horizontal="center" vertical="center"/>
    </xf>
    <xf numFmtId="0" fontId="12" fillId="3" borderId="30" xfId="4" applyFont="1" applyFill="1" applyBorder="1" applyAlignment="1">
      <alignment wrapText="1"/>
    </xf>
    <xf numFmtId="49" fontId="3" fillId="0" borderId="31" xfId="1" quotePrefix="1" applyNumberFormat="1" applyFont="1" applyFill="1" applyBorder="1" applyAlignment="1">
      <alignment horizontal="center" vertical="center"/>
    </xf>
    <xf numFmtId="0" fontId="14" fillId="3" borderId="25" xfId="4" applyFont="1" applyFill="1" applyBorder="1" applyAlignment="1">
      <alignment wrapText="1"/>
    </xf>
    <xf numFmtId="41" fontId="0" fillId="3" borderId="28" xfId="2" applyFont="1" applyFill="1" applyBorder="1"/>
    <xf numFmtId="0" fontId="14" fillId="0" borderId="20" xfId="4" applyFont="1" applyBorder="1" applyAlignment="1">
      <alignment wrapText="1"/>
    </xf>
    <xf numFmtId="49" fontId="15" fillId="0" borderId="31" xfId="4" quotePrefix="1" applyNumberFormat="1" applyFont="1" applyBorder="1" applyAlignment="1">
      <alignment horizontal="center"/>
    </xf>
    <xf numFmtId="49" fontId="3" fillId="0" borderId="0" xfId="1" quotePrefix="1" applyNumberFormat="1" applyFont="1" applyFill="1" applyBorder="1" applyAlignment="1">
      <alignment horizontal="center" vertical="center"/>
    </xf>
    <xf numFmtId="0" fontId="12" fillId="3" borderId="32" xfId="4" applyFont="1" applyFill="1" applyBorder="1" applyAlignment="1">
      <alignment wrapText="1"/>
    </xf>
    <xf numFmtId="3" fontId="1" fillId="4" borderId="28" xfId="2" applyNumberFormat="1" applyFont="1" applyFill="1" applyBorder="1"/>
    <xf numFmtId="41" fontId="1" fillId="4" borderId="28" xfId="2" applyFont="1" applyFill="1" applyBorder="1"/>
    <xf numFmtId="41" fontId="1" fillId="4" borderId="27" xfId="2" applyFont="1" applyFill="1" applyBorder="1"/>
    <xf numFmtId="41" fontId="1" fillId="4" borderId="33" xfId="2" applyFont="1" applyFill="1" applyBorder="1"/>
    <xf numFmtId="1" fontId="3" fillId="0" borderId="19" xfId="1" quotePrefix="1" applyNumberFormat="1" applyFont="1" applyFill="1" applyBorder="1" applyAlignment="1">
      <alignment horizontal="center" vertical="center"/>
    </xf>
    <xf numFmtId="0" fontId="12" fillId="4" borderId="30" xfId="4" applyFont="1" applyFill="1" applyBorder="1" applyAlignment="1">
      <alignment wrapText="1"/>
    </xf>
    <xf numFmtId="3" fontId="1" fillId="4" borderId="0" xfId="2" applyNumberFormat="1" applyFont="1" applyFill="1"/>
    <xf numFmtId="3" fontId="0" fillId="4" borderId="0" xfId="2" applyNumberFormat="1" applyFont="1" applyFill="1"/>
    <xf numFmtId="41" fontId="1" fillId="4" borderId="26" xfId="2" applyFont="1" applyFill="1" applyBorder="1"/>
    <xf numFmtId="41" fontId="2" fillId="4" borderId="27" xfId="2" applyFont="1" applyFill="1" applyBorder="1"/>
    <xf numFmtId="41" fontId="2" fillId="4" borderId="29" xfId="2" applyFont="1" applyFill="1" applyBorder="1"/>
    <xf numFmtId="1" fontId="3" fillId="0" borderId="10" xfId="0" applyNumberFormat="1" applyFont="1" applyBorder="1" applyAlignment="1">
      <alignment horizontal="center" vertical="center"/>
    </xf>
    <xf numFmtId="0" fontId="12" fillId="2" borderId="34" xfId="4" applyFont="1" applyFill="1" applyBorder="1" applyAlignment="1">
      <alignment wrapText="1"/>
    </xf>
    <xf numFmtId="3" fontId="3" fillId="0" borderId="35" xfId="2" applyNumberFormat="1" applyFont="1" applyBorder="1" applyAlignment="1">
      <alignment horizontal="center"/>
    </xf>
    <xf numFmtId="41" fontId="3" fillId="0" borderId="34" xfId="2" applyFont="1" applyBorder="1"/>
    <xf numFmtId="41" fontId="3" fillId="0" borderId="36" xfId="2" applyFont="1" applyBorder="1"/>
    <xf numFmtId="41" fontId="3" fillId="0" borderId="37" xfId="2" applyFont="1" applyBorder="1"/>
    <xf numFmtId="3" fontId="0" fillId="0" borderId="0" xfId="2" applyNumberFormat="1" applyFont="1" applyAlignment="1">
      <alignment horizontal="center"/>
    </xf>
    <xf numFmtId="3" fontId="2" fillId="0" borderId="0" xfId="2" applyNumberFormat="1" applyFont="1" applyAlignment="1">
      <alignment horizontal="center"/>
    </xf>
    <xf numFmtId="41" fontId="7" fillId="0" borderId="0" xfId="2" applyFont="1"/>
    <xf numFmtId="0" fontId="12" fillId="3" borderId="22" xfId="0" applyFont="1" applyFill="1" applyBorder="1" applyAlignment="1">
      <alignment horizontal="center"/>
    </xf>
    <xf numFmtId="41" fontId="11" fillId="2" borderId="9" xfId="2" applyFont="1" applyFill="1" applyBorder="1" applyAlignment="1">
      <alignment horizontal="center" vertical="center" wrapText="1"/>
    </xf>
    <xf numFmtId="41" fontId="11" fillId="2" borderId="14" xfId="2" applyFont="1" applyFill="1" applyBorder="1" applyAlignment="1">
      <alignment horizontal="center" vertical="center" wrapText="1"/>
    </xf>
    <xf numFmtId="41" fontId="11" fillId="2" borderId="7" xfId="2" applyFont="1" applyFill="1" applyBorder="1" applyAlignment="1">
      <alignment horizontal="center" vertical="center" wrapText="1"/>
    </xf>
    <xf numFmtId="41" fontId="11" fillId="2" borderId="12" xfId="2" applyFont="1" applyFill="1" applyBorder="1" applyAlignment="1">
      <alignment horizontal="center" vertical="center" wrapText="1"/>
    </xf>
    <xf numFmtId="41" fontId="11" fillId="2" borderId="8" xfId="2" applyFont="1" applyFill="1" applyBorder="1" applyAlignment="1">
      <alignment horizontal="center" vertical="center" wrapText="1"/>
    </xf>
    <xf numFmtId="41" fontId="11" fillId="2" borderId="13" xfId="2" applyFont="1" applyFill="1" applyBorder="1" applyAlignment="1">
      <alignment horizontal="center" vertical="center" wrapText="1"/>
    </xf>
    <xf numFmtId="41" fontId="11" fillId="2" borderId="9" xfId="2" applyFont="1" applyFill="1" applyBorder="1" applyAlignment="1">
      <alignment horizontal="center" vertical="center" wrapText="1"/>
    </xf>
    <xf numFmtId="41" fontId="11" fillId="2" borderId="14" xfId="2" applyFont="1" applyFill="1" applyBorder="1" applyAlignment="1">
      <alignment horizontal="center" vertical="center" wrapText="1"/>
    </xf>
    <xf numFmtId="41" fontId="11" fillId="2" borderId="6" xfId="2" applyFont="1" applyFill="1" applyBorder="1" applyAlignment="1">
      <alignment horizontal="center" vertical="center" wrapText="1"/>
    </xf>
    <xf numFmtId="41" fontId="11" fillId="2" borderId="11" xfId="2" applyFont="1" applyFill="1" applyBorder="1" applyAlignment="1">
      <alignment horizontal="center" vertical="center" wrapText="1"/>
    </xf>
    <xf numFmtId="41" fontId="9" fillId="0" borderId="4" xfId="2" applyFont="1" applyBorder="1" applyAlignment="1">
      <alignment horizontal="center"/>
    </xf>
    <xf numFmtId="1" fontId="11" fillId="0" borderId="5" xfId="3" applyNumberFormat="1" applyFont="1" applyBorder="1" applyAlignment="1">
      <alignment horizontal="center" vertical="center" wrapText="1"/>
    </xf>
    <xf numFmtId="1" fontId="11" fillId="0" borderId="10" xfId="3" applyNumberFormat="1" applyFont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0" fontId="12" fillId="2" borderId="10" xfId="3" applyFont="1" applyFill="1" applyBorder="1" applyAlignment="1">
      <alignment horizontal="center" vertical="center" wrapText="1"/>
    </xf>
    <xf numFmtId="3" fontId="11" fillId="2" borderId="7" xfId="2" applyNumberFormat="1" applyFont="1" applyFill="1" applyBorder="1" applyAlignment="1">
      <alignment horizontal="center" vertical="center" wrapText="1"/>
    </xf>
    <xf numFmtId="3" fontId="11" fillId="2" borderId="12" xfId="2" applyNumberFormat="1" applyFont="1" applyFill="1" applyBorder="1" applyAlignment="1">
      <alignment horizontal="center" vertical="center" wrapText="1"/>
    </xf>
    <xf numFmtId="3" fontId="11" fillId="2" borderId="8" xfId="2" applyNumberFormat="1" applyFont="1" applyFill="1" applyBorder="1" applyAlignment="1">
      <alignment horizontal="center" vertical="center" wrapText="1"/>
    </xf>
    <xf numFmtId="3" fontId="11" fillId="2" borderId="13" xfId="2" applyNumberFormat="1" applyFont="1" applyFill="1" applyBorder="1" applyAlignment="1">
      <alignment horizontal="center" vertical="center" wrapText="1"/>
    </xf>
    <xf numFmtId="41" fontId="11" fillId="2" borderId="7" xfId="2" applyFont="1" applyFill="1" applyBorder="1" applyAlignment="1">
      <alignment horizontal="center" vertical="center" wrapText="1"/>
    </xf>
    <xf numFmtId="41" fontId="11" fillId="2" borderId="12" xfId="2" applyFont="1" applyFill="1" applyBorder="1" applyAlignment="1">
      <alignment horizontal="center" vertical="center" wrapText="1"/>
    </xf>
    <xf numFmtId="41" fontId="11" fillId="2" borderId="8" xfId="2" applyFont="1" applyFill="1" applyBorder="1" applyAlignment="1">
      <alignment horizontal="center" vertical="center" wrapText="1"/>
    </xf>
    <xf numFmtId="41" fontId="11" fillId="2" borderId="13" xfId="2" applyFont="1" applyFill="1" applyBorder="1" applyAlignment="1">
      <alignment horizontal="center" vertical="center" wrapText="1"/>
    </xf>
    <xf numFmtId="0" fontId="18" fillId="0" borderId="0" xfId="0" applyFont="1" applyProtection="1">
      <protection locked="0"/>
    </xf>
    <xf numFmtId="14" fontId="19" fillId="5" borderId="0" xfId="0" applyNumberFormat="1" applyFont="1" applyFill="1" applyProtection="1">
      <protection locked="0"/>
    </xf>
    <xf numFmtId="3" fontId="18" fillId="0" borderId="0" xfId="0" applyNumberFormat="1" applyFont="1" applyProtection="1">
      <protection locked="0"/>
    </xf>
    <xf numFmtId="0" fontId="18" fillId="0" borderId="38" xfId="0" applyFont="1" applyBorder="1"/>
    <xf numFmtId="3" fontId="18" fillId="0" borderId="7" xfId="0" applyNumberFormat="1" applyFont="1" applyBorder="1" applyProtection="1">
      <protection locked="0"/>
    </xf>
    <xf numFmtId="3" fontId="18" fillId="0" borderId="40" xfId="0" applyNumberFormat="1" applyFont="1" applyBorder="1"/>
    <xf numFmtId="3" fontId="18" fillId="0" borderId="41" xfId="0" applyNumberFormat="1" applyFont="1" applyBorder="1" applyProtection="1">
      <protection locked="0"/>
    </xf>
    <xf numFmtId="0" fontId="18" fillId="0" borderId="42" xfId="0" applyFont="1" applyBorder="1"/>
    <xf numFmtId="0" fontId="19" fillId="6" borderId="30" xfId="0" applyFont="1" applyFill="1" applyBorder="1"/>
    <xf numFmtId="3" fontId="18" fillId="6" borderId="9" xfId="0" applyNumberFormat="1" applyFont="1" applyFill="1" applyBorder="1"/>
    <xf numFmtId="3" fontId="18" fillId="0" borderId="25" xfId="0" applyNumberFormat="1" applyFont="1" applyBorder="1"/>
    <xf numFmtId="3" fontId="18" fillId="0" borderId="33" xfId="0" applyNumberFormat="1" applyFont="1" applyBorder="1" applyProtection="1">
      <protection locked="0"/>
    </xf>
    <xf numFmtId="0" fontId="18" fillId="0" borderId="44" xfId="0" applyFont="1" applyBorder="1"/>
    <xf numFmtId="3" fontId="18" fillId="0" borderId="45" xfId="0" applyNumberFormat="1" applyFont="1" applyBorder="1" applyProtection="1">
      <protection locked="0"/>
    </xf>
    <xf numFmtId="0" fontId="18" fillId="0" borderId="32" xfId="0" applyFont="1" applyBorder="1"/>
    <xf numFmtId="3" fontId="18" fillId="0" borderId="23" xfId="0" applyNumberFormat="1" applyFont="1" applyBorder="1" applyProtection="1">
      <protection locked="0"/>
    </xf>
    <xf numFmtId="0" fontId="19" fillId="6" borderId="5" xfId="0" applyFont="1" applyFill="1" applyBorder="1"/>
    <xf numFmtId="3" fontId="18" fillId="6" borderId="47" xfId="0" applyNumberFormat="1" applyFont="1" applyFill="1" applyBorder="1"/>
    <xf numFmtId="3" fontId="18" fillId="0" borderId="30" xfId="0" applyNumberFormat="1" applyFont="1" applyBorder="1"/>
    <xf numFmtId="0" fontId="18" fillId="7" borderId="25" xfId="0" applyFont="1" applyFill="1" applyBorder="1"/>
    <xf numFmtId="3" fontId="18" fillId="0" borderId="50" xfId="0" applyNumberFormat="1" applyFont="1" applyBorder="1" applyProtection="1">
      <protection locked="0"/>
    </xf>
    <xf numFmtId="3" fontId="19" fillId="6" borderId="30" xfId="0" applyNumberFormat="1" applyFont="1" applyFill="1" applyBorder="1"/>
    <xf numFmtId="0" fontId="18" fillId="0" borderId="20" xfId="0" applyFont="1" applyBorder="1"/>
    <xf numFmtId="3" fontId="18" fillId="0" borderId="32" xfId="0" applyNumberFormat="1" applyFont="1" applyBorder="1"/>
    <xf numFmtId="3" fontId="18" fillId="0" borderId="53" xfId="0" applyNumberFormat="1" applyFont="1" applyBorder="1" applyProtection="1">
      <protection locked="0"/>
    </xf>
    <xf numFmtId="3" fontId="18" fillId="0" borderId="14" xfId="0" applyNumberFormat="1" applyFont="1" applyBorder="1" applyProtection="1">
      <protection locked="0"/>
    </xf>
    <xf numFmtId="0" fontId="19" fillId="6" borderId="0" xfId="0" applyFont="1" applyFill="1"/>
    <xf numFmtId="3" fontId="18" fillId="6" borderId="6" xfId="0" applyNumberFormat="1" applyFont="1" applyFill="1" applyBorder="1"/>
    <xf numFmtId="0" fontId="18" fillId="0" borderId="30" xfId="0" applyFont="1" applyBorder="1"/>
    <xf numFmtId="3" fontId="18" fillId="0" borderId="45" xfId="0" applyNumberFormat="1" applyFont="1" applyBorder="1"/>
    <xf numFmtId="0" fontId="18" fillId="0" borderId="55" xfId="0" applyFont="1" applyBorder="1"/>
    <xf numFmtId="3" fontId="18" fillId="0" borderId="9" xfId="0" applyNumberFormat="1" applyFont="1" applyBorder="1" applyProtection="1">
      <protection locked="0"/>
    </xf>
    <xf numFmtId="0" fontId="19" fillId="6" borderId="16" xfId="0" applyFont="1" applyFill="1" applyBorder="1"/>
    <xf numFmtId="0" fontId="18" fillId="0" borderId="25" xfId="0" applyFont="1" applyBorder="1"/>
    <xf numFmtId="0" fontId="18" fillId="0" borderId="34" xfId="0" applyFont="1" applyBorder="1"/>
    <xf numFmtId="3" fontId="20" fillId="0" borderId="57" xfId="0" applyNumberFormat="1" applyFont="1" applyBorder="1"/>
    <xf numFmtId="0" fontId="19" fillId="8" borderId="59" xfId="0" applyFont="1" applyFill="1" applyBorder="1"/>
    <xf numFmtId="3" fontId="18" fillId="8" borderId="60" xfId="0" applyNumberFormat="1" applyFont="1" applyFill="1" applyBorder="1"/>
    <xf numFmtId="0" fontId="18" fillId="0" borderId="61" xfId="0" applyFont="1" applyBorder="1"/>
    <xf numFmtId="3" fontId="18" fillId="0" borderId="20" xfId="0" applyNumberFormat="1" applyFont="1" applyBorder="1"/>
    <xf numFmtId="0" fontId="19" fillId="6" borderId="63" xfId="0" applyFont="1" applyFill="1" applyBorder="1"/>
    <xf numFmtId="3" fontId="18" fillId="6" borderId="11" xfId="0" applyNumberFormat="1" applyFont="1" applyFill="1" applyBorder="1"/>
    <xf numFmtId="0" fontId="19" fillId="6" borderId="4" xfId="0" applyFont="1" applyFill="1" applyBorder="1"/>
    <xf numFmtId="3" fontId="19" fillId="8" borderId="63" xfId="0" applyNumberFormat="1" applyFont="1" applyFill="1" applyBorder="1"/>
    <xf numFmtId="3" fontId="18" fillId="8" borderId="11" xfId="0" applyNumberFormat="1" applyFont="1" applyFill="1" applyBorder="1"/>
    <xf numFmtId="0" fontId="18" fillId="0" borderId="26" xfId="0" applyFont="1" applyBorder="1"/>
    <xf numFmtId="0" fontId="19" fillId="6" borderId="15" xfId="0" applyFont="1" applyFill="1" applyBorder="1"/>
    <xf numFmtId="3" fontId="19" fillId="8" borderId="15" xfId="0" applyNumberFormat="1" applyFont="1" applyFill="1" applyBorder="1"/>
    <xf numFmtId="3" fontId="18" fillId="8" borderId="47" xfId="0" applyNumberFormat="1" applyFont="1" applyFill="1" applyBorder="1"/>
    <xf numFmtId="3" fontId="19" fillId="2" borderId="0" xfId="0" applyNumberFormat="1" applyFont="1" applyFill="1"/>
    <xf numFmtId="3" fontId="18" fillId="2" borderId="14" xfId="0" applyNumberFormat="1" applyFont="1" applyFill="1" applyBorder="1"/>
    <xf numFmtId="0" fontId="19" fillId="8" borderId="66" xfId="0" applyFont="1" applyFill="1" applyBorder="1"/>
    <xf numFmtId="3" fontId="18" fillId="8" borderId="67" xfId="0" applyNumberFormat="1" applyFont="1" applyFill="1" applyBorder="1"/>
    <xf numFmtId="0" fontId="18" fillId="0" borderId="68" xfId="0" applyFont="1" applyBorder="1" applyProtection="1">
      <protection locked="0"/>
    </xf>
    <xf numFmtId="3" fontId="18" fillId="0" borderId="0" xfId="0" applyNumberFormat="1" applyFont="1"/>
    <xf numFmtId="3" fontId="18" fillId="0" borderId="69" xfId="0" applyNumberFormat="1" applyFont="1" applyBorder="1"/>
    <xf numFmtId="0" fontId="18" fillId="0" borderId="70" xfId="0" applyFont="1" applyBorder="1" applyProtection="1">
      <protection locked="0"/>
    </xf>
    <xf numFmtId="0" fontId="19" fillId="8" borderId="16" xfId="0" applyFont="1" applyFill="1" applyBorder="1"/>
    <xf numFmtId="0" fontId="19" fillId="8" borderId="15" xfId="0" applyFont="1" applyFill="1" applyBorder="1"/>
    <xf numFmtId="0" fontId="18" fillId="0" borderId="0" xfId="0" applyFont="1"/>
    <xf numFmtId="0" fontId="18" fillId="0" borderId="71" xfId="0" applyFont="1" applyBorder="1"/>
    <xf numFmtId="3" fontId="21" fillId="0" borderId="47" xfId="0" applyNumberFormat="1" applyFont="1" applyBorder="1"/>
    <xf numFmtId="3" fontId="18" fillId="0" borderId="33" xfId="0" applyNumberFormat="1" applyFont="1" applyBorder="1"/>
    <xf numFmtId="3" fontId="23" fillId="0" borderId="72" xfId="0" applyNumberFormat="1" applyFont="1" applyBorder="1"/>
    <xf numFmtId="3" fontId="24" fillId="0" borderId="47" xfId="0" applyNumberFormat="1" applyFont="1" applyBorder="1"/>
    <xf numFmtId="3" fontId="22" fillId="0" borderId="0" xfId="0" applyNumberFormat="1" applyFont="1" applyAlignment="1" applyProtection="1">
      <alignment horizontal="right"/>
      <protection locked="0"/>
    </xf>
    <xf numFmtId="3" fontId="25" fillId="0" borderId="20" xfId="0" applyNumberFormat="1" applyFont="1" applyBorder="1"/>
    <xf numFmtId="164" fontId="18" fillId="0" borderId="0" xfId="0" applyNumberFormat="1" applyFont="1" applyProtection="1">
      <protection locked="0"/>
    </xf>
    <xf numFmtId="0" fontId="23" fillId="0" borderId="35" xfId="0" applyFont="1" applyBorder="1"/>
    <xf numFmtId="3" fontId="24" fillId="0" borderId="11" xfId="0" applyNumberFormat="1" applyFont="1" applyBorder="1"/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3" fontId="19" fillId="0" borderId="0" xfId="0" applyNumberFormat="1" applyFont="1" applyAlignment="1" applyProtection="1">
      <alignment horizontal="center" wrapText="1"/>
      <protection locked="0"/>
    </xf>
    <xf numFmtId="0" fontId="18" fillId="0" borderId="8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6" borderId="64" xfId="0" applyFont="1" applyFill="1" applyBorder="1" applyAlignment="1">
      <alignment horizontal="center" vertical="center"/>
    </xf>
    <xf numFmtId="0" fontId="18" fillId="8" borderId="64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3" fontId="18" fillId="0" borderId="0" xfId="0" applyNumberFormat="1" applyFont="1" applyAlignment="1" applyProtection="1">
      <alignment horizontal="center" vertical="center"/>
      <protection locked="0"/>
    </xf>
    <xf numFmtId="3" fontId="27" fillId="0" borderId="0" xfId="5" applyNumberFormat="1" applyFont="1" applyAlignment="1">
      <alignment horizontal="center" vertical="center"/>
      <protection locked="0"/>
    </xf>
    <xf numFmtId="3" fontId="18" fillId="0" borderId="39" xfId="0" applyNumberFormat="1" applyFont="1" applyBorder="1" applyAlignment="1">
      <alignment horizontal="center" vertical="center"/>
    </xf>
    <xf numFmtId="3" fontId="18" fillId="0" borderId="43" xfId="0" applyNumberFormat="1" applyFont="1" applyBorder="1" applyAlignment="1">
      <alignment horizontal="center" vertical="center"/>
    </xf>
    <xf numFmtId="3" fontId="18" fillId="6" borderId="1" xfId="0" applyNumberFormat="1" applyFont="1" applyFill="1" applyBorder="1" applyAlignment="1">
      <alignment horizontal="center" vertical="center"/>
    </xf>
    <xf numFmtId="3" fontId="18" fillId="7" borderId="49" xfId="0" applyNumberFormat="1" applyFont="1" applyFill="1" applyBorder="1" applyAlignment="1">
      <alignment horizontal="center" vertical="center"/>
    </xf>
    <xf numFmtId="3" fontId="18" fillId="0" borderId="51" xfId="0" applyNumberFormat="1" applyFont="1" applyBorder="1" applyAlignment="1">
      <alignment horizontal="center" vertical="center"/>
    </xf>
    <xf numFmtId="3" fontId="18" fillId="0" borderId="52" xfId="0" applyNumberFormat="1" applyFont="1" applyBorder="1" applyAlignment="1">
      <alignment horizontal="center" vertical="center"/>
    </xf>
    <xf numFmtId="3" fontId="18" fillId="6" borderId="47" xfId="0" applyNumberFormat="1" applyFont="1" applyFill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3" fontId="18" fillId="8" borderId="58" xfId="0" applyNumberFormat="1" applyFont="1" applyFill="1" applyBorder="1" applyAlignment="1">
      <alignment horizontal="center" vertical="center"/>
    </xf>
    <xf numFmtId="3" fontId="18" fillId="6" borderId="13" xfId="0" applyNumberFormat="1" applyFont="1" applyFill="1" applyBorder="1" applyAlignment="1">
      <alignment horizontal="center" vertical="center"/>
    </xf>
    <xf numFmtId="3" fontId="18" fillId="0" borderId="24" xfId="0" applyNumberFormat="1" applyFont="1" applyBorder="1" applyAlignment="1">
      <alignment horizontal="center" vertical="center"/>
    </xf>
    <xf numFmtId="3" fontId="18" fillId="6" borderId="64" xfId="0" applyNumberFormat="1" applyFont="1" applyFill="1" applyBorder="1" applyAlignment="1">
      <alignment horizontal="center" vertical="center"/>
    </xf>
    <xf numFmtId="3" fontId="18" fillId="8" borderId="65" xfId="0" applyNumberFormat="1" applyFont="1" applyFill="1" applyBorder="1" applyAlignment="1">
      <alignment horizontal="center" vertical="center"/>
    </xf>
    <xf numFmtId="3" fontId="18" fillId="8" borderId="64" xfId="0" applyNumberFormat="1" applyFont="1" applyFill="1" applyBorder="1" applyAlignment="1">
      <alignment horizontal="center" vertical="center"/>
    </xf>
    <xf numFmtId="3" fontId="18" fillId="8" borderId="1" xfId="0" applyNumberFormat="1" applyFont="1" applyFill="1" applyBorder="1" applyAlignment="1">
      <alignment horizontal="center" vertical="center"/>
    </xf>
    <xf numFmtId="14" fontId="19" fillId="5" borderId="0" xfId="0" applyNumberFormat="1" applyFont="1" applyFill="1" applyAlignment="1" applyProtection="1">
      <alignment horizontal="center" vertical="center"/>
      <protection locked="0"/>
    </xf>
  </cellXfs>
  <cellStyles count="6">
    <cellStyle name="Hipervínculo" xfId="5" builtinId="8"/>
    <cellStyle name="Millares" xfId="1" builtinId="3"/>
    <cellStyle name="Millares [0]" xfId="2" builtinId="6"/>
    <cellStyle name="Normal" xfId="0" builtinId="0"/>
    <cellStyle name="Normal 3" xfId="4" xr:uid="{8D8AB373-9FB8-4558-BFD0-731A08986A36}"/>
    <cellStyle name="Normal 3 3" xfId="3" xr:uid="{190717E0-24DD-421E-ABAB-BF5ABA9F060A}"/>
  </cellStyles>
  <dxfs count="12"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48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9b2afa76d7dee7/BRONZ/Gesti&#243;n%20Bronz%202025%20V1%20.xlsm" TargetMode="External"/><Relationship Id="rId1" Type="http://schemas.openxmlformats.org/officeDocument/2006/relationships/externalLinkPath" Target="/a99b2afa76d7dee7/BRONZ/Gesti&#243;n%20Bronz%202025%20V1%2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9b2afa76d7dee7/BRONZ/Gesti&#243;n%20Bronz%202025%20V1%20%20-%20copia.xlsm" TargetMode="External"/><Relationship Id="rId1" Type="http://schemas.openxmlformats.org/officeDocument/2006/relationships/externalLinkPath" Target="/a99b2afa76d7dee7/BRONZ/Gesti&#243;n%20Bronz%202025%20V1%20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Vaciado"/>
      <sheetName val="Ficha Financiera"/>
      <sheetName val="Inicio Panel"/>
      <sheetName val="Datos"/>
      <sheetName val="Distrib_Inventario"/>
      <sheetName val="Balance Clasificado"/>
      <sheetName val="Balance General"/>
      <sheetName val="Ventas"/>
      <sheetName val="Proyección"/>
      <sheetName val="Gestion mes"/>
      <sheetName val="BodegaTiendas"/>
      <sheetName val="resultado"/>
      <sheetName val="tabla"/>
      <sheetName val="Inventa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Vaciado"/>
      <sheetName val="Ficha Financiera"/>
      <sheetName val="Inicio Panel"/>
      <sheetName val="Datos"/>
      <sheetName val="Distrib_Inventario"/>
      <sheetName val="Balance Clasificado"/>
      <sheetName val="Balance General"/>
      <sheetName val="Ventas"/>
      <sheetName val="Proyección"/>
      <sheetName val="Gestion mes"/>
      <sheetName val="BodegaTiendas"/>
      <sheetName val="resultado"/>
      <sheetName val="tabla"/>
      <sheetName val="Inventario"/>
    </sheetNames>
    <sheetDataSet>
      <sheetData sheetId="0">
        <row r="8">
          <cell r="O8">
            <v>4312492.2699219808</v>
          </cell>
          <cell r="P8">
            <v>0</v>
          </cell>
        </row>
        <row r="9">
          <cell r="O9">
            <v>0</v>
          </cell>
          <cell r="P9">
            <v>0</v>
          </cell>
        </row>
        <row r="10">
          <cell r="O10">
            <v>0</v>
          </cell>
          <cell r="P10">
            <v>0</v>
          </cell>
        </row>
        <row r="11">
          <cell r="O11">
            <v>0</v>
          </cell>
          <cell r="P11">
            <v>0</v>
          </cell>
        </row>
        <row r="12">
          <cell r="O12">
            <v>0</v>
          </cell>
          <cell r="P12">
            <v>0</v>
          </cell>
        </row>
        <row r="13">
          <cell r="O13">
            <v>0</v>
          </cell>
          <cell r="P13">
            <v>0</v>
          </cell>
        </row>
        <row r="14">
          <cell r="O14">
            <v>0</v>
          </cell>
          <cell r="P14">
            <v>0</v>
          </cell>
        </row>
        <row r="15">
          <cell r="O15">
            <v>0</v>
          </cell>
          <cell r="P15">
            <v>0</v>
          </cell>
        </row>
        <row r="16">
          <cell r="O16">
            <v>1403110</v>
          </cell>
          <cell r="P16">
            <v>0</v>
          </cell>
        </row>
        <row r="17">
          <cell r="O17">
            <v>0</v>
          </cell>
          <cell r="P17">
            <v>0</v>
          </cell>
        </row>
        <row r="18">
          <cell r="O18">
            <v>0</v>
          </cell>
          <cell r="P18">
            <v>0</v>
          </cell>
        </row>
        <row r="19">
          <cell r="O19">
            <v>17167942</v>
          </cell>
          <cell r="P19">
            <v>0</v>
          </cell>
        </row>
        <row r="20">
          <cell r="O20">
            <v>0</v>
          </cell>
          <cell r="P20">
            <v>0</v>
          </cell>
        </row>
        <row r="22">
          <cell r="O22">
            <v>2399058</v>
          </cell>
          <cell r="P22">
            <v>0</v>
          </cell>
        </row>
        <row r="23">
          <cell r="O23">
            <v>0</v>
          </cell>
        </row>
        <row r="24">
          <cell r="O24">
            <v>0</v>
          </cell>
          <cell r="P24">
            <v>477784</v>
          </cell>
        </row>
        <row r="25">
          <cell r="O25">
            <v>0</v>
          </cell>
          <cell r="P25">
            <v>0</v>
          </cell>
        </row>
        <row r="26">
          <cell r="O26">
            <v>0</v>
          </cell>
          <cell r="P26">
            <v>0</v>
          </cell>
        </row>
        <row r="27">
          <cell r="O27">
            <v>0</v>
          </cell>
          <cell r="P27">
            <v>0</v>
          </cell>
        </row>
        <row r="28">
          <cell r="O28">
            <v>0</v>
          </cell>
          <cell r="P28">
            <v>0</v>
          </cell>
        </row>
        <row r="29">
          <cell r="O29">
            <v>0</v>
          </cell>
          <cell r="P29">
            <v>0</v>
          </cell>
        </row>
        <row r="30">
          <cell r="O30">
            <v>0</v>
          </cell>
          <cell r="P30">
            <v>0</v>
          </cell>
        </row>
        <row r="31">
          <cell r="O31">
            <v>0</v>
          </cell>
          <cell r="P31">
            <v>0</v>
          </cell>
        </row>
        <row r="33">
          <cell r="O33">
            <v>0</v>
          </cell>
          <cell r="P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  <cell r="P42">
            <v>0</v>
          </cell>
        </row>
        <row r="43">
          <cell r="O43">
            <v>0</v>
          </cell>
          <cell r="P43">
            <v>0</v>
          </cell>
        </row>
        <row r="44">
          <cell r="O44">
            <v>3417</v>
          </cell>
          <cell r="P44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  <row r="49">
          <cell r="O49">
            <v>0</v>
          </cell>
        </row>
        <row r="50">
          <cell r="O50">
            <v>0</v>
          </cell>
        </row>
        <row r="51">
          <cell r="O51">
            <v>0</v>
          </cell>
        </row>
        <row r="52">
          <cell r="O52">
            <v>0</v>
          </cell>
        </row>
        <row r="53">
          <cell r="O53">
            <v>0</v>
          </cell>
        </row>
        <row r="54">
          <cell r="O54">
            <v>0</v>
          </cell>
        </row>
        <row r="55">
          <cell r="O55">
            <v>0</v>
          </cell>
          <cell r="P55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O60">
            <v>0</v>
          </cell>
        </row>
        <row r="61">
          <cell r="M61">
            <v>0</v>
          </cell>
        </row>
        <row r="62">
          <cell r="M62">
            <v>0</v>
          </cell>
          <cell r="P62">
            <v>0</v>
          </cell>
        </row>
        <row r="73">
          <cell r="O73">
            <v>4157547</v>
          </cell>
        </row>
        <row r="78">
          <cell r="O78">
            <v>0</v>
          </cell>
          <cell r="P78">
            <v>0</v>
          </cell>
        </row>
        <row r="84">
          <cell r="O84">
            <v>0</v>
          </cell>
          <cell r="P84">
            <v>0</v>
          </cell>
        </row>
        <row r="85">
          <cell r="O85">
            <v>0</v>
          </cell>
          <cell r="P85">
            <v>0</v>
          </cell>
        </row>
        <row r="86">
          <cell r="O86">
            <v>0</v>
          </cell>
          <cell r="P86">
            <v>0</v>
          </cell>
        </row>
        <row r="87">
          <cell r="O87">
            <v>0</v>
          </cell>
          <cell r="P87">
            <v>0</v>
          </cell>
        </row>
        <row r="88">
          <cell r="O88">
            <v>0</v>
          </cell>
          <cell r="P88">
            <v>0</v>
          </cell>
        </row>
        <row r="89">
          <cell r="O89">
            <v>0</v>
          </cell>
          <cell r="P89">
            <v>0</v>
          </cell>
        </row>
        <row r="90">
          <cell r="O90">
            <v>0</v>
          </cell>
          <cell r="P90">
            <v>0</v>
          </cell>
        </row>
        <row r="91">
          <cell r="O91">
            <v>0</v>
          </cell>
          <cell r="P91">
            <v>0</v>
          </cell>
        </row>
        <row r="92">
          <cell r="O92">
            <v>0</v>
          </cell>
          <cell r="P92">
            <v>2066302</v>
          </cell>
        </row>
        <row r="93">
          <cell r="O93">
            <v>0</v>
          </cell>
          <cell r="P93">
            <v>0</v>
          </cell>
        </row>
        <row r="94">
          <cell r="P94">
            <v>0</v>
          </cell>
        </row>
        <row r="96">
          <cell r="O96">
            <v>0</v>
          </cell>
          <cell r="P96">
            <v>207718.14</v>
          </cell>
        </row>
        <row r="98">
          <cell r="O98">
            <v>0</v>
          </cell>
          <cell r="P98">
            <v>1182967.6109418869</v>
          </cell>
        </row>
        <row r="99">
          <cell r="O99">
            <v>0</v>
          </cell>
          <cell r="P99">
            <v>0</v>
          </cell>
        </row>
        <row r="108">
          <cell r="O108">
            <v>0</v>
          </cell>
          <cell r="P108">
            <v>0</v>
          </cell>
        </row>
        <row r="109">
          <cell r="O109">
            <v>0</v>
          </cell>
          <cell r="P109">
            <v>0</v>
          </cell>
        </row>
        <row r="110">
          <cell r="O110">
            <v>106628</v>
          </cell>
          <cell r="P110">
            <v>0</v>
          </cell>
        </row>
        <row r="111">
          <cell r="O111">
            <v>0</v>
          </cell>
          <cell r="P111">
            <v>9637030</v>
          </cell>
        </row>
        <row r="114">
          <cell r="P114">
            <v>0</v>
          </cell>
        </row>
        <row r="116">
          <cell r="P116">
            <v>3000000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3">
          <cell r="N123">
            <v>0</v>
          </cell>
        </row>
        <row r="124">
          <cell r="P124">
            <v>16115566</v>
          </cell>
        </row>
        <row r="126">
          <cell r="M126">
            <v>9000000</v>
          </cell>
        </row>
        <row r="128">
          <cell r="O128">
            <v>0</v>
          </cell>
        </row>
        <row r="135">
          <cell r="R135">
            <v>31472496.419300284</v>
          </cell>
        </row>
        <row r="136">
          <cell r="R136">
            <v>1653677</v>
          </cell>
        </row>
        <row r="137">
          <cell r="Q137">
            <v>0</v>
          </cell>
        </row>
        <row r="138">
          <cell r="R138">
            <v>0</v>
          </cell>
        </row>
        <row r="139">
          <cell r="Q139">
            <v>5841578</v>
          </cell>
        </row>
        <row r="140">
          <cell r="Q140">
            <v>3147198</v>
          </cell>
        </row>
        <row r="141">
          <cell r="Q141">
            <v>0</v>
          </cell>
        </row>
        <row r="142">
          <cell r="Q142">
            <v>0</v>
          </cell>
        </row>
        <row r="143">
          <cell r="Q143">
            <v>4420760</v>
          </cell>
        </row>
        <row r="144">
          <cell r="Q144">
            <v>6885949</v>
          </cell>
        </row>
        <row r="145">
          <cell r="Q145">
            <v>1175425.8696000001</v>
          </cell>
        </row>
        <row r="146">
          <cell r="Q146">
            <v>0</v>
          </cell>
        </row>
        <row r="147">
          <cell r="Q147">
            <v>0</v>
          </cell>
        </row>
        <row r="148">
          <cell r="Q148">
            <v>0</v>
          </cell>
        </row>
        <row r="149">
          <cell r="Q149">
            <v>0</v>
          </cell>
        </row>
        <row r="150">
          <cell r="Q150">
            <v>5792436</v>
          </cell>
        </row>
        <row r="151">
          <cell r="Q151">
            <v>0</v>
          </cell>
        </row>
        <row r="154">
          <cell r="Q154">
            <v>0</v>
          </cell>
          <cell r="R154">
            <v>0</v>
          </cell>
        </row>
        <row r="155">
          <cell r="Q155">
            <v>0</v>
          </cell>
        </row>
        <row r="158">
          <cell r="R158">
            <v>0</v>
          </cell>
        </row>
        <row r="159">
          <cell r="Q159">
            <v>0</v>
          </cell>
          <cell r="R159">
            <v>0</v>
          </cell>
        </row>
        <row r="160">
          <cell r="M160">
            <v>0</v>
          </cell>
        </row>
        <row r="161">
          <cell r="Q161">
            <v>0</v>
          </cell>
        </row>
        <row r="164">
          <cell r="Q164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E746-0A3B-4353-9BE3-76E6251DEB9F}">
  <dimension ref="A1:J172"/>
  <sheetViews>
    <sheetView topLeftCell="A156" workbookViewId="0">
      <selection activeCell="H168" sqref="H168"/>
    </sheetView>
  </sheetViews>
  <sheetFormatPr baseColWidth="10" defaultRowHeight="14.4" x14ac:dyDescent="0.3"/>
  <cols>
    <col min="1" max="1" width="8" bestFit="1" customWidth="1"/>
    <col min="2" max="2" width="47.77734375" customWidth="1"/>
    <col min="3" max="4" width="11.109375" bestFit="1" customWidth="1"/>
    <col min="5" max="5" width="14.6640625" bestFit="1" customWidth="1"/>
    <col min="6" max="6" width="16.6640625" bestFit="1" customWidth="1"/>
    <col min="7" max="9" width="10.77734375" bestFit="1" customWidth="1"/>
    <col min="10" max="10" width="11.6640625" bestFit="1" customWidth="1"/>
  </cols>
  <sheetData>
    <row r="1" spans="1:10" ht="24" thickBot="1" x14ac:dyDescent="0.5">
      <c r="A1" s="1"/>
      <c r="B1" s="2"/>
      <c r="C1" s="3"/>
      <c r="D1" s="3"/>
      <c r="E1" s="4" t="s">
        <v>0</v>
      </c>
      <c r="F1" s="5" t="e">
        <f>'[1]Ficha Financiera'!#REF!</f>
        <v>#REF!</v>
      </c>
      <c r="G1" s="6"/>
      <c r="H1" s="6"/>
      <c r="I1" s="6"/>
      <c r="J1" s="6"/>
    </row>
    <row r="2" spans="1:10" ht="18" thickBot="1" x14ac:dyDescent="0.35">
      <c r="A2" s="7"/>
      <c r="B2" s="8"/>
      <c r="C2" s="92" t="s">
        <v>1</v>
      </c>
      <c r="D2" s="92"/>
      <c r="E2" s="92"/>
      <c r="F2" s="92"/>
      <c r="G2" s="92"/>
      <c r="H2" s="92"/>
      <c r="I2" s="92"/>
      <c r="J2" s="92"/>
    </row>
    <row r="3" spans="1:10" x14ac:dyDescent="0.3">
      <c r="A3" s="93"/>
      <c r="B3" s="95" t="s">
        <v>2</v>
      </c>
      <c r="C3" s="97" t="s">
        <v>3</v>
      </c>
      <c r="D3" s="99" t="s">
        <v>4</v>
      </c>
      <c r="E3" s="101" t="s">
        <v>5</v>
      </c>
      <c r="F3" s="103" t="s">
        <v>6</v>
      </c>
      <c r="G3" s="101" t="s">
        <v>7</v>
      </c>
      <c r="H3" s="103" t="s">
        <v>8</v>
      </c>
      <c r="I3" s="88" t="s">
        <v>9</v>
      </c>
      <c r="J3" s="90" t="s">
        <v>10</v>
      </c>
    </row>
    <row r="4" spans="1:10" ht="15" thickBot="1" x14ac:dyDescent="0.35">
      <c r="A4" s="94"/>
      <c r="B4" s="96"/>
      <c r="C4" s="98"/>
      <c r="D4" s="100"/>
      <c r="E4" s="102"/>
      <c r="F4" s="104"/>
      <c r="G4" s="102"/>
      <c r="H4" s="104"/>
      <c r="I4" s="89"/>
      <c r="J4" s="91"/>
    </row>
    <row r="5" spans="1:10" ht="16.2" thickBot="1" x14ac:dyDescent="0.35">
      <c r="A5" s="9"/>
      <c r="B5" s="10"/>
      <c r="C5" s="11"/>
      <c r="D5" s="11"/>
      <c r="E5" s="12"/>
      <c r="F5" s="13"/>
      <c r="G5" s="14"/>
      <c r="H5" s="13"/>
      <c r="I5" s="12"/>
      <c r="J5" s="12"/>
    </row>
    <row r="6" spans="1:10" ht="15.6" x14ac:dyDescent="0.3">
      <c r="A6" s="15" t="s">
        <v>296</v>
      </c>
      <c r="B6" s="16" t="s">
        <v>11</v>
      </c>
      <c r="C6" s="17"/>
      <c r="D6" s="18"/>
      <c r="E6" s="19"/>
      <c r="F6" s="20"/>
      <c r="G6" s="19"/>
      <c r="H6" s="20"/>
      <c r="I6" s="21"/>
      <c r="J6" s="22"/>
    </row>
    <row r="7" spans="1:10" ht="15.6" x14ac:dyDescent="0.3">
      <c r="A7" s="23"/>
      <c r="B7" s="24" t="s">
        <v>12</v>
      </c>
      <c r="C7" s="25"/>
      <c r="D7" s="26"/>
      <c r="E7" s="27"/>
      <c r="F7" s="27"/>
      <c r="G7" s="27"/>
      <c r="H7" s="27"/>
      <c r="I7" s="27">
        <f>SUM(I8:I55)</f>
        <v>0</v>
      </c>
      <c r="J7" s="27">
        <f>SUM(J8:J55)</f>
        <v>0</v>
      </c>
    </row>
    <row r="8" spans="1:10" ht="15.6" x14ac:dyDescent="0.3">
      <c r="A8" s="23" t="s">
        <v>13</v>
      </c>
      <c r="B8" s="28" t="s">
        <v>14</v>
      </c>
      <c r="C8" s="29">
        <v>66530278</v>
      </c>
      <c r="D8" s="29">
        <v>62217785.730078019</v>
      </c>
      <c r="E8" s="19">
        <f>IF(C8&gt;D8,C8-D8,0)</f>
        <v>4312492.2699219808</v>
      </c>
      <c r="F8" s="30">
        <f>IF(D8&gt;C8,D8-C8,0)</f>
        <v>0</v>
      </c>
      <c r="G8" s="19">
        <f>E8</f>
        <v>4312492.2699219808</v>
      </c>
      <c r="H8" s="20">
        <f>F8</f>
        <v>0</v>
      </c>
      <c r="I8" s="21"/>
      <c r="J8" s="22"/>
    </row>
    <row r="9" spans="1:10" ht="15.6" x14ac:dyDescent="0.3">
      <c r="A9" s="23" t="s">
        <v>15</v>
      </c>
      <c r="B9" s="28" t="s">
        <v>16</v>
      </c>
      <c r="C9" s="29"/>
      <c r="D9" s="29"/>
      <c r="E9" s="19">
        <f t="shared" ref="E9:E72" si="0">IF(C9&gt;D9,C9-D9,0)</f>
        <v>0</v>
      </c>
      <c r="F9" s="30">
        <f t="shared" ref="F9:F72" si="1">IF(D9&gt;C9,D9-C9,0)</f>
        <v>0</v>
      </c>
      <c r="G9" s="19">
        <f t="shared" ref="G9:H115" si="2">E9</f>
        <v>0</v>
      </c>
      <c r="H9" s="20">
        <f t="shared" si="2"/>
        <v>0</v>
      </c>
      <c r="I9" s="21"/>
      <c r="J9" s="22"/>
    </row>
    <row r="10" spans="1:10" ht="15.6" x14ac:dyDescent="0.3">
      <c r="A10" s="23" t="s">
        <v>17</v>
      </c>
      <c r="B10" s="28" t="s">
        <v>18</v>
      </c>
      <c r="C10" s="29"/>
      <c r="D10" s="29"/>
      <c r="E10" s="19">
        <f t="shared" si="0"/>
        <v>0</v>
      </c>
      <c r="F10" s="30">
        <f t="shared" si="1"/>
        <v>0</v>
      </c>
      <c r="G10" s="19">
        <f t="shared" si="2"/>
        <v>0</v>
      </c>
      <c r="H10" s="20">
        <f t="shared" si="2"/>
        <v>0</v>
      </c>
      <c r="I10" s="21"/>
      <c r="J10" s="22"/>
    </row>
    <row r="11" spans="1:10" ht="15.6" x14ac:dyDescent="0.3">
      <c r="A11" s="23" t="s">
        <v>19</v>
      </c>
      <c r="B11" s="28" t="s">
        <v>20</v>
      </c>
      <c r="C11" s="29"/>
      <c r="D11" s="29"/>
      <c r="E11" s="19">
        <f t="shared" si="0"/>
        <v>0</v>
      </c>
      <c r="F11" s="30">
        <f t="shared" si="1"/>
        <v>0</v>
      </c>
      <c r="G11" s="19">
        <f t="shared" si="2"/>
        <v>0</v>
      </c>
      <c r="H11" s="20">
        <f t="shared" si="2"/>
        <v>0</v>
      </c>
      <c r="I11" s="21"/>
      <c r="J11" s="22"/>
    </row>
    <row r="12" spans="1:10" ht="15.6" x14ac:dyDescent="0.3">
      <c r="A12" s="23" t="s">
        <v>21</v>
      </c>
      <c r="B12" s="28" t="s">
        <v>22</v>
      </c>
      <c r="C12" s="29"/>
      <c r="D12" s="29"/>
      <c r="E12" s="19">
        <f>IF(C12&gt;D12,C12-D12,0)</f>
        <v>0</v>
      </c>
      <c r="F12" s="30">
        <f>IF(D12&gt;C12,D12-C12,0)</f>
        <v>0</v>
      </c>
      <c r="G12" s="19">
        <f t="shared" si="2"/>
        <v>0</v>
      </c>
      <c r="H12" s="20">
        <f t="shared" si="2"/>
        <v>0</v>
      </c>
      <c r="I12" s="21"/>
      <c r="J12" s="22"/>
    </row>
    <row r="13" spans="1:10" ht="15.6" x14ac:dyDescent="0.3">
      <c r="A13" s="31" t="s">
        <v>23</v>
      </c>
      <c r="B13" s="32" t="s">
        <v>24</v>
      </c>
      <c r="C13" s="29">
        <v>6718491</v>
      </c>
      <c r="D13" s="29">
        <v>6718491</v>
      </c>
      <c r="E13" s="19">
        <f>IF(C13&gt;D13,C13-D13,0)</f>
        <v>0</v>
      </c>
      <c r="F13" s="30">
        <f>IF(D13&gt;C13,D13-C13,0)</f>
        <v>0</v>
      </c>
      <c r="G13" s="19">
        <f t="shared" si="2"/>
        <v>0</v>
      </c>
      <c r="H13" s="20">
        <f t="shared" si="2"/>
        <v>0</v>
      </c>
      <c r="I13" s="21"/>
      <c r="J13" s="22"/>
    </row>
    <row r="14" spans="1:10" ht="15.6" x14ac:dyDescent="0.3">
      <c r="A14" s="33" t="s">
        <v>25</v>
      </c>
      <c r="B14" s="32" t="s">
        <v>26</v>
      </c>
      <c r="C14" s="29"/>
      <c r="D14" s="29"/>
      <c r="E14" s="19">
        <f>IF(C14&gt;D14,C14-D14,0)</f>
        <v>0</v>
      </c>
      <c r="F14" s="30">
        <f>IF(D14&gt;C14,D14-C14,0)</f>
        <v>0</v>
      </c>
      <c r="G14" s="19">
        <f t="shared" si="2"/>
        <v>0</v>
      </c>
      <c r="H14" s="20">
        <f t="shared" si="2"/>
        <v>0</v>
      </c>
      <c r="I14" s="21"/>
      <c r="J14" s="22"/>
    </row>
    <row r="15" spans="1:10" ht="15.6" x14ac:dyDescent="0.3">
      <c r="A15" s="33" t="s">
        <v>27</v>
      </c>
      <c r="B15" s="32" t="s">
        <v>24</v>
      </c>
      <c r="C15" s="29">
        <v>7703260</v>
      </c>
      <c r="D15" s="29">
        <v>7703260</v>
      </c>
      <c r="E15" s="19">
        <f>IF(C15&gt;D15,C15-D15,0)</f>
        <v>0</v>
      </c>
      <c r="F15" s="30">
        <f>IF(D15&gt;C15,D15-C15,0)</f>
        <v>0</v>
      </c>
      <c r="G15" s="19">
        <f t="shared" si="2"/>
        <v>0</v>
      </c>
      <c r="H15" s="20">
        <f t="shared" si="2"/>
        <v>0</v>
      </c>
      <c r="I15" s="21"/>
      <c r="J15" s="22"/>
    </row>
    <row r="16" spans="1:10" ht="15.6" x14ac:dyDescent="0.3">
      <c r="A16" s="23" t="s">
        <v>28</v>
      </c>
      <c r="B16" s="28" t="s">
        <v>29</v>
      </c>
      <c r="C16" s="29">
        <v>2003110</v>
      </c>
      <c r="D16" s="29">
        <v>600000</v>
      </c>
      <c r="E16" s="19">
        <f t="shared" si="0"/>
        <v>1403110</v>
      </c>
      <c r="F16" s="30">
        <f t="shared" si="1"/>
        <v>0</v>
      </c>
      <c r="G16" s="19">
        <f t="shared" si="2"/>
        <v>1403110</v>
      </c>
      <c r="H16" s="20">
        <f t="shared" si="2"/>
        <v>0</v>
      </c>
      <c r="I16" s="21"/>
      <c r="J16" s="22"/>
    </row>
    <row r="17" spans="1:10" ht="15.6" x14ac:dyDescent="0.3">
      <c r="A17" s="23" t="s">
        <v>30</v>
      </c>
      <c r="B17" s="28" t="s">
        <v>31</v>
      </c>
      <c r="C17" s="29"/>
      <c r="D17" s="29"/>
      <c r="E17" s="19">
        <f t="shared" si="0"/>
        <v>0</v>
      </c>
      <c r="F17" s="30">
        <f t="shared" si="1"/>
        <v>0</v>
      </c>
      <c r="G17" s="19">
        <f t="shared" si="2"/>
        <v>0</v>
      </c>
      <c r="H17" s="20">
        <f t="shared" si="2"/>
        <v>0</v>
      </c>
      <c r="I17" s="21"/>
      <c r="J17" s="22"/>
    </row>
    <row r="18" spans="1:10" ht="30.6" x14ac:dyDescent="0.3">
      <c r="A18" s="23" t="s">
        <v>32</v>
      </c>
      <c r="B18" s="28" t="s">
        <v>33</v>
      </c>
      <c r="C18" s="29"/>
      <c r="D18" s="29"/>
      <c r="E18" s="19">
        <f t="shared" si="0"/>
        <v>0</v>
      </c>
      <c r="F18" s="30">
        <f t="shared" si="1"/>
        <v>0</v>
      </c>
      <c r="G18" s="19">
        <f t="shared" si="2"/>
        <v>0</v>
      </c>
      <c r="H18" s="20">
        <f t="shared" si="2"/>
        <v>0</v>
      </c>
      <c r="I18" s="21"/>
      <c r="J18" s="22"/>
    </row>
    <row r="19" spans="1:10" ht="15.6" x14ac:dyDescent="0.3">
      <c r="A19" s="23" t="s">
        <v>34</v>
      </c>
      <c r="B19" s="28" t="s">
        <v>35</v>
      </c>
      <c r="C19" s="29">
        <v>23009520</v>
      </c>
      <c r="D19" s="29">
        <v>5841578</v>
      </c>
      <c r="E19" s="19">
        <f t="shared" si="0"/>
        <v>17167942</v>
      </c>
      <c r="F19" s="30">
        <f t="shared" si="1"/>
        <v>0</v>
      </c>
      <c r="G19" s="19">
        <f t="shared" si="2"/>
        <v>17167942</v>
      </c>
      <c r="H19" s="20">
        <f t="shared" si="2"/>
        <v>0</v>
      </c>
      <c r="I19" s="21"/>
      <c r="J19" s="22"/>
    </row>
    <row r="20" spans="1:10" ht="15.6" x14ac:dyDescent="0.3">
      <c r="A20" s="23" t="s">
        <v>36</v>
      </c>
      <c r="B20" s="28" t="s">
        <v>37</v>
      </c>
      <c r="C20" s="29"/>
      <c r="D20" s="29"/>
      <c r="E20" s="19">
        <f t="shared" si="0"/>
        <v>0</v>
      </c>
      <c r="F20" s="30">
        <f t="shared" si="1"/>
        <v>0</v>
      </c>
      <c r="G20" s="19">
        <f>E20</f>
        <v>0</v>
      </c>
      <c r="H20" s="20">
        <f t="shared" si="2"/>
        <v>0</v>
      </c>
      <c r="I20" s="21"/>
      <c r="J20" s="22"/>
    </row>
    <row r="21" spans="1:10" ht="15.6" x14ac:dyDescent="0.3">
      <c r="A21" s="23" t="s">
        <v>38</v>
      </c>
      <c r="B21" s="28" t="s">
        <v>39</v>
      </c>
      <c r="C21" s="29"/>
      <c r="D21" s="29"/>
      <c r="E21" s="19">
        <f t="shared" si="0"/>
        <v>0</v>
      </c>
      <c r="F21" s="30">
        <f t="shared" si="1"/>
        <v>0</v>
      </c>
      <c r="G21" s="19">
        <f t="shared" si="2"/>
        <v>0</v>
      </c>
      <c r="H21" s="20">
        <f t="shared" si="2"/>
        <v>0</v>
      </c>
      <c r="I21" s="21"/>
      <c r="J21" s="22"/>
    </row>
    <row r="22" spans="1:10" ht="30.6" x14ac:dyDescent="0.3">
      <c r="A22" s="23" t="s">
        <v>40</v>
      </c>
      <c r="B22" s="28" t="s">
        <v>41</v>
      </c>
      <c r="C22" s="29">
        <v>4411837</v>
      </c>
      <c r="D22" s="29">
        <v>2012779</v>
      </c>
      <c r="E22" s="19">
        <f t="shared" si="0"/>
        <v>2399058</v>
      </c>
      <c r="F22" s="30">
        <f t="shared" si="1"/>
        <v>0</v>
      </c>
      <c r="G22" s="19">
        <f>E22</f>
        <v>2399058</v>
      </c>
      <c r="H22" s="20">
        <f>F22</f>
        <v>0</v>
      </c>
      <c r="I22" s="21"/>
      <c r="J22" s="22"/>
    </row>
    <row r="23" spans="1:10" ht="15.6" x14ac:dyDescent="0.3">
      <c r="A23" s="23" t="s">
        <v>42</v>
      </c>
      <c r="B23" s="28" t="s">
        <v>43</v>
      </c>
      <c r="C23" s="29">
        <v>11339602</v>
      </c>
      <c r="D23" s="29">
        <v>11339602</v>
      </c>
      <c r="E23" s="19">
        <f t="shared" si="0"/>
        <v>0</v>
      </c>
      <c r="F23" s="30"/>
      <c r="G23" s="19">
        <f>E23</f>
        <v>0</v>
      </c>
      <c r="H23" s="20"/>
      <c r="I23" s="21"/>
      <c r="J23" s="22"/>
    </row>
    <row r="24" spans="1:10" ht="15.6" x14ac:dyDescent="0.3">
      <c r="A24" s="23" t="s">
        <v>44</v>
      </c>
      <c r="B24" s="28" t="s">
        <v>45</v>
      </c>
      <c r="C24" s="29"/>
      <c r="D24" s="29">
        <v>477784</v>
      </c>
      <c r="E24" s="19">
        <f t="shared" si="0"/>
        <v>0</v>
      </c>
      <c r="F24" s="30">
        <f t="shared" si="1"/>
        <v>477784</v>
      </c>
      <c r="G24" s="19">
        <f t="shared" si="2"/>
        <v>0</v>
      </c>
      <c r="H24" s="20">
        <f t="shared" si="2"/>
        <v>477784</v>
      </c>
      <c r="I24" s="21"/>
      <c r="J24" s="22"/>
    </row>
    <row r="25" spans="1:10" ht="15.6" x14ac:dyDescent="0.3">
      <c r="A25" s="23" t="s">
        <v>46</v>
      </c>
      <c r="B25" s="28" t="s">
        <v>47</v>
      </c>
      <c r="C25" s="29"/>
      <c r="D25" s="29"/>
      <c r="E25" s="19">
        <f t="shared" si="0"/>
        <v>0</v>
      </c>
      <c r="F25" s="30">
        <f t="shared" si="1"/>
        <v>0</v>
      </c>
      <c r="G25" s="19">
        <f t="shared" si="2"/>
        <v>0</v>
      </c>
      <c r="H25" s="20">
        <f t="shared" si="2"/>
        <v>0</v>
      </c>
      <c r="I25" s="21"/>
      <c r="J25" s="22"/>
    </row>
    <row r="26" spans="1:10" ht="15.6" x14ac:dyDescent="0.3">
      <c r="A26" s="23" t="s">
        <v>48</v>
      </c>
      <c r="B26" s="28" t="s">
        <v>49</v>
      </c>
      <c r="C26" s="29"/>
      <c r="D26" s="29"/>
      <c r="E26" s="19">
        <f t="shared" si="0"/>
        <v>0</v>
      </c>
      <c r="F26" s="30">
        <f t="shared" si="1"/>
        <v>0</v>
      </c>
      <c r="G26" s="19">
        <f t="shared" si="2"/>
        <v>0</v>
      </c>
      <c r="H26" s="20">
        <f t="shared" si="2"/>
        <v>0</v>
      </c>
      <c r="I26" s="21"/>
      <c r="J26" s="22"/>
    </row>
    <row r="27" spans="1:10" ht="15.6" x14ac:dyDescent="0.3">
      <c r="A27" s="23" t="s">
        <v>50</v>
      </c>
      <c r="B27" s="28" t="s">
        <v>47</v>
      </c>
      <c r="C27" s="29"/>
      <c r="D27" s="29"/>
      <c r="E27" s="19">
        <f t="shared" si="0"/>
        <v>0</v>
      </c>
      <c r="F27" s="30">
        <f t="shared" si="1"/>
        <v>0</v>
      </c>
      <c r="G27" s="19">
        <f t="shared" si="2"/>
        <v>0</v>
      </c>
      <c r="H27" s="20">
        <f t="shared" si="2"/>
        <v>0</v>
      </c>
      <c r="I27" s="21"/>
      <c r="J27" s="22"/>
    </row>
    <row r="28" spans="1:10" ht="15.6" x14ac:dyDescent="0.3">
      <c r="A28" s="23" t="s">
        <v>51</v>
      </c>
      <c r="B28" s="28" t="s">
        <v>47</v>
      </c>
      <c r="C28" s="29"/>
      <c r="D28" s="29"/>
      <c r="E28" s="19">
        <f t="shared" si="0"/>
        <v>0</v>
      </c>
      <c r="F28" s="30">
        <f t="shared" si="1"/>
        <v>0</v>
      </c>
      <c r="G28" s="19">
        <f t="shared" si="2"/>
        <v>0</v>
      </c>
      <c r="H28" s="20">
        <f t="shared" si="2"/>
        <v>0</v>
      </c>
      <c r="I28" s="21"/>
      <c r="J28" s="22"/>
    </row>
    <row r="29" spans="1:10" ht="15.6" x14ac:dyDescent="0.3">
      <c r="A29" s="23" t="s">
        <v>52</v>
      </c>
      <c r="B29" s="28" t="s">
        <v>47</v>
      </c>
      <c r="C29" s="29"/>
      <c r="D29" s="29"/>
      <c r="E29" s="19">
        <f t="shared" si="0"/>
        <v>0</v>
      </c>
      <c r="F29" s="30">
        <f t="shared" si="1"/>
        <v>0</v>
      </c>
      <c r="G29" s="19">
        <f t="shared" si="2"/>
        <v>0</v>
      </c>
      <c r="H29" s="20">
        <f t="shared" si="2"/>
        <v>0</v>
      </c>
      <c r="I29" s="21"/>
      <c r="J29" s="22"/>
    </row>
    <row r="30" spans="1:10" ht="15.6" x14ac:dyDescent="0.3">
      <c r="A30" s="23" t="s">
        <v>53</v>
      </c>
      <c r="B30" s="28" t="s">
        <v>47</v>
      </c>
      <c r="C30" s="29"/>
      <c r="D30" s="29"/>
      <c r="E30" s="19">
        <f t="shared" si="0"/>
        <v>0</v>
      </c>
      <c r="F30" s="30">
        <f t="shared" si="1"/>
        <v>0</v>
      </c>
      <c r="G30" s="19">
        <f t="shared" si="2"/>
        <v>0</v>
      </c>
      <c r="H30" s="20">
        <f t="shared" si="2"/>
        <v>0</v>
      </c>
      <c r="I30" s="21"/>
      <c r="J30" s="22"/>
    </row>
    <row r="31" spans="1:10" ht="15.6" x14ac:dyDescent="0.3">
      <c r="A31" s="23" t="s">
        <v>54</v>
      </c>
      <c r="B31" s="28" t="s">
        <v>49</v>
      </c>
      <c r="C31" s="29"/>
      <c r="D31" s="29"/>
      <c r="E31" s="19">
        <f t="shared" si="0"/>
        <v>0</v>
      </c>
      <c r="F31" s="30">
        <f t="shared" si="1"/>
        <v>0</v>
      </c>
      <c r="G31" s="19">
        <f t="shared" si="2"/>
        <v>0</v>
      </c>
      <c r="H31" s="20">
        <f t="shared" si="2"/>
        <v>0</v>
      </c>
      <c r="I31" s="21"/>
      <c r="J31" s="22"/>
    </row>
    <row r="32" spans="1:10" ht="15.6" x14ac:dyDescent="0.3">
      <c r="A32" s="23" t="s">
        <v>55</v>
      </c>
      <c r="B32" s="28" t="s">
        <v>56</v>
      </c>
      <c r="C32" s="29"/>
      <c r="D32" s="29"/>
      <c r="E32" s="19">
        <f t="shared" si="0"/>
        <v>0</v>
      </c>
      <c r="F32" s="30">
        <f t="shared" si="1"/>
        <v>0</v>
      </c>
      <c r="G32" s="19">
        <f t="shared" si="2"/>
        <v>0</v>
      </c>
      <c r="H32" s="20">
        <f t="shared" si="2"/>
        <v>0</v>
      </c>
      <c r="I32" s="21"/>
      <c r="J32" s="22"/>
    </row>
    <row r="33" spans="1:10" ht="15.6" x14ac:dyDescent="0.3">
      <c r="A33" s="23" t="s">
        <v>57</v>
      </c>
      <c r="B33" s="28" t="s">
        <v>58</v>
      </c>
      <c r="C33" s="29"/>
      <c r="D33" s="29"/>
      <c r="E33" s="19">
        <f t="shared" si="0"/>
        <v>0</v>
      </c>
      <c r="F33" s="30">
        <f t="shared" si="1"/>
        <v>0</v>
      </c>
      <c r="G33" s="19">
        <f t="shared" si="2"/>
        <v>0</v>
      </c>
      <c r="H33" s="20">
        <f t="shared" si="2"/>
        <v>0</v>
      </c>
      <c r="I33" s="21"/>
      <c r="J33" s="22"/>
    </row>
    <row r="34" spans="1:10" ht="15.6" x14ac:dyDescent="0.3">
      <c r="A34" s="23" t="s">
        <v>59</v>
      </c>
      <c r="B34" s="28" t="s">
        <v>60</v>
      </c>
      <c r="C34" s="29"/>
      <c r="D34" s="29"/>
      <c r="E34" s="19">
        <f t="shared" si="0"/>
        <v>0</v>
      </c>
      <c r="F34" s="30">
        <f t="shared" si="1"/>
        <v>0</v>
      </c>
      <c r="G34" s="19">
        <f t="shared" si="2"/>
        <v>0</v>
      </c>
      <c r="H34" s="20"/>
      <c r="I34" s="21"/>
      <c r="J34" s="22"/>
    </row>
    <row r="35" spans="1:10" ht="15.6" x14ac:dyDescent="0.3">
      <c r="A35" s="23" t="s">
        <v>61</v>
      </c>
      <c r="B35" s="32" t="s">
        <v>62</v>
      </c>
      <c r="C35" s="29"/>
      <c r="D35" s="29"/>
      <c r="E35" s="19">
        <f t="shared" si="0"/>
        <v>0</v>
      </c>
      <c r="F35" s="30">
        <f t="shared" si="1"/>
        <v>0</v>
      </c>
      <c r="G35" s="19">
        <f t="shared" si="2"/>
        <v>0</v>
      </c>
      <c r="H35" s="20"/>
      <c r="I35" s="21"/>
      <c r="J35" s="22"/>
    </row>
    <row r="36" spans="1:10" ht="15.6" x14ac:dyDescent="0.3">
      <c r="A36" s="23" t="s">
        <v>63</v>
      </c>
      <c r="B36" s="32" t="s">
        <v>64</v>
      </c>
      <c r="C36" s="29"/>
      <c r="D36" s="29"/>
      <c r="E36" s="19">
        <f t="shared" si="0"/>
        <v>0</v>
      </c>
      <c r="F36" s="30">
        <f t="shared" si="1"/>
        <v>0</v>
      </c>
      <c r="G36" s="19">
        <f t="shared" si="2"/>
        <v>0</v>
      </c>
      <c r="H36" s="20"/>
      <c r="I36" s="21"/>
      <c r="J36" s="22"/>
    </row>
    <row r="37" spans="1:10" ht="15.6" x14ac:dyDescent="0.3">
      <c r="A37" s="23" t="s">
        <v>65</v>
      </c>
      <c r="B37" s="32" t="s">
        <v>66</v>
      </c>
      <c r="C37" s="29"/>
      <c r="D37" s="29"/>
      <c r="E37" s="19">
        <f t="shared" si="0"/>
        <v>0</v>
      </c>
      <c r="F37" s="30">
        <f t="shared" si="1"/>
        <v>0</v>
      </c>
      <c r="G37" s="19">
        <f t="shared" si="2"/>
        <v>0</v>
      </c>
      <c r="H37" s="20"/>
      <c r="I37" s="21"/>
      <c r="J37" s="22"/>
    </row>
    <row r="38" spans="1:10" ht="15.6" x14ac:dyDescent="0.3">
      <c r="A38" s="23" t="s">
        <v>67</v>
      </c>
      <c r="B38" s="32" t="s">
        <v>68</v>
      </c>
      <c r="C38" s="29"/>
      <c r="D38" s="29"/>
      <c r="E38" s="19">
        <f t="shared" si="0"/>
        <v>0</v>
      </c>
      <c r="F38" s="30">
        <f t="shared" si="1"/>
        <v>0</v>
      </c>
      <c r="G38" s="19">
        <f t="shared" si="2"/>
        <v>0</v>
      </c>
      <c r="H38" s="20"/>
      <c r="I38" s="21"/>
      <c r="J38" s="22"/>
    </row>
    <row r="39" spans="1:10" ht="15.6" x14ac:dyDescent="0.3">
      <c r="A39" s="23" t="s">
        <v>69</v>
      </c>
      <c r="B39" s="32" t="s">
        <v>70</v>
      </c>
      <c r="C39" s="29"/>
      <c r="D39" s="29"/>
      <c r="E39" s="19">
        <f t="shared" si="0"/>
        <v>0</v>
      </c>
      <c r="F39" s="30">
        <f t="shared" si="1"/>
        <v>0</v>
      </c>
      <c r="G39" s="19">
        <f t="shared" si="2"/>
        <v>0</v>
      </c>
      <c r="H39" s="20"/>
      <c r="I39" s="21"/>
      <c r="J39" s="22"/>
    </row>
    <row r="40" spans="1:10" ht="15.6" x14ac:dyDescent="0.3">
      <c r="A40" s="23" t="s">
        <v>71</v>
      </c>
      <c r="B40" s="32" t="s">
        <v>72</v>
      </c>
      <c r="C40" s="29"/>
      <c r="D40" s="29"/>
      <c r="E40" s="19">
        <f t="shared" si="0"/>
        <v>0</v>
      </c>
      <c r="F40" s="30">
        <f t="shared" si="1"/>
        <v>0</v>
      </c>
      <c r="G40" s="19">
        <f t="shared" si="2"/>
        <v>0</v>
      </c>
      <c r="H40" s="20"/>
      <c r="I40" s="21"/>
      <c r="J40" s="22"/>
    </row>
    <row r="41" spans="1:10" ht="15.6" x14ac:dyDescent="0.3">
      <c r="A41" s="23" t="s">
        <v>73</v>
      </c>
      <c r="B41" s="32" t="s">
        <v>74</v>
      </c>
      <c r="C41" s="29"/>
      <c r="D41" s="29"/>
      <c r="E41" s="19">
        <f t="shared" si="0"/>
        <v>0</v>
      </c>
      <c r="F41" s="30">
        <f t="shared" si="1"/>
        <v>0</v>
      </c>
      <c r="G41" s="19">
        <f t="shared" si="2"/>
        <v>0</v>
      </c>
      <c r="H41" s="20"/>
      <c r="I41" s="21"/>
      <c r="J41" s="22"/>
    </row>
    <row r="42" spans="1:10" ht="15.6" x14ac:dyDescent="0.3">
      <c r="A42" s="23" t="s">
        <v>75</v>
      </c>
      <c r="B42" s="34" t="s">
        <v>76</v>
      </c>
      <c r="C42" s="29"/>
      <c r="D42" s="29"/>
      <c r="E42" s="19">
        <f t="shared" si="0"/>
        <v>0</v>
      </c>
      <c r="F42" s="30">
        <f t="shared" si="1"/>
        <v>0</v>
      </c>
      <c r="G42" s="19">
        <f t="shared" si="2"/>
        <v>0</v>
      </c>
      <c r="H42" s="20">
        <f t="shared" si="2"/>
        <v>0</v>
      </c>
      <c r="I42" s="21"/>
      <c r="J42" s="22"/>
    </row>
    <row r="43" spans="1:10" ht="15.6" x14ac:dyDescent="0.3">
      <c r="A43" s="23" t="s">
        <v>77</v>
      </c>
      <c r="B43" s="34" t="s">
        <v>78</v>
      </c>
      <c r="C43" s="29"/>
      <c r="D43" s="29"/>
      <c r="E43" s="19">
        <f t="shared" si="0"/>
        <v>0</v>
      </c>
      <c r="F43" s="30">
        <f t="shared" si="1"/>
        <v>0</v>
      </c>
      <c r="G43" s="19">
        <f t="shared" si="2"/>
        <v>0</v>
      </c>
      <c r="H43" s="20">
        <f t="shared" si="2"/>
        <v>0</v>
      </c>
      <c r="I43" s="21"/>
      <c r="J43" s="22"/>
    </row>
    <row r="44" spans="1:10" ht="15.6" x14ac:dyDescent="0.3">
      <c r="A44" s="23" t="s">
        <v>79</v>
      </c>
      <c r="B44" s="34" t="s">
        <v>80</v>
      </c>
      <c r="C44" s="29">
        <v>3417</v>
      </c>
      <c r="D44" s="29">
        <v>0</v>
      </c>
      <c r="E44" s="19">
        <f t="shared" si="0"/>
        <v>3417</v>
      </c>
      <c r="F44" s="30">
        <f t="shared" si="1"/>
        <v>0</v>
      </c>
      <c r="G44" s="19">
        <f>E44</f>
        <v>3417</v>
      </c>
      <c r="H44" s="20">
        <f>F44</f>
        <v>0</v>
      </c>
      <c r="I44" s="21"/>
      <c r="J44" s="22"/>
    </row>
    <row r="45" spans="1:10" ht="15.6" x14ac:dyDescent="0.3">
      <c r="A45" s="23" t="s">
        <v>81</v>
      </c>
      <c r="B45" s="34" t="s">
        <v>82</v>
      </c>
      <c r="C45" s="29"/>
      <c r="D45" s="29"/>
      <c r="E45" s="19">
        <f t="shared" si="0"/>
        <v>0</v>
      </c>
      <c r="F45" s="30">
        <f t="shared" si="1"/>
        <v>0</v>
      </c>
      <c r="G45" s="19">
        <f t="shared" ref="G45:H55" si="3">E45</f>
        <v>0</v>
      </c>
      <c r="H45" s="20">
        <f t="shared" si="3"/>
        <v>0</v>
      </c>
      <c r="I45" s="21"/>
      <c r="J45" s="22"/>
    </row>
    <row r="46" spans="1:10" ht="15.6" x14ac:dyDescent="0.3">
      <c r="A46" s="23" t="s">
        <v>83</v>
      </c>
      <c r="B46" s="34"/>
      <c r="C46" s="29"/>
      <c r="D46" s="29"/>
      <c r="E46" s="19">
        <f t="shared" si="0"/>
        <v>0</v>
      </c>
      <c r="F46" s="30">
        <f t="shared" si="1"/>
        <v>0</v>
      </c>
      <c r="G46" s="19">
        <f t="shared" si="3"/>
        <v>0</v>
      </c>
      <c r="H46" s="20">
        <f t="shared" si="3"/>
        <v>0</v>
      </c>
      <c r="I46" s="21"/>
      <c r="J46" s="22"/>
    </row>
    <row r="47" spans="1:10" ht="15.6" x14ac:dyDescent="0.3">
      <c r="A47" s="23" t="s">
        <v>84</v>
      </c>
      <c r="B47" s="34"/>
      <c r="C47" s="29"/>
      <c r="D47" s="29"/>
      <c r="E47" s="19">
        <f t="shared" si="0"/>
        <v>0</v>
      </c>
      <c r="F47" s="30">
        <f t="shared" si="1"/>
        <v>0</v>
      </c>
      <c r="G47" s="19">
        <f t="shared" si="3"/>
        <v>0</v>
      </c>
      <c r="H47" s="20">
        <f t="shared" si="3"/>
        <v>0</v>
      </c>
      <c r="I47" s="21"/>
      <c r="J47" s="22"/>
    </row>
    <row r="48" spans="1:10" ht="15.6" x14ac:dyDescent="0.3">
      <c r="A48" s="23" t="s">
        <v>85</v>
      </c>
      <c r="B48" s="34"/>
      <c r="C48" s="29"/>
      <c r="D48" s="29"/>
      <c r="E48" s="19">
        <f t="shared" si="0"/>
        <v>0</v>
      </c>
      <c r="F48" s="30">
        <f t="shared" si="1"/>
        <v>0</v>
      </c>
      <c r="G48" s="19">
        <f t="shared" si="3"/>
        <v>0</v>
      </c>
      <c r="H48" s="20">
        <f t="shared" si="3"/>
        <v>0</v>
      </c>
      <c r="I48" s="21"/>
      <c r="J48" s="22"/>
    </row>
    <row r="49" spans="1:10" ht="15.6" x14ac:dyDescent="0.3">
      <c r="A49" s="23" t="s">
        <v>86</v>
      </c>
      <c r="B49" s="34"/>
      <c r="C49" s="29"/>
      <c r="D49" s="29"/>
      <c r="E49" s="19">
        <f t="shared" si="0"/>
        <v>0</v>
      </c>
      <c r="F49" s="30">
        <f t="shared" si="1"/>
        <v>0</v>
      </c>
      <c r="G49" s="19">
        <f t="shared" si="3"/>
        <v>0</v>
      </c>
      <c r="H49" s="20">
        <f t="shared" si="3"/>
        <v>0</v>
      </c>
      <c r="I49" s="21"/>
      <c r="J49" s="22"/>
    </row>
    <row r="50" spans="1:10" ht="15.6" x14ac:dyDescent="0.3">
      <c r="A50" s="23" t="s">
        <v>87</v>
      </c>
      <c r="B50" s="34"/>
      <c r="C50" s="29"/>
      <c r="D50" s="29"/>
      <c r="E50" s="19">
        <f t="shared" si="0"/>
        <v>0</v>
      </c>
      <c r="F50" s="30">
        <f t="shared" si="1"/>
        <v>0</v>
      </c>
      <c r="G50" s="19">
        <f t="shared" si="3"/>
        <v>0</v>
      </c>
      <c r="H50" s="20">
        <f t="shared" si="3"/>
        <v>0</v>
      </c>
      <c r="I50" s="21"/>
      <c r="J50" s="22"/>
    </row>
    <row r="51" spans="1:10" ht="15.6" x14ac:dyDescent="0.3">
      <c r="A51" s="23" t="s">
        <v>88</v>
      </c>
      <c r="B51" s="32"/>
      <c r="C51" s="29"/>
      <c r="D51" s="29"/>
      <c r="E51" s="19">
        <f t="shared" si="0"/>
        <v>0</v>
      </c>
      <c r="F51" s="30">
        <f t="shared" si="1"/>
        <v>0</v>
      </c>
      <c r="G51" s="19">
        <f t="shared" si="3"/>
        <v>0</v>
      </c>
      <c r="H51" s="20">
        <f t="shared" si="3"/>
        <v>0</v>
      </c>
      <c r="I51" s="21"/>
      <c r="J51" s="22"/>
    </row>
    <row r="52" spans="1:10" ht="15.6" x14ac:dyDescent="0.3">
      <c r="A52" s="23" t="s">
        <v>89</v>
      </c>
      <c r="B52" s="32"/>
      <c r="C52" s="29"/>
      <c r="D52" s="29"/>
      <c r="E52" s="19">
        <f t="shared" si="0"/>
        <v>0</v>
      </c>
      <c r="F52" s="30">
        <f t="shared" si="1"/>
        <v>0</v>
      </c>
      <c r="G52" s="19">
        <f t="shared" si="3"/>
        <v>0</v>
      </c>
      <c r="H52" s="20">
        <f t="shared" si="3"/>
        <v>0</v>
      </c>
      <c r="I52" s="21"/>
      <c r="J52" s="22"/>
    </row>
    <row r="53" spans="1:10" ht="15.6" x14ac:dyDescent="0.3">
      <c r="A53" s="23" t="s">
        <v>90</v>
      </c>
      <c r="B53" s="32"/>
      <c r="C53" s="29"/>
      <c r="D53" s="29"/>
      <c r="E53" s="19">
        <f t="shared" si="0"/>
        <v>0</v>
      </c>
      <c r="F53" s="30">
        <f t="shared" si="1"/>
        <v>0</v>
      </c>
      <c r="G53" s="19">
        <f t="shared" si="3"/>
        <v>0</v>
      </c>
      <c r="H53" s="20">
        <f t="shared" si="3"/>
        <v>0</v>
      </c>
      <c r="I53" s="21"/>
      <c r="J53" s="22"/>
    </row>
    <row r="54" spans="1:10" ht="15.6" x14ac:dyDescent="0.3">
      <c r="A54" s="23" t="s">
        <v>91</v>
      </c>
      <c r="B54" s="32"/>
      <c r="C54" s="29"/>
      <c r="D54" s="29"/>
      <c r="E54" s="19">
        <f t="shared" si="0"/>
        <v>0</v>
      </c>
      <c r="F54" s="30">
        <f t="shared" si="1"/>
        <v>0</v>
      </c>
      <c r="G54" s="19">
        <f t="shared" si="3"/>
        <v>0</v>
      </c>
      <c r="H54" s="20">
        <f t="shared" si="3"/>
        <v>0</v>
      </c>
      <c r="I54" s="21"/>
      <c r="J54" s="22"/>
    </row>
    <row r="55" spans="1:10" ht="15.6" x14ac:dyDescent="0.3">
      <c r="A55" s="23" t="s">
        <v>92</v>
      </c>
      <c r="B55" s="34" t="s">
        <v>93</v>
      </c>
      <c r="C55" s="29"/>
      <c r="D55" s="29"/>
      <c r="E55" s="19">
        <f t="shared" si="0"/>
        <v>0</v>
      </c>
      <c r="F55" s="30">
        <f t="shared" si="1"/>
        <v>0</v>
      </c>
      <c r="G55" s="19">
        <f t="shared" si="3"/>
        <v>0</v>
      </c>
      <c r="H55" s="20">
        <f t="shared" si="3"/>
        <v>0</v>
      </c>
      <c r="I55" s="21"/>
      <c r="J55" s="22"/>
    </row>
    <row r="56" spans="1:10" ht="15.6" x14ac:dyDescent="0.3">
      <c r="A56" s="23"/>
      <c r="B56" s="24" t="s">
        <v>94</v>
      </c>
      <c r="C56" s="29"/>
      <c r="D56" s="29"/>
      <c r="E56" s="35">
        <f t="shared" si="0"/>
        <v>0</v>
      </c>
      <c r="F56" s="36">
        <f t="shared" si="1"/>
        <v>0</v>
      </c>
      <c r="G56" s="37"/>
      <c r="H56" s="27">
        <f t="shared" si="2"/>
        <v>0</v>
      </c>
      <c r="I56" s="38"/>
      <c r="J56" s="39"/>
    </row>
    <row r="57" spans="1:10" ht="15.6" x14ac:dyDescent="0.3">
      <c r="A57" s="23" t="s">
        <v>95</v>
      </c>
      <c r="B57" s="34" t="s">
        <v>96</v>
      </c>
      <c r="C57" s="29"/>
      <c r="D57" s="29"/>
      <c r="E57" s="19">
        <f t="shared" si="0"/>
        <v>0</v>
      </c>
      <c r="F57" s="30">
        <f t="shared" si="1"/>
        <v>0</v>
      </c>
      <c r="G57" s="19">
        <f t="shared" si="2"/>
        <v>0</v>
      </c>
      <c r="H57" s="20">
        <f t="shared" si="2"/>
        <v>0</v>
      </c>
      <c r="I57" s="21"/>
      <c r="J57" s="22"/>
    </row>
    <row r="58" spans="1:10" ht="15.6" x14ac:dyDescent="0.3">
      <c r="A58" s="23" t="s">
        <v>97</v>
      </c>
      <c r="B58" s="34" t="s">
        <v>98</v>
      </c>
      <c r="C58" s="29"/>
      <c r="D58" s="29"/>
      <c r="E58" s="19">
        <f t="shared" si="0"/>
        <v>0</v>
      </c>
      <c r="F58" s="30">
        <f t="shared" si="1"/>
        <v>0</v>
      </c>
      <c r="G58" s="19">
        <f t="shared" si="2"/>
        <v>0</v>
      </c>
      <c r="H58" s="20">
        <f t="shared" si="2"/>
        <v>0</v>
      </c>
      <c r="I58" s="21"/>
      <c r="J58" s="22"/>
    </row>
    <row r="59" spans="1:10" ht="15.6" x14ac:dyDescent="0.3">
      <c r="A59" s="23" t="s">
        <v>99</v>
      </c>
      <c r="B59" s="34" t="s">
        <v>100</v>
      </c>
      <c r="C59" s="29"/>
      <c r="D59" s="29"/>
      <c r="E59" s="19">
        <f t="shared" si="0"/>
        <v>0</v>
      </c>
      <c r="F59" s="30">
        <f t="shared" si="1"/>
        <v>0</v>
      </c>
      <c r="G59" s="19">
        <f t="shared" si="2"/>
        <v>0</v>
      </c>
      <c r="H59" s="20">
        <f t="shared" si="2"/>
        <v>0</v>
      </c>
      <c r="I59" s="21"/>
      <c r="J59" s="22"/>
    </row>
    <row r="60" spans="1:10" ht="15.6" x14ac:dyDescent="0.3">
      <c r="A60" s="23" t="s">
        <v>101</v>
      </c>
      <c r="B60" s="34"/>
      <c r="C60" s="29"/>
      <c r="D60" s="29"/>
      <c r="E60" s="19">
        <f t="shared" si="0"/>
        <v>0</v>
      </c>
      <c r="F60" s="30">
        <f t="shared" si="1"/>
        <v>0</v>
      </c>
      <c r="G60" s="19">
        <f t="shared" si="2"/>
        <v>0</v>
      </c>
      <c r="H60" s="20">
        <f t="shared" si="2"/>
        <v>0</v>
      </c>
      <c r="I60" s="21"/>
      <c r="J60" s="22"/>
    </row>
    <row r="61" spans="1:10" ht="30.6" x14ac:dyDescent="0.3">
      <c r="A61" s="23" t="s">
        <v>102</v>
      </c>
      <c r="B61" s="34" t="s">
        <v>103</v>
      </c>
      <c r="C61" s="29"/>
      <c r="D61" s="29"/>
      <c r="E61" s="19">
        <f t="shared" si="0"/>
        <v>0</v>
      </c>
      <c r="F61" s="30">
        <f t="shared" si="1"/>
        <v>0</v>
      </c>
      <c r="G61" s="19">
        <f t="shared" si="2"/>
        <v>0</v>
      </c>
      <c r="H61" s="20">
        <f t="shared" si="2"/>
        <v>0</v>
      </c>
      <c r="I61" s="21"/>
      <c r="J61" s="22"/>
    </row>
    <row r="62" spans="1:10" ht="15" x14ac:dyDescent="0.3">
      <c r="A62" s="23" t="s">
        <v>104</v>
      </c>
      <c r="B62" s="40" t="s">
        <v>105</v>
      </c>
      <c r="C62" s="29"/>
      <c r="D62" s="29"/>
      <c r="E62" s="19">
        <f t="shared" si="0"/>
        <v>0</v>
      </c>
      <c r="F62" s="41">
        <f t="shared" si="1"/>
        <v>0</v>
      </c>
      <c r="G62" s="19">
        <f t="shared" si="2"/>
        <v>0</v>
      </c>
      <c r="H62" s="41">
        <f t="shared" si="2"/>
        <v>0</v>
      </c>
      <c r="I62" s="21"/>
      <c r="J62" s="22"/>
    </row>
    <row r="63" spans="1:10" ht="15.6" x14ac:dyDescent="0.3">
      <c r="A63" s="23"/>
      <c r="B63" s="24" t="s">
        <v>106</v>
      </c>
      <c r="C63" s="29"/>
      <c r="D63" s="29"/>
      <c r="E63" s="35">
        <f t="shared" si="0"/>
        <v>0</v>
      </c>
      <c r="F63" s="42">
        <f t="shared" si="1"/>
        <v>0</v>
      </c>
      <c r="G63" s="35">
        <f t="shared" si="2"/>
        <v>0</v>
      </c>
      <c r="H63" s="27">
        <f t="shared" si="2"/>
        <v>0</v>
      </c>
      <c r="I63" s="38"/>
      <c r="J63" s="39"/>
    </row>
    <row r="64" spans="1:10" ht="15.6" x14ac:dyDescent="0.3">
      <c r="A64" s="23" t="s">
        <v>107</v>
      </c>
      <c r="B64" s="34" t="s">
        <v>108</v>
      </c>
      <c r="C64" s="29"/>
      <c r="D64" s="29"/>
      <c r="E64" s="19">
        <f t="shared" si="0"/>
        <v>0</v>
      </c>
      <c r="F64" s="41">
        <f t="shared" si="1"/>
        <v>0</v>
      </c>
      <c r="G64" s="19">
        <f t="shared" si="2"/>
        <v>0</v>
      </c>
      <c r="H64" s="20">
        <f t="shared" si="2"/>
        <v>0</v>
      </c>
      <c r="I64" s="21"/>
      <c r="J64" s="22"/>
    </row>
    <row r="65" spans="1:10" ht="15.6" x14ac:dyDescent="0.3">
      <c r="A65" s="23" t="s">
        <v>109</v>
      </c>
      <c r="B65" s="34" t="s">
        <v>110</v>
      </c>
      <c r="C65" s="29"/>
      <c r="D65" s="29"/>
      <c r="E65" s="19">
        <f t="shared" si="0"/>
        <v>0</v>
      </c>
      <c r="F65" s="41">
        <f t="shared" si="1"/>
        <v>0</v>
      </c>
      <c r="G65" s="19">
        <f t="shared" si="2"/>
        <v>0</v>
      </c>
      <c r="H65" s="20">
        <f t="shared" si="2"/>
        <v>0</v>
      </c>
      <c r="I65" s="21"/>
      <c r="J65" s="22"/>
    </row>
    <row r="66" spans="1:10" ht="15.6" x14ac:dyDescent="0.3">
      <c r="A66" s="23" t="s">
        <v>111</v>
      </c>
      <c r="B66" s="34" t="s">
        <v>112</v>
      </c>
      <c r="C66" s="29"/>
      <c r="D66" s="29"/>
      <c r="E66" s="19">
        <f t="shared" si="0"/>
        <v>0</v>
      </c>
      <c r="F66" s="41">
        <f t="shared" si="1"/>
        <v>0</v>
      </c>
      <c r="G66" s="19">
        <f t="shared" si="2"/>
        <v>0</v>
      </c>
      <c r="H66" s="20">
        <f t="shared" si="2"/>
        <v>0</v>
      </c>
      <c r="I66" s="21"/>
      <c r="J66" s="22"/>
    </row>
    <row r="67" spans="1:10" ht="15.6" x14ac:dyDescent="0.3">
      <c r="A67" s="23" t="s">
        <v>113</v>
      </c>
      <c r="B67" s="34" t="s">
        <v>114</v>
      </c>
      <c r="C67" s="29"/>
      <c r="D67" s="29"/>
      <c r="E67" s="19">
        <f t="shared" si="0"/>
        <v>0</v>
      </c>
      <c r="F67" s="41">
        <f t="shared" si="1"/>
        <v>0</v>
      </c>
      <c r="G67" s="19">
        <f t="shared" si="2"/>
        <v>0</v>
      </c>
      <c r="H67" s="20">
        <f t="shared" si="2"/>
        <v>0</v>
      </c>
      <c r="I67" s="21"/>
      <c r="J67" s="22"/>
    </row>
    <row r="68" spans="1:10" ht="15.6" x14ac:dyDescent="0.3">
      <c r="A68" s="23" t="s">
        <v>115</v>
      </c>
      <c r="B68" s="34" t="s">
        <v>116</v>
      </c>
      <c r="C68" s="29"/>
      <c r="D68" s="29"/>
      <c r="E68" s="19">
        <f t="shared" si="0"/>
        <v>0</v>
      </c>
      <c r="F68" s="41">
        <f t="shared" si="1"/>
        <v>0</v>
      </c>
      <c r="G68" s="19">
        <f t="shared" si="2"/>
        <v>0</v>
      </c>
      <c r="H68" s="20">
        <f t="shared" si="2"/>
        <v>0</v>
      </c>
      <c r="I68" s="21"/>
      <c r="J68" s="22"/>
    </row>
    <row r="69" spans="1:10" ht="30.6" x14ac:dyDescent="0.3">
      <c r="A69" s="23" t="s">
        <v>117</v>
      </c>
      <c r="B69" s="34" t="s">
        <v>118</v>
      </c>
      <c r="C69" s="29"/>
      <c r="D69" s="29"/>
      <c r="E69" s="19">
        <f t="shared" si="0"/>
        <v>0</v>
      </c>
      <c r="F69" s="41">
        <f t="shared" si="1"/>
        <v>0</v>
      </c>
      <c r="G69" s="19">
        <f t="shared" si="2"/>
        <v>0</v>
      </c>
      <c r="H69" s="20">
        <f t="shared" si="2"/>
        <v>0</v>
      </c>
      <c r="I69" s="21"/>
      <c r="J69" s="22"/>
    </row>
    <row r="70" spans="1:10" ht="15.6" x14ac:dyDescent="0.3">
      <c r="A70" s="23" t="s">
        <v>119</v>
      </c>
      <c r="B70" s="34" t="s">
        <v>120</v>
      </c>
      <c r="C70" s="29"/>
      <c r="D70" s="29"/>
      <c r="E70" s="19">
        <f t="shared" si="0"/>
        <v>0</v>
      </c>
      <c r="F70" s="41">
        <f t="shared" si="1"/>
        <v>0</v>
      </c>
      <c r="G70" s="19">
        <f t="shared" si="2"/>
        <v>0</v>
      </c>
      <c r="H70" s="20">
        <f t="shared" si="2"/>
        <v>0</v>
      </c>
      <c r="I70" s="21"/>
      <c r="J70" s="22"/>
    </row>
    <row r="71" spans="1:10" ht="15.6" x14ac:dyDescent="0.3">
      <c r="A71" s="23" t="s">
        <v>121</v>
      </c>
      <c r="B71" s="34" t="s">
        <v>122</v>
      </c>
      <c r="C71" s="29"/>
      <c r="D71" s="29"/>
      <c r="E71" s="19">
        <f t="shared" si="0"/>
        <v>0</v>
      </c>
      <c r="F71" s="41">
        <f t="shared" si="1"/>
        <v>0</v>
      </c>
      <c r="G71" s="19">
        <f t="shared" si="2"/>
        <v>0</v>
      </c>
      <c r="H71" s="20">
        <f t="shared" si="2"/>
        <v>0</v>
      </c>
      <c r="I71" s="21"/>
      <c r="J71" s="22"/>
    </row>
    <row r="72" spans="1:10" ht="15.6" x14ac:dyDescent="0.3">
      <c r="A72" s="23" t="s">
        <v>123</v>
      </c>
      <c r="B72" s="34" t="s">
        <v>124</v>
      </c>
      <c r="C72" s="29"/>
      <c r="D72" s="29"/>
      <c r="E72" s="19">
        <f t="shared" si="0"/>
        <v>0</v>
      </c>
      <c r="F72" s="41">
        <f t="shared" si="1"/>
        <v>0</v>
      </c>
      <c r="G72" s="19">
        <f t="shared" si="2"/>
        <v>0</v>
      </c>
      <c r="H72" s="20">
        <f t="shared" si="2"/>
        <v>0</v>
      </c>
      <c r="I72" s="21"/>
      <c r="J72" s="22"/>
    </row>
    <row r="73" spans="1:10" ht="15.6" x14ac:dyDescent="0.3">
      <c r="A73" s="23" t="s">
        <v>125</v>
      </c>
      <c r="B73" s="34" t="s">
        <v>126</v>
      </c>
      <c r="C73" s="29">
        <v>4157547</v>
      </c>
      <c r="D73" s="29">
        <v>0</v>
      </c>
      <c r="E73" s="19">
        <f t="shared" ref="E73:E166" si="4">IF(C73&gt;D73,C73-D73,0)</f>
        <v>4157547</v>
      </c>
      <c r="F73" s="41">
        <f t="shared" ref="F73:F166" si="5">IF(D73&gt;C73,D73-C73,0)</f>
        <v>0</v>
      </c>
      <c r="G73" s="19">
        <f t="shared" si="2"/>
        <v>4157547</v>
      </c>
      <c r="H73" s="20">
        <f t="shared" si="2"/>
        <v>0</v>
      </c>
      <c r="I73" s="21"/>
      <c r="J73" s="22"/>
    </row>
    <row r="74" spans="1:10" ht="15.6" x14ac:dyDescent="0.3">
      <c r="A74" s="23" t="s">
        <v>127</v>
      </c>
      <c r="B74" s="34" t="s">
        <v>128</v>
      </c>
      <c r="C74" s="29"/>
      <c r="D74" s="29"/>
      <c r="E74" s="19">
        <f t="shared" si="4"/>
        <v>0</v>
      </c>
      <c r="F74" s="41">
        <f t="shared" si="5"/>
        <v>0</v>
      </c>
      <c r="G74" s="19">
        <f t="shared" si="2"/>
        <v>0</v>
      </c>
      <c r="H74" s="20">
        <f t="shared" si="2"/>
        <v>0</v>
      </c>
      <c r="I74" s="21"/>
      <c r="J74" s="22"/>
    </row>
    <row r="75" spans="1:10" ht="15.6" x14ac:dyDescent="0.3">
      <c r="A75" s="23" t="s">
        <v>129</v>
      </c>
      <c r="B75" s="34" t="s">
        <v>130</v>
      </c>
      <c r="C75" s="29"/>
      <c r="D75" s="29"/>
      <c r="E75" s="19">
        <f t="shared" si="4"/>
        <v>0</v>
      </c>
      <c r="F75" s="41">
        <f t="shared" si="5"/>
        <v>0</v>
      </c>
      <c r="G75" s="19">
        <f t="shared" si="2"/>
        <v>0</v>
      </c>
      <c r="H75" s="20">
        <f t="shared" si="2"/>
        <v>0</v>
      </c>
      <c r="I75" s="21"/>
      <c r="J75" s="22"/>
    </row>
    <row r="76" spans="1:10" ht="15.6" x14ac:dyDescent="0.3">
      <c r="A76" s="23"/>
      <c r="B76" s="24" t="s">
        <v>131</v>
      </c>
      <c r="C76" s="29"/>
      <c r="D76" s="29"/>
      <c r="E76" s="19">
        <f t="shared" si="4"/>
        <v>0</v>
      </c>
      <c r="F76" s="43">
        <f t="shared" si="5"/>
        <v>0</v>
      </c>
      <c r="G76" s="19">
        <f t="shared" si="2"/>
        <v>0</v>
      </c>
      <c r="H76" s="20">
        <f t="shared" si="2"/>
        <v>0</v>
      </c>
      <c r="I76" s="21"/>
      <c r="J76" s="22"/>
    </row>
    <row r="77" spans="1:10" ht="15.6" x14ac:dyDescent="0.3">
      <c r="A77" s="23"/>
      <c r="B77" s="24" t="s">
        <v>132</v>
      </c>
      <c r="C77" s="29"/>
      <c r="D77" s="29"/>
      <c r="E77" s="35">
        <f t="shared" si="4"/>
        <v>0</v>
      </c>
      <c r="F77" s="44">
        <f t="shared" si="5"/>
        <v>0</v>
      </c>
      <c r="G77" s="35">
        <f t="shared" si="2"/>
        <v>0</v>
      </c>
      <c r="H77" s="45"/>
      <c r="I77" s="38"/>
      <c r="J77" s="39"/>
    </row>
    <row r="78" spans="1:10" ht="30.6" x14ac:dyDescent="0.3">
      <c r="A78" s="23" t="s">
        <v>133</v>
      </c>
      <c r="B78" s="34" t="s">
        <v>134</v>
      </c>
      <c r="C78" s="29"/>
      <c r="D78" s="29"/>
      <c r="E78" s="46">
        <f t="shared" si="4"/>
        <v>0</v>
      </c>
      <c r="F78" s="43">
        <f t="shared" si="5"/>
        <v>0</v>
      </c>
      <c r="G78" s="19">
        <f t="shared" si="2"/>
        <v>0</v>
      </c>
      <c r="H78" s="20">
        <f t="shared" si="2"/>
        <v>0</v>
      </c>
      <c r="I78" s="21"/>
      <c r="J78" s="22"/>
    </row>
    <row r="79" spans="1:10" ht="30.6" x14ac:dyDescent="0.3">
      <c r="A79" s="23" t="s">
        <v>135</v>
      </c>
      <c r="B79" s="34" t="s">
        <v>136</v>
      </c>
      <c r="C79" s="29"/>
      <c r="D79" s="29"/>
      <c r="E79" s="46">
        <f t="shared" si="4"/>
        <v>0</v>
      </c>
      <c r="F79" s="43">
        <f t="shared" si="5"/>
        <v>0</v>
      </c>
      <c r="G79" s="19">
        <f t="shared" si="2"/>
        <v>0</v>
      </c>
      <c r="H79" s="20">
        <f t="shared" si="2"/>
        <v>0</v>
      </c>
      <c r="I79" s="21"/>
      <c r="J79" s="22"/>
    </row>
    <row r="80" spans="1:10" ht="15.6" x14ac:dyDescent="0.3">
      <c r="A80" s="23" t="s">
        <v>137</v>
      </c>
      <c r="B80" s="34" t="s">
        <v>138</v>
      </c>
      <c r="C80" s="29"/>
      <c r="D80" s="29"/>
      <c r="E80" s="46">
        <f t="shared" si="4"/>
        <v>0</v>
      </c>
      <c r="F80" s="43">
        <f t="shared" si="5"/>
        <v>0</v>
      </c>
      <c r="G80" s="19">
        <f t="shared" si="2"/>
        <v>0</v>
      </c>
      <c r="H80" s="20">
        <f t="shared" si="2"/>
        <v>0</v>
      </c>
      <c r="I80" s="21"/>
      <c r="J80" s="22"/>
    </row>
    <row r="81" spans="1:10" ht="30.6" x14ac:dyDescent="0.3">
      <c r="A81" s="23" t="s">
        <v>139</v>
      </c>
      <c r="B81" s="34" t="s">
        <v>140</v>
      </c>
      <c r="C81" s="29"/>
      <c r="D81" s="29"/>
      <c r="E81" s="46">
        <f t="shared" si="4"/>
        <v>0</v>
      </c>
      <c r="F81" s="43">
        <f t="shared" si="5"/>
        <v>0</v>
      </c>
      <c r="G81" s="19">
        <f t="shared" si="2"/>
        <v>0</v>
      </c>
      <c r="H81" s="20">
        <f t="shared" si="2"/>
        <v>0</v>
      </c>
      <c r="I81" s="21"/>
      <c r="J81" s="22"/>
    </row>
    <row r="82" spans="1:10" ht="30.6" x14ac:dyDescent="0.3">
      <c r="A82" s="23" t="s">
        <v>141</v>
      </c>
      <c r="B82" s="34" t="s">
        <v>142</v>
      </c>
      <c r="C82" s="29"/>
      <c r="D82" s="29"/>
      <c r="E82" s="46">
        <f t="shared" si="4"/>
        <v>0</v>
      </c>
      <c r="F82" s="43">
        <f t="shared" si="5"/>
        <v>0</v>
      </c>
      <c r="G82" s="19">
        <f t="shared" si="2"/>
        <v>0</v>
      </c>
      <c r="H82" s="20">
        <f t="shared" si="2"/>
        <v>0</v>
      </c>
      <c r="I82" s="21"/>
      <c r="J82" s="22"/>
    </row>
    <row r="83" spans="1:10" ht="15.6" x14ac:dyDescent="0.3">
      <c r="A83" s="23" t="s">
        <v>143</v>
      </c>
      <c r="B83" s="34" t="s">
        <v>144</v>
      </c>
      <c r="C83" s="29"/>
      <c r="D83" s="29"/>
      <c r="E83" s="46">
        <f t="shared" si="4"/>
        <v>0</v>
      </c>
      <c r="F83" s="43">
        <f t="shared" si="5"/>
        <v>0</v>
      </c>
      <c r="G83" s="19">
        <f t="shared" si="2"/>
        <v>0</v>
      </c>
      <c r="H83" s="20">
        <f t="shared" si="2"/>
        <v>0</v>
      </c>
      <c r="I83" s="21"/>
      <c r="J83" s="22"/>
    </row>
    <row r="84" spans="1:10" ht="15.6" x14ac:dyDescent="0.3">
      <c r="A84" s="23" t="s">
        <v>145</v>
      </c>
      <c r="B84" s="28" t="s">
        <v>146</v>
      </c>
      <c r="C84" s="29"/>
      <c r="D84" s="29"/>
      <c r="E84" s="46">
        <f t="shared" si="4"/>
        <v>0</v>
      </c>
      <c r="F84" s="43">
        <f t="shared" si="5"/>
        <v>0</v>
      </c>
      <c r="G84" s="19">
        <f t="shared" si="2"/>
        <v>0</v>
      </c>
      <c r="H84" s="20">
        <f t="shared" si="2"/>
        <v>0</v>
      </c>
      <c r="I84" s="21"/>
      <c r="J84" s="22"/>
    </row>
    <row r="85" spans="1:10" ht="15.6" x14ac:dyDescent="0.3">
      <c r="A85" s="23" t="s">
        <v>147</v>
      </c>
      <c r="B85" s="28" t="s">
        <v>146</v>
      </c>
      <c r="C85" s="29"/>
      <c r="D85" s="29"/>
      <c r="E85" s="46">
        <f t="shared" si="4"/>
        <v>0</v>
      </c>
      <c r="F85" s="43">
        <f t="shared" si="5"/>
        <v>0</v>
      </c>
      <c r="G85" s="19">
        <f t="shared" si="2"/>
        <v>0</v>
      </c>
      <c r="H85" s="20">
        <f t="shared" si="2"/>
        <v>0</v>
      </c>
      <c r="I85" s="21"/>
      <c r="J85" s="22"/>
    </row>
    <row r="86" spans="1:10" ht="15.6" x14ac:dyDescent="0.3">
      <c r="A86" s="23" t="s">
        <v>148</v>
      </c>
      <c r="B86" s="28" t="s">
        <v>146</v>
      </c>
      <c r="C86" s="29"/>
      <c r="D86" s="29"/>
      <c r="E86" s="46">
        <f t="shared" si="4"/>
        <v>0</v>
      </c>
      <c r="F86" s="43">
        <f t="shared" si="5"/>
        <v>0</v>
      </c>
      <c r="G86" s="19">
        <f t="shared" si="2"/>
        <v>0</v>
      </c>
      <c r="H86" s="20">
        <f t="shared" si="2"/>
        <v>0</v>
      </c>
      <c r="I86" s="21"/>
      <c r="J86" s="22"/>
    </row>
    <row r="87" spans="1:10" ht="15.6" x14ac:dyDescent="0.3">
      <c r="A87" s="23" t="s">
        <v>149</v>
      </c>
      <c r="B87" s="28" t="s">
        <v>150</v>
      </c>
      <c r="C87" s="29"/>
      <c r="D87" s="29"/>
      <c r="E87" s="46">
        <f t="shared" si="4"/>
        <v>0</v>
      </c>
      <c r="F87" s="43">
        <f t="shared" si="5"/>
        <v>0</v>
      </c>
      <c r="G87" s="19">
        <f t="shared" si="2"/>
        <v>0</v>
      </c>
      <c r="H87" s="20">
        <f t="shared" si="2"/>
        <v>0</v>
      </c>
      <c r="I87" s="21"/>
      <c r="J87" s="22"/>
    </row>
    <row r="88" spans="1:10" ht="15.6" x14ac:dyDescent="0.3">
      <c r="A88" s="23" t="s">
        <v>151</v>
      </c>
      <c r="B88" s="28" t="s">
        <v>150</v>
      </c>
      <c r="C88" s="29"/>
      <c r="D88" s="29"/>
      <c r="E88" s="46">
        <f t="shared" si="4"/>
        <v>0</v>
      </c>
      <c r="F88" s="43">
        <f t="shared" si="5"/>
        <v>0</v>
      </c>
      <c r="G88" s="19">
        <f t="shared" si="2"/>
        <v>0</v>
      </c>
      <c r="H88" s="20">
        <f t="shared" si="2"/>
        <v>0</v>
      </c>
      <c r="I88" s="21"/>
      <c r="J88" s="22"/>
    </row>
    <row r="89" spans="1:10" ht="15.6" x14ac:dyDescent="0.3">
      <c r="A89" s="23" t="s">
        <v>152</v>
      </c>
      <c r="B89" s="28" t="s">
        <v>153</v>
      </c>
      <c r="C89" s="29"/>
      <c r="D89" s="29"/>
      <c r="E89" s="46">
        <f t="shared" si="4"/>
        <v>0</v>
      </c>
      <c r="F89" s="43">
        <f t="shared" si="5"/>
        <v>0</v>
      </c>
      <c r="G89" s="19">
        <f t="shared" si="2"/>
        <v>0</v>
      </c>
      <c r="H89" s="20">
        <f t="shared" si="2"/>
        <v>0</v>
      </c>
      <c r="I89" s="21"/>
      <c r="J89" s="22"/>
    </row>
    <row r="90" spans="1:10" ht="15.6" x14ac:dyDescent="0.3">
      <c r="A90" s="23" t="s">
        <v>154</v>
      </c>
      <c r="B90" s="28" t="s">
        <v>155</v>
      </c>
      <c r="C90" s="29"/>
      <c r="D90" s="29"/>
      <c r="E90" s="46">
        <f t="shared" si="4"/>
        <v>0</v>
      </c>
      <c r="F90" s="43">
        <f t="shared" si="5"/>
        <v>0</v>
      </c>
      <c r="G90" s="19">
        <f t="shared" si="2"/>
        <v>0</v>
      </c>
      <c r="H90" s="20">
        <f t="shared" si="2"/>
        <v>0</v>
      </c>
      <c r="I90" s="21"/>
      <c r="J90" s="22"/>
    </row>
    <row r="91" spans="1:10" ht="15.6" x14ac:dyDescent="0.3">
      <c r="A91" s="23" t="s">
        <v>156</v>
      </c>
      <c r="B91" s="28" t="s">
        <v>157</v>
      </c>
      <c r="C91" s="29"/>
      <c r="D91" s="29"/>
      <c r="E91" s="46">
        <f t="shared" si="4"/>
        <v>0</v>
      </c>
      <c r="F91" s="43">
        <f t="shared" si="5"/>
        <v>0</v>
      </c>
      <c r="G91" s="19">
        <f t="shared" si="2"/>
        <v>0</v>
      </c>
      <c r="H91" s="20">
        <f t="shared" si="2"/>
        <v>0</v>
      </c>
      <c r="I91" s="21"/>
      <c r="J91" s="22"/>
    </row>
    <row r="92" spans="1:10" ht="15.6" x14ac:dyDescent="0.3">
      <c r="A92" s="23" t="s">
        <v>158</v>
      </c>
      <c r="B92" s="28" t="s">
        <v>159</v>
      </c>
      <c r="C92" s="29">
        <v>0</v>
      </c>
      <c r="D92" s="29">
        <v>2066302</v>
      </c>
      <c r="E92" s="46">
        <f t="shared" si="4"/>
        <v>0</v>
      </c>
      <c r="F92" s="43">
        <f t="shared" si="5"/>
        <v>2066302</v>
      </c>
      <c r="G92" s="19">
        <f t="shared" si="2"/>
        <v>0</v>
      </c>
      <c r="H92" s="20">
        <f t="shared" si="2"/>
        <v>2066302</v>
      </c>
      <c r="I92" s="21"/>
      <c r="J92" s="22"/>
    </row>
    <row r="93" spans="1:10" ht="15.6" x14ac:dyDescent="0.3">
      <c r="A93" s="23" t="s">
        <v>160</v>
      </c>
      <c r="B93" s="28" t="s">
        <v>161</v>
      </c>
      <c r="C93" s="29"/>
      <c r="D93" s="29"/>
      <c r="E93" s="46">
        <f t="shared" si="4"/>
        <v>0</v>
      </c>
      <c r="F93" s="43">
        <f t="shared" si="5"/>
        <v>0</v>
      </c>
      <c r="G93" s="19">
        <f t="shared" si="2"/>
        <v>0</v>
      </c>
      <c r="H93" s="20">
        <f>F93</f>
        <v>0</v>
      </c>
      <c r="I93" s="21"/>
      <c r="J93" s="22"/>
    </row>
    <row r="94" spans="1:10" ht="30" x14ac:dyDescent="0.3">
      <c r="A94" s="23" t="s">
        <v>162</v>
      </c>
      <c r="B94" s="47" t="s">
        <v>163</v>
      </c>
      <c r="C94" s="29"/>
      <c r="D94" s="29"/>
      <c r="E94" s="46">
        <f t="shared" si="4"/>
        <v>0</v>
      </c>
      <c r="F94" s="43">
        <f t="shared" si="5"/>
        <v>0</v>
      </c>
      <c r="G94" s="19">
        <f t="shared" si="2"/>
        <v>0</v>
      </c>
      <c r="H94" s="20">
        <f t="shared" si="2"/>
        <v>0</v>
      </c>
      <c r="I94" s="21"/>
      <c r="J94" s="22"/>
    </row>
    <row r="95" spans="1:10" ht="15.6" x14ac:dyDescent="0.3">
      <c r="A95" s="23" t="s">
        <v>164</v>
      </c>
      <c r="B95" s="34" t="s">
        <v>165</v>
      </c>
      <c r="C95" s="29"/>
      <c r="D95" s="29"/>
      <c r="E95" s="46">
        <f t="shared" si="4"/>
        <v>0</v>
      </c>
      <c r="F95" s="43">
        <f t="shared" si="5"/>
        <v>0</v>
      </c>
      <c r="G95" s="19">
        <f t="shared" si="2"/>
        <v>0</v>
      </c>
      <c r="H95" s="20">
        <f t="shared" si="2"/>
        <v>0</v>
      </c>
      <c r="I95" s="21"/>
      <c r="J95" s="22"/>
    </row>
    <row r="96" spans="1:10" ht="15.6" x14ac:dyDescent="0.3">
      <c r="A96" s="23" t="s">
        <v>166</v>
      </c>
      <c r="B96" s="34" t="s">
        <v>167</v>
      </c>
      <c r="C96" s="29">
        <v>0</v>
      </c>
      <c r="D96" s="29">
        <v>207718.14</v>
      </c>
      <c r="E96" s="46">
        <f t="shared" si="4"/>
        <v>0</v>
      </c>
      <c r="F96" s="43">
        <f t="shared" si="5"/>
        <v>207718.14</v>
      </c>
      <c r="G96" s="19">
        <f t="shared" si="2"/>
        <v>0</v>
      </c>
      <c r="H96" s="20">
        <f>F96</f>
        <v>207718.14</v>
      </c>
      <c r="I96" s="21"/>
      <c r="J96" s="22"/>
    </row>
    <row r="97" spans="1:10" ht="15.6" x14ac:dyDescent="0.3">
      <c r="A97" s="23" t="s">
        <v>168</v>
      </c>
      <c r="B97" s="34" t="s">
        <v>169</v>
      </c>
      <c r="C97" s="29"/>
      <c r="D97" s="29"/>
      <c r="E97" s="46">
        <f t="shared" si="4"/>
        <v>0</v>
      </c>
      <c r="F97" s="43">
        <f t="shared" si="5"/>
        <v>0</v>
      </c>
      <c r="G97" s="19">
        <f t="shared" si="2"/>
        <v>0</v>
      </c>
      <c r="H97" s="20">
        <f t="shared" si="2"/>
        <v>0</v>
      </c>
      <c r="I97" s="21"/>
      <c r="J97" s="22"/>
    </row>
    <row r="98" spans="1:10" ht="30" x14ac:dyDescent="0.3">
      <c r="A98" s="23" t="s">
        <v>170</v>
      </c>
      <c r="B98" s="40" t="s">
        <v>171</v>
      </c>
      <c r="C98" s="29">
        <v>5093043</v>
      </c>
      <c r="D98" s="29">
        <v>6276010.6109418869</v>
      </c>
      <c r="E98" s="46">
        <f t="shared" si="4"/>
        <v>0</v>
      </c>
      <c r="F98" s="43">
        <f t="shared" si="5"/>
        <v>1182967.6109418869</v>
      </c>
      <c r="G98" s="19">
        <f t="shared" si="2"/>
        <v>0</v>
      </c>
      <c r="H98" s="20">
        <f t="shared" si="2"/>
        <v>1182967.6109418869</v>
      </c>
      <c r="I98" s="21"/>
      <c r="J98" s="22"/>
    </row>
    <row r="99" spans="1:10" ht="30.6" x14ac:dyDescent="0.3">
      <c r="A99" s="23" t="s">
        <v>172</v>
      </c>
      <c r="B99" s="34" t="s">
        <v>173</v>
      </c>
      <c r="C99" s="29"/>
      <c r="D99" s="29"/>
      <c r="E99" s="46">
        <f t="shared" si="4"/>
        <v>0</v>
      </c>
      <c r="F99" s="43">
        <f t="shared" si="5"/>
        <v>0</v>
      </c>
      <c r="G99" s="19">
        <f t="shared" si="2"/>
        <v>0</v>
      </c>
      <c r="H99" s="20">
        <f t="shared" si="2"/>
        <v>0</v>
      </c>
      <c r="I99" s="21"/>
      <c r="J99" s="22"/>
    </row>
    <row r="100" spans="1:10" ht="15.6" x14ac:dyDescent="0.3">
      <c r="A100" s="23" t="s">
        <v>174</v>
      </c>
      <c r="B100" s="34" t="s">
        <v>175</v>
      </c>
      <c r="C100" s="29"/>
      <c r="D100" s="29"/>
      <c r="E100" s="46">
        <f t="shared" si="4"/>
        <v>0</v>
      </c>
      <c r="F100" s="43">
        <f t="shared" si="5"/>
        <v>0</v>
      </c>
      <c r="G100" s="19">
        <f t="shared" si="2"/>
        <v>0</v>
      </c>
      <c r="H100" s="20">
        <f t="shared" si="2"/>
        <v>0</v>
      </c>
      <c r="I100" s="21"/>
      <c r="J100" s="22"/>
    </row>
    <row r="101" spans="1:10" ht="15.6" x14ac:dyDescent="0.3">
      <c r="A101" s="23" t="s">
        <v>176</v>
      </c>
      <c r="B101" s="34" t="s">
        <v>56</v>
      </c>
      <c r="C101" s="29"/>
      <c r="D101" s="29"/>
      <c r="E101" s="46">
        <f t="shared" si="4"/>
        <v>0</v>
      </c>
      <c r="F101" s="43">
        <f t="shared" si="5"/>
        <v>0</v>
      </c>
      <c r="G101" s="19">
        <f t="shared" si="2"/>
        <v>0</v>
      </c>
      <c r="H101" s="20">
        <f t="shared" si="2"/>
        <v>0</v>
      </c>
      <c r="I101" s="21"/>
      <c r="J101" s="22"/>
    </row>
    <row r="102" spans="1:10" ht="15.6" x14ac:dyDescent="0.3">
      <c r="A102" s="23" t="s">
        <v>177</v>
      </c>
      <c r="B102" s="34" t="s">
        <v>178</v>
      </c>
      <c r="C102" s="29"/>
      <c r="D102" s="29"/>
      <c r="E102" s="46">
        <f t="shared" si="4"/>
        <v>0</v>
      </c>
      <c r="F102" s="43">
        <f t="shared" si="5"/>
        <v>0</v>
      </c>
      <c r="G102" s="19">
        <f t="shared" si="2"/>
        <v>0</v>
      </c>
      <c r="H102" s="20">
        <f t="shared" si="2"/>
        <v>0</v>
      </c>
      <c r="I102" s="21"/>
      <c r="J102" s="22"/>
    </row>
    <row r="103" spans="1:10" ht="15.6" x14ac:dyDescent="0.3">
      <c r="A103" s="23"/>
      <c r="B103" s="24" t="s">
        <v>179</v>
      </c>
      <c r="C103" s="29"/>
      <c r="D103" s="29"/>
      <c r="E103" s="48">
        <f t="shared" si="4"/>
        <v>0</v>
      </c>
      <c r="F103" s="44">
        <f t="shared" si="5"/>
        <v>0</v>
      </c>
      <c r="G103" s="35">
        <f t="shared" si="2"/>
        <v>0</v>
      </c>
      <c r="H103" s="27"/>
      <c r="I103" s="38"/>
      <c r="J103" s="39"/>
    </row>
    <row r="104" spans="1:10" ht="30.6" x14ac:dyDescent="0.3">
      <c r="A104" s="23" t="s">
        <v>180</v>
      </c>
      <c r="B104" s="34" t="s">
        <v>181</v>
      </c>
      <c r="C104" s="29"/>
      <c r="D104" s="29"/>
      <c r="E104" s="46">
        <f t="shared" si="4"/>
        <v>0</v>
      </c>
      <c r="F104" s="43">
        <f t="shared" si="5"/>
        <v>0</v>
      </c>
      <c r="G104" s="19">
        <f t="shared" si="2"/>
        <v>0</v>
      </c>
      <c r="H104" s="20">
        <f t="shared" si="2"/>
        <v>0</v>
      </c>
      <c r="I104" s="21"/>
      <c r="J104" s="22"/>
    </row>
    <row r="105" spans="1:10" ht="15.6" x14ac:dyDescent="0.3">
      <c r="A105" s="23" t="s">
        <v>182</v>
      </c>
      <c r="B105" s="34" t="s">
        <v>183</v>
      </c>
      <c r="C105" s="29"/>
      <c r="D105" s="29"/>
      <c r="E105" s="46">
        <f t="shared" si="4"/>
        <v>0</v>
      </c>
      <c r="F105" s="43">
        <f t="shared" si="5"/>
        <v>0</v>
      </c>
      <c r="G105" s="19">
        <f t="shared" si="2"/>
        <v>0</v>
      </c>
      <c r="H105" s="20">
        <f t="shared" si="2"/>
        <v>0</v>
      </c>
      <c r="I105" s="21"/>
      <c r="J105" s="22"/>
    </row>
    <row r="106" spans="1:10" ht="15.6" x14ac:dyDescent="0.3">
      <c r="A106" s="23" t="s">
        <v>184</v>
      </c>
      <c r="B106" s="34" t="s">
        <v>185</v>
      </c>
      <c r="C106" s="29"/>
      <c r="D106" s="29"/>
      <c r="E106" s="46">
        <f t="shared" si="4"/>
        <v>0</v>
      </c>
      <c r="F106" s="43">
        <f t="shared" si="5"/>
        <v>0</v>
      </c>
      <c r="G106" s="19">
        <f t="shared" si="2"/>
        <v>0</v>
      </c>
      <c r="H106" s="20">
        <f t="shared" si="2"/>
        <v>0</v>
      </c>
      <c r="I106" s="21"/>
      <c r="J106" s="22"/>
    </row>
    <row r="107" spans="1:10" ht="15.6" x14ac:dyDescent="0.3">
      <c r="A107" s="23" t="s">
        <v>186</v>
      </c>
      <c r="B107" s="34" t="s">
        <v>187</v>
      </c>
      <c r="C107" s="29"/>
      <c r="D107" s="29"/>
      <c r="E107" s="46">
        <f t="shared" si="4"/>
        <v>0</v>
      </c>
      <c r="F107" s="43">
        <f t="shared" si="5"/>
        <v>0</v>
      </c>
      <c r="G107" s="19">
        <f t="shared" si="2"/>
        <v>0</v>
      </c>
      <c r="H107" s="20">
        <f t="shared" si="2"/>
        <v>0</v>
      </c>
      <c r="I107" s="21"/>
      <c r="J107" s="22"/>
    </row>
    <row r="108" spans="1:10" ht="30" x14ac:dyDescent="0.3">
      <c r="A108" s="23" t="s">
        <v>188</v>
      </c>
      <c r="B108" s="49" t="s">
        <v>189</v>
      </c>
      <c r="C108" s="29"/>
      <c r="D108" s="29"/>
      <c r="E108" s="46">
        <f t="shared" si="4"/>
        <v>0</v>
      </c>
      <c r="F108" s="43">
        <f t="shared" si="5"/>
        <v>0</v>
      </c>
      <c r="G108" s="19">
        <f t="shared" si="2"/>
        <v>0</v>
      </c>
      <c r="H108" s="20">
        <f t="shared" si="2"/>
        <v>0</v>
      </c>
      <c r="I108" s="21"/>
      <c r="J108" s="22"/>
    </row>
    <row r="109" spans="1:10" ht="15.6" x14ac:dyDescent="0.3">
      <c r="A109" s="23" t="s">
        <v>190</v>
      </c>
      <c r="B109" s="34" t="s">
        <v>191</v>
      </c>
      <c r="C109" s="29"/>
      <c r="D109" s="29"/>
      <c r="E109" s="46">
        <f t="shared" si="4"/>
        <v>0</v>
      </c>
      <c r="F109" s="43">
        <f t="shared" si="5"/>
        <v>0</v>
      </c>
      <c r="G109" s="19">
        <f t="shared" si="2"/>
        <v>0</v>
      </c>
      <c r="H109" s="20">
        <f t="shared" si="2"/>
        <v>0</v>
      </c>
      <c r="I109" s="21"/>
      <c r="J109" s="22"/>
    </row>
    <row r="110" spans="1:10" ht="15.6" x14ac:dyDescent="0.3">
      <c r="A110" s="23" t="s">
        <v>192</v>
      </c>
      <c r="B110" s="34" t="s">
        <v>193</v>
      </c>
      <c r="C110" s="29">
        <v>8753667</v>
      </c>
      <c r="D110" s="29">
        <v>8647039</v>
      </c>
      <c r="E110" s="46">
        <f t="shared" si="4"/>
        <v>106628</v>
      </c>
      <c r="F110" s="43">
        <f t="shared" si="5"/>
        <v>0</v>
      </c>
      <c r="G110" s="19">
        <f t="shared" si="2"/>
        <v>106628</v>
      </c>
      <c r="H110" s="20">
        <f t="shared" si="2"/>
        <v>0</v>
      </c>
      <c r="I110" s="21"/>
      <c r="J110" s="22"/>
    </row>
    <row r="111" spans="1:10" ht="15.6" x14ac:dyDescent="0.3">
      <c r="A111" s="23" t="s">
        <v>194</v>
      </c>
      <c r="B111" s="50" t="s">
        <v>195</v>
      </c>
      <c r="C111" s="29">
        <v>1057546</v>
      </c>
      <c r="D111" s="29">
        <v>10694576</v>
      </c>
      <c r="E111" s="46">
        <f>IF(C111&gt;D111,C111-D111,0)</f>
        <v>0</v>
      </c>
      <c r="F111" s="43">
        <f>IF(D111&gt;C111,D111-C111,0)</f>
        <v>9637030</v>
      </c>
      <c r="G111" s="19">
        <f t="shared" si="2"/>
        <v>0</v>
      </c>
      <c r="H111" s="20">
        <f t="shared" si="2"/>
        <v>9637030</v>
      </c>
      <c r="I111" s="21"/>
      <c r="J111" s="22"/>
    </row>
    <row r="112" spans="1:10" ht="15.6" x14ac:dyDescent="0.3">
      <c r="A112" s="23" t="s">
        <v>196</v>
      </c>
      <c r="B112" s="34" t="s">
        <v>197</v>
      </c>
      <c r="C112" s="29"/>
      <c r="D112" s="29"/>
      <c r="E112" s="46">
        <f t="shared" si="4"/>
        <v>0</v>
      </c>
      <c r="F112" s="43">
        <f t="shared" si="5"/>
        <v>0</v>
      </c>
      <c r="G112" s="19">
        <f t="shared" si="2"/>
        <v>0</v>
      </c>
      <c r="H112" s="20">
        <f t="shared" si="2"/>
        <v>0</v>
      </c>
      <c r="I112" s="21"/>
      <c r="J112" s="22"/>
    </row>
    <row r="113" spans="1:10" ht="15.6" x14ac:dyDescent="0.3">
      <c r="A113" s="23" t="s">
        <v>198</v>
      </c>
      <c r="B113" s="34" t="s">
        <v>120</v>
      </c>
      <c r="C113" s="29"/>
      <c r="D113" s="29"/>
      <c r="E113" s="46">
        <f t="shared" si="4"/>
        <v>0</v>
      </c>
      <c r="F113" s="43">
        <f t="shared" si="5"/>
        <v>0</v>
      </c>
      <c r="G113" s="19">
        <f t="shared" si="2"/>
        <v>0</v>
      </c>
      <c r="H113" s="20">
        <f t="shared" si="2"/>
        <v>0</v>
      </c>
      <c r="I113" s="21"/>
      <c r="J113" s="22"/>
    </row>
    <row r="114" spans="1:10" ht="15.6" x14ac:dyDescent="0.3">
      <c r="A114" s="23" t="s">
        <v>199</v>
      </c>
      <c r="B114" s="34" t="s">
        <v>200</v>
      </c>
      <c r="C114" s="29"/>
      <c r="D114" s="29"/>
      <c r="E114" s="46">
        <f t="shared" si="4"/>
        <v>0</v>
      </c>
      <c r="F114" s="43">
        <f t="shared" si="5"/>
        <v>0</v>
      </c>
      <c r="G114" s="19">
        <f t="shared" si="2"/>
        <v>0</v>
      </c>
      <c r="H114" s="20">
        <f t="shared" si="2"/>
        <v>0</v>
      </c>
      <c r="I114" s="21"/>
      <c r="J114" s="22"/>
    </row>
    <row r="115" spans="1:10" ht="15.6" x14ac:dyDescent="0.3">
      <c r="A115" s="23"/>
      <c r="B115" s="24" t="s">
        <v>201</v>
      </c>
      <c r="C115" s="29"/>
      <c r="D115" s="29"/>
      <c r="E115" s="35">
        <f t="shared" si="4"/>
        <v>0</v>
      </c>
      <c r="F115" s="44">
        <f t="shared" si="5"/>
        <v>0</v>
      </c>
      <c r="G115" s="35">
        <f t="shared" si="2"/>
        <v>0</v>
      </c>
      <c r="H115" s="27"/>
      <c r="I115" s="38"/>
      <c r="J115" s="39"/>
    </row>
    <row r="116" spans="1:10" ht="15.6" x14ac:dyDescent="0.3">
      <c r="A116" s="23" t="s">
        <v>202</v>
      </c>
      <c r="B116" s="28" t="s">
        <v>203</v>
      </c>
      <c r="C116" s="29">
        <v>0</v>
      </c>
      <c r="D116" s="29">
        <v>3000000</v>
      </c>
      <c r="E116" s="19">
        <f t="shared" si="4"/>
        <v>0</v>
      </c>
      <c r="F116" s="43">
        <f t="shared" si="5"/>
        <v>3000000</v>
      </c>
      <c r="G116" s="19">
        <f t="shared" ref="G116:H129" si="6">E116</f>
        <v>0</v>
      </c>
      <c r="H116" s="20">
        <f t="shared" si="6"/>
        <v>3000000</v>
      </c>
      <c r="I116" s="21"/>
      <c r="J116" s="22"/>
    </row>
    <row r="117" spans="1:10" ht="15.6" x14ac:dyDescent="0.3">
      <c r="A117" s="23" t="s">
        <v>204</v>
      </c>
      <c r="B117" s="28" t="s">
        <v>205</v>
      </c>
      <c r="C117" s="29"/>
      <c r="D117" s="29"/>
      <c r="E117" s="19">
        <f t="shared" si="4"/>
        <v>0</v>
      </c>
      <c r="F117" s="43">
        <f t="shared" si="5"/>
        <v>0</v>
      </c>
      <c r="G117" s="19">
        <f t="shared" si="6"/>
        <v>0</v>
      </c>
      <c r="H117" s="20">
        <f t="shared" si="6"/>
        <v>0</v>
      </c>
      <c r="I117" s="21"/>
      <c r="J117" s="22"/>
    </row>
    <row r="118" spans="1:10" ht="15.6" x14ac:dyDescent="0.3">
      <c r="A118" s="23" t="s">
        <v>206</v>
      </c>
      <c r="B118" s="28" t="s">
        <v>207</v>
      </c>
      <c r="C118" s="29"/>
      <c r="D118" s="29"/>
      <c r="E118" s="19">
        <f t="shared" si="4"/>
        <v>0</v>
      </c>
      <c r="F118" s="43">
        <f t="shared" si="5"/>
        <v>0</v>
      </c>
      <c r="G118" s="19">
        <f t="shared" si="6"/>
        <v>0</v>
      </c>
      <c r="H118" s="20">
        <f t="shared" si="6"/>
        <v>0</v>
      </c>
      <c r="I118" s="21"/>
      <c r="J118" s="22"/>
    </row>
    <row r="119" spans="1:10" ht="15.6" x14ac:dyDescent="0.3">
      <c r="A119" s="23" t="s">
        <v>208</v>
      </c>
      <c r="B119" s="28" t="s">
        <v>209</v>
      </c>
      <c r="C119" s="29"/>
      <c r="D119" s="29"/>
      <c r="E119" s="19">
        <f t="shared" si="4"/>
        <v>0</v>
      </c>
      <c r="F119" s="43">
        <f t="shared" si="5"/>
        <v>0</v>
      </c>
      <c r="G119" s="19">
        <f t="shared" si="6"/>
        <v>0</v>
      </c>
      <c r="H119" s="20">
        <f t="shared" si="6"/>
        <v>0</v>
      </c>
      <c r="I119" s="21"/>
      <c r="J119" s="22"/>
    </row>
    <row r="120" spans="1:10" ht="15.6" x14ac:dyDescent="0.3">
      <c r="A120" s="23" t="s">
        <v>210</v>
      </c>
      <c r="B120" s="28" t="s">
        <v>211</v>
      </c>
      <c r="C120" s="29"/>
      <c r="D120" s="29"/>
      <c r="E120" s="19">
        <f t="shared" si="4"/>
        <v>0</v>
      </c>
      <c r="F120" s="43">
        <f t="shared" si="5"/>
        <v>0</v>
      </c>
      <c r="G120" s="19">
        <f>E120</f>
        <v>0</v>
      </c>
      <c r="H120" s="20">
        <f>F120</f>
        <v>0</v>
      </c>
      <c r="I120" s="21"/>
      <c r="J120" s="22"/>
    </row>
    <row r="121" spans="1:10" ht="15.6" x14ac:dyDescent="0.3">
      <c r="A121" s="23" t="s">
        <v>212</v>
      </c>
      <c r="B121" s="28" t="s">
        <v>213</v>
      </c>
      <c r="C121" s="29"/>
      <c r="D121" s="29"/>
      <c r="E121" s="19">
        <f t="shared" si="4"/>
        <v>0</v>
      </c>
      <c r="F121" s="43">
        <f t="shared" si="5"/>
        <v>0</v>
      </c>
      <c r="G121" s="19">
        <f>E121</f>
        <v>0</v>
      </c>
      <c r="H121" s="20">
        <f>F121</f>
        <v>0</v>
      </c>
      <c r="I121" s="21"/>
      <c r="J121" s="22"/>
    </row>
    <row r="122" spans="1:10" ht="15.6" x14ac:dyDescent="0.3">
      <c r="A122" s="23" t="s">
        <v>214</v>
      </c>
      <c r="B122" s="28" t="s">
        <v>215</v>
      </c>
      <c r="C122" s="29"/>
      <c r="D122" s="29"/>
      <c r="E122" s="19">
        <f t="shared" si="4"/>
        <v>0</v>
      </c>
      <c r="F122" s="43">
        <f t="shared" si="5"/>
        <v>0</v>
      </c>
      <c r="G122" s="19">
        <f t="shared" si="6"/>
        <v>0</v>
      </c>
      <c r="H122" s="20">
        <f t="shared" si="6"/>
        <v>0</v>
      </c>
      <c r="I122" s="21"/>
      <c r="J122" s="22"/>
    </row>
    <row r="123" spans="1:10" ht="15.6" x14ac:dyDescent="0.3">
      <c r="A123" s="23" t="s">
        <v>216</v>
      </c>
      <c r="B123" s="28" t="s">
        <v>217</v>
      </c>
      <c r="C123" s="29"/>
      <c r="D123" s="29"/>
      <c r="E123" s="19">
        <f>IF(C123&gt;D123,C123-D123,0)</f>
        <v>0</v>
      </c>
      <c r="F123" s="43">
        <f>IF(D123&gt;C123,D123-C123,0)</f>
        <v>0</v>
      </c>
      <c r="G123" s="19">
        <f>E123</f>
        <v>0</v>
      </c>
      <c r="H123" s="20">
        <f>F123</f>
        <v>0</v>
      </c>
      <c r="I123" s="21"/>
      <c r="J123" s="22"/>
    </row>
    <row r="124" spans="1:10" ht="15" x14ac:dyDescent="0.3">
      <c r="A124" s="23" t="s">
        <v>218</v>
      </c>
      <c r="B124" s="47" t="s">
        <v>219</v>
      </c>
      <c r="C124" s="29">
        <v>0</v>
      </c>
      <c r="D124" s="29">
        <v>16115566</v>
      </c>
      <c r="E124" s="19">
        <f t="shared" si="4"/>
        <v>0</v>
      </c>
      <c r="F124" s="43">
        <f t="shared" si="5"/>
        <v>16115566</v>
      </c>
      <c r="G124" s="19">
        <f t="shared" si="6"/>
        <v>0</v>
      </c>
      <c r="H124" s="20">
        <f t="shared" si="6"/>
        <v>16115566</v>
      </c>
      <c r="I124" s="21"/>
      <c r="J124" s="22"/>
    </row>
    <row r="125" spans="1:10" ht="15.6" x14ac:dyDescent="0.3">
      <c r="A125" s="23" t="s">
        <v>220</v>
      </c>
      <c r="B125" s="28" t="s">
        <v>221</v>
      </c>
      <c r="C125" s="29"/>
      <c r="D125" s="29"/>
      <c r="E125" s="19">
        <f t="shared" si="4"/>
        <v>0</v>
      </c>
      <c r="F125" s="43">
        <f t="shared" si="5"/>
        <v>0</v>
      </c>
      <c r="G125" s="19">
        <f t="shared" si="6"/>
        <v>0</v>
      </c>
      <c r="H125" s="20">
        <f t="shared" si="6"/>
        <v>0</v>
      </c>
      <c r="I125" s="21"/>
      <c r="J125" s="22"/>
    </row>
    <row r="126" spans="1:10" ht="15.6" x14ac:dyDescent="0.3">
      <c r="A126" s="23" t="s">
        <v>222</v>
      </c>
      <c r="B126" s="28" t="s">
        <v>223</v>
      </c>
      <c r="C126" s="29">
        <v>9000000</v>
      </c>
      <c r="D126" s="29"/>
      <c r="E126" s="19">
        <f t="shared" si="4"/>
        <v>9000000</v>
      </c>
      <c r="F126" s="43">
        <f t="shared" si="5"/>
        <v>0</v>
      </c>
      <c r="G126" s="19">
        <f t="shared" si="6"/>
        <v>9000000</v>
      </c>
      <c r="H126" s="20">
        <f t="shared" si="6"/>
        <v>0</v>
      </c>
      <c r="I126" s="21"/>
      <c r="J126" s="22"/>
    </row>
    <row r="127" spans="1:10" ht="15.6" x14ac:dyDescent="0.3">
      <c r="A127" s="23" t="s">
        <v>224</v>
      </c>
      <c r="B127" s="28" t="s">
        <v>225</v>
      </c>
      <c r="C127" s="29"/>
      <c r="D127" s="29"/>
      <c r="E127" s="19">
        <f t="shared" si="4"/>
        <v>0</v>
      </c>
      <c r="F127" s="43">
        <f t="shared" si="5"/>
        <v>0</v>
      </c>
      <c r="G127" s="19">
        <f t="shared" si="6"/>
        <v>0</v>
      </c>
      <c r="H127" s="20">
        <f t="shared" si="6"/>
        <v>0</v>
      </c>
      <c r="I127" s="21"/>
      <c r="J127" s="22"/>
    </row>
    <row r="128" spans="1:10" ht="15.6" x14ac:dyDescent="0.3">
      <c r="A128" s="23" t="s">
        <v>226</v>
      </c>
      <c r="B128" s="28" t="s">
        <v>227</v>
      </c>
      <c r="C128" s="29"/>
      <c r="D128" s="29"/>
      <c r="E128" s="19">
        <f t="shared" si="4"/>
        <v>0</v>
      </c>
      <c r="F128" s="43">
        <f t="shared" si="5"/>
        <v>0</v>
      </c>
      <c r="G128" s="19">
        <f t="shared" si="6"/>
        <v>0</v>
      </c>
      <c r="H128" s="20">
        <f t="shared" si="6"/>
        <v>0</v>
      </c>
      <c r="I128" s="21"/>
      <c r="J128" s="22"/>
    </row>
    <row r="129" spans="1:10" ht="15.6" x14ac:dyDescent="0.3">
      <c r="A129" s="23" t="s">
        <v>228</v>
      </c>
      <c r="B129" s="28" t="s">
        <v>229</v>
      </c>
      <c r="C129" s="29"/>
      <c r="D129" s="29"/>
      <c r="E129" s="19">
        <f t="shared" si="4"/>
        <v>0</v>
      </c>
      <c r="F129" s="43">
        <f t="shared" si="5"/>
        <v>0</v>
      </c>
      <c r="G129" s="19">
        <f t="shared" si="6"/>
        <v>0</v>
      </c>
      <c r="H129" s="20">
        <f t="shared" si="6"/>
        <v>0</v>
      </c>
      <c r="I129" s="21"/>
      <c r="J129" s="22"/>
    </row>
    <row r="130" spans="1:10" ht="15.6" x14ac:dyDescent="0.3">
      <c r="A130" s="23"/>
      <c r="B130" s="51"/>
      <c r="C130" s="29"/>
      <c r="D130" s="29"/>
      <c r="E130" s="19">
        <f t="shared" si="4"/>
        <v>0</v>
      </c>
      <c r="F130" s="43">
        <f t="shared" si="5"/>
        <v>0</v>
      </c>
      <c r="G130" s="19"/>
      <c r="H130" s="20"/>
      <c r="I130" s="21"/>
      <c r="J130" s="22"/>
    </row>
    <row r="131" spans="1:10" ht="15.6" x14ac:dyDescent="0.3">
      <c r="A131" s="23"/>
      <c r="B131" s="81"/>
      <c r="C131" s="29"/>
      <c r="D131" s="29"/>
      <c r="E131" s="35">
        <f t="shared" si="4"/>
        <v>0</v>
      </c>
      <c r="F131" s="44">
        <f t="shared" si="5"/>
        <v>0</v>
      </c>
      <c r="G131" s="35"/>
      <c r="H131" s="27"/>
      <c r="I131" s="38"/>
      <c r="J131" s="39"/>
    </row>
    <row r="132" spans="1:10" ht="16.2" thickBot="1" x14ac:dyDescent="0.35">
      <c r="A132" s="23"/>
      <c r="B132" s="51"/>
      <c r="C132" s="29"/>
      <c r="D132" s="29"/>
      <c r="E132" s="19">
        <f t="shared" si="4"/>
        <v>0</v>
      </c>
      <c r="F132" s="43">
        <f t="shared" si="5"/>
        <v>0</v>
      </c>
      <c r="G132" s="19"/>
      <c r="H132" s="20"/>
      <c r="I132" s="21"/>
      <c r="J132" s="22"/>
    </row>
    <row r="133" spans="1:10" ht="15.6" x14ac:dyDescent="0.3">
      <c r="A133" s="52"/>
      <c r="B133" s="53" t="s">
        <v>230</v>
      </c>
      <c r="C133" s="29"/>
      <c r="D133" s="29"/>
      <c r="E133" s="35">
        <f t="shared" si="4"/>
        <v>0</v>
      </c>
      <c r="F133" s="44">
        <f t="shared" si="5"/>
        <v>0</v>
      </c>
      <c r="G133" s="35"/>
      <c r="H133" s="27"/>
      <c r="I133" s="38"/>
      <c r="J133" s="39"/>
    </row>
    <row r="134" spans="1:10" ht="15.6" x14ac:dyDescent="0.3">
      <c r="A134" s="54"/>
      <c r="B134" s="55" t="s">
        <v>231</v>
      </c>
      <c r="C134" s="29"/>
      <c r="D134" s="29"/>
      <c r="E134" s="35">
        <f t="shared" si="4"/>
        <v>0</v>
      </c>
      <c r="F134" s="56">
        <f t="shared" si="5"/>
        <v>0</v>
      </c>
      <c r="G134" s="35"/>
      <c r="H134" s="38"/>
      <c r="I134" s="35">
        <f t="shared" ref="I134:J166" si="7">E134</f>
        <v>0</v>
      </c>
      <c r="J134" s="39"/>
    </row>
    <row r="135" spans="1:10" ht="15.6" x14ac:dyDescent="0.3">
      <c r="A135" s="54" t="s">
        <v>232</v>
      </c>
      <c r="B135" s="57" t="s">
        <v>233</v>
      </c>
      <c r="C135" s="29"/>
      <c r="D135" s="29">
        <v>31472496.419300284</v>
      </c>
      <c r="E135" s="19">
        <f t="shared" si="4"/>
        <v>0</v>
      </c>
      <c r="F135" s="43">
        <f t="shared" si="5"/>
        <v>31472496.419300284</v>
      </c>
      <c r="G135" s="19"/>
      <c r="H135" s="20"/>
      <c r="I135" s="21">
        <f t="shared" si="7"/>
        <v>0</v>
      </c>
      <c r="J135" s="22">
        <f>F135</f>
        <v>31472496.419300284</v>
      </c>
    </row>
    <row r="136" spans="1:10" ht="15.6" x14ac:dyDescent="0.3">
      <c r="A136" s="54" t="s">
        <v>234</v>
      </c>
      <c r="B136" s="28" t="s">
        <v>235</v>
      </c>
      <c r="C136" s="29"/>
      <c r="D136" s="29">
        <v>1653677</v>
      </c>
      <c r="E136" s="19">
        <f t="shared" si="4"/>
        <v>0</v>
      </c>
      <c r="F136" s="43">
        <f t="shared" si="5"/>
        <v>1653677</v>
      </c>
      <c r="G136" s="19"/>
      <c r="H136" s="20"/>
      <c r="I136" s="21">
        <f t="shared" si="7"/>
        <v>0</v>
      </c>
      <c r="J136" s="22">
        <f>F136</f>
        <v>1653677</v>
      </c>
    </row>
    <row r="137" spans="1:10" ht="15.6" x14ac:dyDescent="0.3">
      <c r="A137" s="54" t="s">
        <v>236</v>
      </c>
      <c r="B137" s="28" t="s">
        <v>237</v>
      </c>
      <c r="C137" s="29"/>
      <c r="D137" s="29"/>
      <c r="E137" s="19">
        <f t="shared" si="4"/>
        <v>0</v>
      </c>
      <c r="F137" s="43"/>
      <c r="G137" s="19"/>
      <c r="H137" s="20"/>
      <c r="I137" s="21">
        <f t="shared" si="7"/>
        <v>0</v>
      </c>
      <c r="J137" s="22">
        <f>F137</f>
        <v>0</v>
      </c>
    </row>
    <row r="138" spans="1:10" ht="15.6" x14ac:dyDescent="0.3">
      <c r="A138" s="54" t="s">
        <v>238</v>
      </c>
      <c r="B138" s="28" t="s">
        <v>239</v>
      </c>
      <c r="C138" s="29"/>
      <c r="D138" s="29"/>
      <c r="E138" s="19">
        <f t="shared" si="4"/>
        <v>0</v>
      </c>
      <c r="F138" s="43">
        <f t="shared" si="5"/>
        <v>0</v>
      </c>
      <c r="G138" s="19"/>
      <c r="H138" s="20"/>
      <c r="I138" s="21">
        <f t="shared" si="7"/>
        <v>0</v>
      </c>
      <c r="J138" s="22">
        <f>F138</f>
        <v>0</v>
      </c>
    </row>
    <row r="139" spans="1:10" ht="15.6" x14ac:dyDescent="0.3">
      <c r="A139" s="54" t="s">
        <v>240</v>
      </c>
      <c r="B139" s="28" t="s">
        <v>241</v>
      </c>
      <c r="C139" s="29">
        <v>5841578</v>
      </c>
      <c r="D139" s="29"/>
      <c r="E139" s="19">
        <f t="shared" si="4"/>
        <v>5841578</v>
      </c>
      <c r="F139" s="43">
        <f t="shared" si="5"/>
        <v>0</v>
      </c>
      <c r="G139" s="19"/>
      <c r="H139" s="20"/>
      <c r="I139" s="21">
        <f t="shared" si="7"/>
        <v>5841578</v>
      </c>
      <c r="J139" s="22">
        <f t="shared" si="7"/>
        <v>0</v>
      </c>
    </row>
    <row r="140" spans="1:10" ht="15.6" x14ac:dyDescent="0.3">
      <c r="A140" s="54" t="s">
        <v>242</v>
      </c>
      <c r="B140" s="28" t="s">
        <v>243</v>
      </c>
      <c r="C140" s="29">
        <v>7896846</v>
      </c>
      <c r="D140" s="29">
        <v>4749648</v>
      </c>
      <c r="E140" s="19">
        <f t="shared" si="4"/>
        <v>3147198</v>
      </c>
      <c r="F140" s="43">
        <f t="shared" si="5"/>
        <v>0</v>
      </c>
      <c r="G140" s="19"/>
      <c r="H140" s="20"/>
      <c r="I140" s="21">
        <f t="shared" si="7"/>
        <v>3147198</v>
      </c>
      <c r="J140" s="22">
        <f t="shared" si="7"/>
        <v>0</v>
      </c>
    </row>
    <row r="141" spans="1:10" ht="15.6" x14ac:dyDescent="0.3">
      <c r="A141" s="58" t="s">
        <v>244</v>
      </c>
      <c r="B141" s="32" t="s">
        <v>245</v>
      </c>
      <c r="C141" s="29"/>
      <c r="D141" s="29"/>
      <c r="E141" s="19">
        <f t="shared" si="4"/>
        <v>0</v>
      </c>
      <c r="F141" s="43">
        <f t="shared" si="5"/>
        <v>0</v>
      </c>
      <c r="G141" s="21"/>
      <c r="H141" s="20"/>
      <c r="I141" s="21">
        <f t="shared" si="7"/>
        <v>0</v>
      </c>
      <c r="J141" s="22">
        <f t="shared" si="7"/>
        <v>0</v>
      </c>
    </row>
    <row r="142" spans="1:10" ht="15.6" x14ac:dyDescent="0.3">
      <c r="A142" s="58" t="s">
        <v>246</v>
      </c>
      <c r="B142" s="32" t="s">
        <v>247</v>
      </c>
      <c r="C142" s="29"/>
      <c r="D142" s="29"/>
      <c r="E142" s="19">
        <f t="shared" si="4"/>
        <v>0</v>
      </c>
      <c r="F142" s="43">
        <f t="shared" si="5"/>
        <v>0</v>
      </c>
      <c r="G142" s="21"/>
      <c r="H142" s="20"/>
      <c r="I142" s="21">
        <f t="shared" si="7"/>
        <v>0</v>
      </c>
      <c r="J142" s="22">
        <f t="shared" si="7"/>
        <v>0</v>
      </c>
    </row>
    <row r="143" spans="1:10" ht="15.6" x14ac:dyDescent="0.3">
      <c r="A143" s="58" t="s">
        <v>248</v>
      </c>
      <c r="B143" s="32" t="s">
        <v>249</v>
      </c>
      <c r="C143" s="29">
        <v>4420760</v>
      </c>
      <c r="D143" s="29"/>
      <c r="E143" s="19">
        <f t="shared" si="4"/>
        <v>4420760</v>
      </c>
      <c r="F143" s="43">
        <f t="shared" si="5"/>
        <v>0</v>
      </c>
      <c r="G143" s="21"/>
      <c r="H143" s="20"/>
      <c r="I143" s="21">
        <f t="shared" si="7"/>
        <v>4420760</v>
      </c>
      <c r="J143" s="22">
        <f t="shared" si="7"/>
        <v>0</v>
      </c>
    </row>
    <row r="144" spans="1:10" ht="15.6" x14ac:dyDescent="0.3">
      <c r="A144" s="58" t="s">
        <v>250</v>
      </c>
      <c r="B144" s="28" t="s">
        <v>251</v>
      </c>
      <c r="C144" s="29">
        <v>6885949</v>
      </c>
      <c r="D144" s="29"/>
      <c r="E144" s="19">
        <f t="shared" si="4"/>
        <v>6885949</v>
      </c>
      <c r="F144" s="43">
        <f t="shared" si="5"/>
        <v>0</v>
      </c>
      <c r="G144" s="21"/>
      <c r="H144" s="20"/>
      <c r="I144" s="21">
        <f t="shared" si="7"/>
        <v>6885949</v>
      </c>
      <c r="J144" s="22">
        <f t="shared" si="7"/>
        <v>0</v>
      </c>
    </row>
    <row r="145" spans="1:10" ht="15.6" x14ac:dyDescent="0.3">
      <c r="A145" s="58" t="s">
        <v>252</v>
      </c>
      <c r="B145" s="28" t="s">
        <v>253</v>
      </c>
      <c r="C145" s="29">
        <v>1175425.8696000001</v>
      </c>
      <c r="D145" s="29"/>
      <c r="E145" s="19">
        <f t="shared" si="4"/>
        <v>1175425.8696000001</v>
      </c>
      <c r="F145" s="43">
        <f t="shared" si="5"/>
        <v>0</v>
      </c>
      <c r="G145" s="21"/>
      <c r="H145" s="20"/>
      <c r="I145" s="21">
        <f t="shared" si="7"/>
        <v>1175425.8696000001</v>
      </c>
      <c r="J145" s="22">
        <f t="shared" si="7"/>
        <v>0</v>
      </c>
    </row>
    <row r="146" spans="1:10" ht="15.6" x14ac:dyDescent="0.3">
      <c r="A146" s="58" t="s">
        <v>254</v>
      </c>
      <c r="B146" s="28" t="s">
        <v>243</v>
      </c>
      <c r="C146" s="29"/>
      <c r="D146" s="29"/>
      <c r="E146" s="19">
        <f t="shared" si="4"/>
        <v>0</v>
      </c>
      <c r="F146" s="43">
        <f t="shared" si="5"/>
        <v>0</v>
      </c>
      <c r="G146" s="21"/>
      <c r="H146" s="20"/>
      <c r="I146" s="21">
        <f t="shared" si="7"/>
        <v>0</v>
      </c>
      <c r="J146" s="22">
        <f t="shared" si="7"/>
        <v>0</v>
      </c>
    </row>
    <row r="147" spans="1:10" ht="15.6" x14ac:dyDescent="0.3">
      <c r="A147" s="58" t="s">
        <v>255</v>
      </c>
      <c r="B147" s="28" t="s">
        <v>243</v>
      </c>
      <c r="C147" s="29"/>
      <c r="D147" s="29"/>
      <c r="E147" s="19">
        <f t="shared" si="4"/>
        <v>0</v>
      </c>
      <c r="F147" s="43">
        <f t="shared" si="5"/>
        <v>0</v>
      </c>
      <c r="G147" s="21"/>
      <c r="H147" s="20"/>
      <c r="I147" s="21">
        <f t="shared" si="7"/>
        <v>0</v>
      </c>
      <c r="J147" s="22">
        <f t="shared" si="7"/>
        <v>0</v>
      </c>
    </row>
    <row r="148" spans="1:10" ht="15.6" x14ac:dyDescent="0.3">
      <c r="A148" s="58" t="s">
        <v>256</v>
      </c>
      <c r="B148" s="28" t="s">
        <v>257</v>
      </c>
      <c r="C148" s="29"/>
      <c r="D148" s="29"/>
      <c r="E148" s="19">
        <f t="shared" si="4"/>
        <v>0</v>
      </c>
      <c r="F148" s="43">
        <f t="shared" si="5"/>
        <v>0</v>
      </c>
      <c r="G148" s="21"/>
      <c r="H148" s="20"/>
      <c r="I148" s="21">
        <f t="shared" si="7"/>
        <v>0</v>
      </c>
      <c r="J148" s="22">
        <f t="shared" si="7"/>
        <v>0</v>
      </c>
    </row>
    <row r="149" spans="1:10" ht="15.6" x14ac:dyDescent="0.3">
      <c r="A149" s="58" t="s">
        <v>258</v>
      </c>
      <c r="B149" s="28" t="s">
        <v>257</v>
      </c>
      <c r="C149" s="29"/>
      <c r="D149" s="29"/>
      <c r="E149" s="19">
        <f t="shared" si="4"/>
        <v>0</v>
      </c>
      <c r="F149" s="43">
        <f t="shared" si="5"/>
        <v>0</v>
      </c>
      <c r="G149" s="21"/>
      <c r="H149" s="20"/>
      <c r="I149" s="21">
        <f t="shared" si="7"/>
        <v>0</v>
      </c>
      <c r="J149" s="22">
        <f t="shared" si="7"/>
        <v>0</v>
      </c>
    </row>
    <row r="150" spans="1:10" ht="15.6" x14ac:dyDescent="0.3">
      <c r="A150" s="54" t="s">
        <v>259</v>
      </c>
      <c r="B150" s="28" t="s">
        <v>260</v>
      </c>
      <c r="C150" s="29">
        <v>5792436</v>
      </c>
      <c r="D150" s="29"/>
      <c r="E150" s="19">
        <f t="shared" si="4"/>
        <v>5792436</v>
      </c>
      <c r="F150" s="43">
        <f t="shared" si="5"/>
        <v>0</v>
      </c>
      <c r="G150" s="19"/>
      <c r="H150" s="20"/>
      <c r="I150" s="21">
        <f t="shared" si="7"/>
        <v>5792436</v>
      </c>
      <c r="J150" s="22">
        <f t="shared" si="7"/>
        <v>0</v>
      </c>
    </row>
    <row r="151" spans="1:10" ht="15" x14ac:dyDescent="0.3">
      <c r="A151" s="59" t="s">
        <v>261</v>
      </c>
      <c r="B151" s="47" t="s">
        <v>262</v>
      </c>
      <c r="C151" s="29"/>
      <c r="D151" s="29"/>
      <c r="E151" s="19">
        <f t="shared" si="4"/>
        <v>0</v>
      </c>
      <c r="F151" s="43">
        <f t="shared" si="5"/>
        <v>0</v>
      </c>
      <c r="G151" s="19"/>
      <c r="H151" s="20"/>
      <c r="I151" s="21">
        <f t="shared" si="7"/>
        <v>0</v>
      </c>
      <c r="J151" s="22">
        <f t="shared" si="7"/>
        <v>0</v>
      </c>
    </row>
    <row r="152" spans="1:10" ht="15.6" x14ac:dyDescent="0.3">
      <c r="A152" s="23" t="s">
        <v>263</v>
      </c>
      <c r="B152" s="28" t="s">
        <v>264</v>
      </c>
      <c r="C152" s="29"/>
      <c r="D152" s="29"/>
      <c r="E152" s="19">
        <f t="shared" si="4"/>
        <v>0</v>
      </c>
      <c r="F152" s="43">
        <f t="shared" si="5"/>
        <v>0</v>
      </c>
      <c r="G152" s="19"/>
      <c r="H152" s="20"/>
      <c r="I152" s="21">
        <f t="shared" si="7"/>
        <v>0</v>
      </c>
      <c r="J152" s="22">
        <f t="shared" si="7"/>
        <v>0</v>
      </c>
    </row>
    <row r="153" spans="1:10" ht="15.6" x14ac:dyDescent="0.3">
      <c r="A153" s="23" t="s">
        <v>265</v>
      </c>
      <c r="B153" s="28" t="s">
        <v>266</v>
      </c>
      <c r="C153" s="29"/>
      <c r="D153" s="29"/>
      <c r="E153" s="19">
        <f t="shared" si="4"/>
        <v>0</v>
      </c>
      <c r="F153" s="43">
        <f t="shared" si="5"/>
        <v>0</v>
      </c>
      <c r="G153" s="19"/>
      <c r="H153" s="20"/>
      <c r="I153" s="21">
        <f t="shared" si="7"/>
        <v>0</v>
      </c>
      <c r="J153" s="22">
        <f t="shared" si="7"/>
        <v>0</v>
      </c>
    </row>
    <row r="154" spans="1:10" ht="15.6" x14ac:dyDescent="0.3">
      <c r="A154" s="23" t="s">
        <v>267</v>
      </c>
      <c r="B154" s="28" t="s">
        <v>268</v>
      </c>
      <c r="C154" s="29"/>
      <c r="D154" s="29"/>
      <c r="E154" s="19">
        <f t="shared" si="4"/>
        <v>0</v>
      </c>
      <c r="F154" s="43">
        <f t="shared" si="5"/>
        <v>0</v>
      </c>
      <c r="G154" s="19"/>
      <c r="H154" s="20"/>
      <c r="I154" s="21">
        <f t="shared" si="7"/>
        <v>0</v>
      </c>
      <c r="J154" s="22">
        <f t="shared" si="7"/>
        <v>0</v>
      </c>
    </row>
    <row r="155" spans="1:10" ht="15.6" x14ac:dyDescent="0.3">
      <c r="A155" s="23" t="s">
        <v>269</v>
      </c>
      <c r="B155" s="34" t="s">
        <v>270</v>
      </c>
      <c r="C155" s="29"/>
      <c r="D155" s="29"/>
      <c r="E155" s="19">
        <f t="shared" si="4"/>
        <v>0</v>
      </c>
      <c r="F155" s="43">
        <f t="shared" si="5"/>
        <v>0</v>
      </c>
      <c r="G155" s="19"/>
      <c r="H155" s="20"/>
      <c r="I155" s="21">
        <f t="shared" si="7"/>
        <v>0</v>
      </c>
      <c r="J155" s="22">
        <f t="shared" si="7"/>
        <v>0</v>
      </c>
    </row>
    <row r="156" spans="1:10" ht="30.6" x14ac:dyDescent="0.3">
      <c r="A156" s="23" t="s">
        <v>271</v>
      </c>
      <c r="B156" s="34" t="s">
        <v>272</v>
      </c>
      <c r="C156" s="29"/>
      <c r="D156" s="29"/>
      <c r="E156" s="19">
        <f t="shared" si="4"/>
        <v>0</v>
      </c>
      <c r="F156" s="43">
        <f t="shared" si="5"/>
        <v>0</v>
      </c>
      <c r="G156" s="19"/>
      <c r="H156" s="20"/>
      <c r="I156" s="21">
        <f t="shared" si="7"/>
        <v>0</v>
      </c>
      <c r="J156" s="22">
        <f t="shared" si="7"/>
        <v>0</v>
      </c>
    </row>
    <row r="157" spans="1:10" ht="30.6" x14ac:dyDescent="0.3">
      <c r="A157" s="23" t="s">
        <v>273</v>
      </c>
      <c r="B157" s="34" t="s">
        <v>274</v>
      </c>
      <c r="C157" s="29"/>
      <c r="D157" s="29"/>
      <c r="E157" s="19">
        <f t="shared" si="4"/>
        <v>0</v>
      </c>
      <c r="F157" s="43">
        <f t="shared" si="5"/>
        <v>0</v>
      </c>
      <c r="G157" s="19"/>
      <c r="H157" s="20"/>
      <c r="I157" s="21">
        <f t="shared" si="7"/>
        <v>0</v>
      </c>
      <c r="J157" s="22">
        <f t="shared" si="7"/>
        <v>0</v>
      </c>
    </row>
    <row r="158" spans="1:10" ht="30.6" x14ac:dyDescent="0.3">
      <c r="A158" s="23" t="s">
        <v>275</v>
      </c>
      <c r="B158" s="34" t="s">
        <v>276</v>
      </c>
      <c r="C158" s="29"/>
      <c r="D158" s="29"/>
      <c r="E158" s="19">
        <f t="shared" si="4"/>
        <v>0</v>
      </c>
      <c r="F158" s="43">
        <f t="shared" si="5"/>
        <v>0</v>
      </c>
      <c r="G158" s="19"/>
      <c r="H158" s="20"/>
      <c r="I158" s="21">
        <f t="shared" si="7"/>
        <v>0</v>
      </c>
      <c r="J158" s="22">
        <f t="shared" si="7"/>
        <v>0</v>
      </c>
    </row>
    <row r="159" spans="1:10" ht="15.6" x14ac:dyDescent="0.3">
      <c r="A159" s="23" t="s">
        <v>277</v>
      </c>
      <c r="B159" s="34" t="s">
        <v>278</v>
      </c>
      <c r="C159" s="29"/>
      <c r="D159" s="29"/>
      <c r="E159" s="19">
        <f t="shared" si="4"/>
        <v>0</v>
      </c>
      <c r="F159" s="43">
        <f t="shared" si="5"/>
        <v>0</v>
      </c>
      <c r="G159" s="19"/>
      <c r="H159" s="20"/>
      <c r="I159" s="21">
        <f t="shared" si="7"/>
        <v>0</v>
      </c>
      <c r="J159" s="22">
        <f t="shared" si="7"/>
        <v>0</v>
      </c>
    </row>
    <row r="160" spans="1:10" ht="15.6" x14ac:dyDescent="0.3">
      <c r="A160" s="23" t="s">
        <v>279</v>
      </c>
      <c r="B160" s="34" t="s">
        <v>280</v>
      </c>
      <c r="C160" s="29"/>
      <c r="D160" s="29"/>
      <c r="E160" s="19">
        <f t="shared" si="4"/>
        <v>0</v>
      </c>
      <c r="F160" s="43">
        <f t="shared" si="5"/>
        <v>0</v>
      </c>
      <c r="G160" s="19"/>
      <c r="H160" s="20"/>
      <c r="I160" s="21">
        <f t="shared" si="7"/>
        <v>0</v>
      </c>
      <c r="J160" s="22">
        <f t="shared" si="7"/>
        <v>0</v>
      </c>
    </row>
    <row r="161" spans="1:10" ht="15.6" x14ac:dyDescent="0.3">
      <c r="A161" s="23" t="s">
        <v>281</v>
      </c>
      <c r="B161" s="34" t="s">
        <v>282</v>
      </c>
      <c r="C161" s="29"/>
      <c r="D161" s="29"/>
      <c r="E161" s="19">
        <f t="shared" si="4"/>
        <v>0</v>
      </c>
      <c r="F161" s="43">
        <f t="shared" si="5"/>
        <v>0</v>
      </c>
      <c r="G161" s="19"/>
      <c r="H161" s="20"/>
      <c r="I161" s="21">
        <f t="shared" si="7"/>
        <v>0</v>
      </c>
      <c r="J161" s="22">
        <f t="shared" si="7"/>
        <v>0</v>
      </c>
    </row>
    <row r="162" spans="1:10" ht="15.6" x14ac:dyDescent="0.3">
      <c r="A162" s="23" t="s">
        <v>283</v>
      </c>
      <c r="B162" s="34" t="s">
        <v>284</v>
      </c>
      <c r="C162" s="29"/>
      <c r="D162" s="29"/>
      <c r="E162" s="19">
        <f t="shared" si="4"/>
        <v>0</v>
      </c>
      <c r="F162" s="43">
        <f t="shared" si="5"/>
        <v>0</v>
      </c>
      <c r="G162" s="19"/>
      <c r="H162" s="20"/>
      <c r="I162" s="21">
        <f t="shared" si="7"/>
        <v>0</v>
      </c>
      <c r="J162" s="22">
        <f t="shared" si="7"/>
        <v>0</v>
      </c>
    </row>
    <row r="163" spans="1:10" ht="15.6" x14ac:dyDescent="0.3">
      <c r="A163" s="23" t="s">
        <v>285</v>
      </c>
      <c r="B163" s="34" t="s">
        <v>286</v>
      </c>
      <c r="C163" s="29"/>
      <c r="D163" s="29"/>
      <c r="E163" s="19"/>
      <c r="F163" s="43"/>
      <c r="G163" s="19"/>
      <c r="H163" s="20"/>
      <c r="I163" s="21"/>
      <c r="J163" s="22"/>
    </row>
    <row r="164" spans="1:10" ht="15.6" x14ac:dyDescent="0.3">
      <c r="A164" s="23" t="s">
        <v>287</v>
      </c>
      <c r="B164" s="34" t="s">
        <v>288</v>
      </c>
      <c r="C164" s="29"/>
      <c r="D164" s="29"/>
      <c r="E164" s="19">
        <f t="shared" si="4"/>
        <v>0</v>
      </c>
      <c r="F164" s="43">
        <f t="shared" si="5"/>
        <v>0</v>
      </c>
      <c r="G164" s="19"/>
      <c r="H164" s="20"/>
      <c r="I164" s="21">
        <f t="shared" si="7"/>
        <v>0</v>
      </c>
      <c r="J164" s="22">
        <f t="shared" si="7"/>
        <v>0</v>
      </c>
    </row>
    <row r="165" spans="1:10" ht="15.6" x14ac:dyDescent="0.3">
      <c r="A165" s="23" t="s">
        <v>289</v>
      </c>
      <c r="B165" s="34" t="s">
        <v>290</v>
      </c>
      <c r="C165" s="18"/>
      <c r="D165" s="18"/>
      <c r="E165" s="19">
        <f t="shared" si="4"/>
        <v>0</v>
      </c>
      <c r="F165" s="43">
        <f t="shared" si="5"/>
        <v>0</v>
      </c>
      <c r="G165" s="19"/>
      <c r="H165" s="20"/>
      <c r="I165" s="21">
        <f t="shared" si="7"/>
        <v>0</v>
      </c>
      <c r="J165" s="22">
        <f t="shared" si="7"/>
        <v>0</v>
      </c>
    </row>
    <row r="166" spans="1:10" ht="15.6" x14ac:dyDescent="0.3">
      <c r="A166" s="23" t="s">
        <v>291</v>
      </c>
      <c r="B166" s="34" t="s">
        <v>292</v>
      </c>
      <c r="C166" s="18"/>
      <c r="D166" s="18"/>
      <c r="E166" s="19">
        <f t="shared" si="4"/>
        <v>0</v>
      </c>
      <c r="F166" s="43">
        <f t="shared" si="5"/>
        <v>0</v>
      </c>
      <c r="G166" s="19"/>
      <c r="H166" s="20"/>
      <c r="I166" s="21">
        <f t="shared" si="7"/>
        <v>0</v>
      </c>
      <c r="J166" s="22">
        <f t="shared" si="7"/>
        <v>0</v>
      </c>
    </row>
    <row r="167" spans="1:10" ht="15.6" x14ac:dyDescent="0.3">
      <c r="A167" s="23"/>
      <c r="B167" s="60" t="s">
        <v>293</v>
      </c>
      <c r="C167" s="61">
        <f t="shared" ref="C167:H167" si="8">SUM(C8:C166)</f>
        <v>181794312.8696</v>
      </c>
      <c r="D167" s="61">
        <f t="shared" si="8"/>
        <v>181794312.9003202</v>
      </c>
      <c r="E167" s="62">
        <f t="shared" si="8"/>
        <v>65813541.139521979</v>
      </c>
      <c r="F167" s="63">
        <f t="shared" si="8"/>
        <v>65813541.170242175</v>
      </c>
      <c r="G167" s="63">
        <f t="shared" si="8"/>
        <v>38550194.269921981</v>
      </c>
      <c r="H167" s="63">
        <f t="shared" si="8"/>
        <v>32687367.750941887</v>
      </c>
      <c r="I167" s="63">
        <f>SUM(I9:I166)</f>
        <v>27263346.869600002</v>
      </c>
      <c r="J167" s="64">
        <f>SUM(J9:J166)</f>
        <v>33126173.419300284</v>
      </c>
    </row>
    <row r="168" spans="1:10" ht="15.6" x14ac:dyDescent="0.3">
      <c r="A168" s="65"/>
      <c r="B168" s="66" t="s">
        <v>294</v>
      </c>
      <c r="C168" s="67"/>
      <c r="D168" s="68"/>
      <c r="E168" s="62"/>
      <c r="F168" s="69"/>
      <c r="G168" s="70">
        <f>IF(G167&gt;H167,0,H167-G167)</f>
        <v>0</v>
      </c>
      <c r="H168" s="69">
        <f>IF(H167&gt;G167,0,G167-H167)</f>
        <v>5862826.5189800933</v>
      </c>
      <c r="I168" s="63">
        <f>IF(I167&gt;J167,0,J167-I167)</f>
        <v>5862826.5497002825</v>
      </c>
      <c r="J168" s="71">
        <f>IF(J167&gt;I167,0,I167-J167)</f>
        <v>0</v>
      </c>
    </row>
    <row r="169" spans="1:10" ht="16.2" thickBot="1" x14ac:dyDescent="0.35">
      <c r="A169" s="72"/>
      <c r="B169" s="73" t="s">
        <v>295</v>
      </c>
      <c r="C169" s="74">
        <f>SUM(C8:C166)</f>
        <v>181794312.8696</v>
      </c>
      <c r="D169" s="74">
        <f>SUM(D8:D166)</f>
        <v>181794312.9003202</v>
      </c>
      <c r="E169" s="75">
        <f t="shared" ref="E169:J169" si="9">E167+E168</f>
        <v>65813541.139521979</v>
      </c>
      <c r="F169" s="76">
        <f t="shared" si="9"/>
        <v>65813541.170242175</v>
      </c>
      <c r="G169" s="75">
        <f t="shared" si="9"/>
        <v>38550194.269921981</v>
      </c>
      <c r="H169" s="76">
        <f t="shared" si="9"/>
        <v>38550194.269921981</v>
      </c>
      <c r="I169" s="75">
        <f t="shared" si="9"/>
        <v>33126173.419300284</v>
      </c>
      <c r="J169" s="77">
        <f t="shared" si="9"/>
        <v>33126173.419300284</v>
      </c>
    </row>
    <row r="170" spans="1:10" ht="16.2" thickBot="1" x14ac:dyDescent="0.35">
      <c r="A170" s="1"/>
      <c r="B170" s="2"/>
      <c r="C170" s="78"/>
      <c r="D170" s="79">
        <f>C169-D169</f>
        <v>-3.072020411491394E-2</v>
      </c>
      <c r="E170" s="6"/>
      <c r="F170" s="80">
        <f>E169-F169</f>
        <v>-3.0720196664333344E-2</v>
      </c>
      <c r="G170" s="6"/>
      <c r="H170" s="6"/>
      <c r="I170" s="6"/>
      <c r="J170" s="6"/>
    </row>
    <row r="171" spans="1:10" x14ac:dyDescent="0.3">
      <c r="G171" s="84" t="s">
        <v>7</v>
      </c>
      <c r="H171" s="86" t="s">
        <v>8</v>
      </c>
      <c r="I171" s="82" t="s">
        <v>9</v>
      </c>
      <c r="J171" s="90" t="s">
        <v>10</v>
      </c>
    </row>
    <row r="172" spans="1:10" ht="15" thickBot="1" x14ac:dyDescent="0.35">
      <c r="G172" s="85"/>
      <c r="H172" s="87"/>
      <c r="I172" s="83"/>
      <c r="J172" s="91"/>
    </row>
  </sheetData>
  <mergeCells count="12">
    <mergeCell ref="J171:J172"/>
    <mergeCell ref="I3:I4"/>
    <mergeCell ref="J3:J4"/>
    <mergeCell ref="C2:J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10FA-0AB0-45F2-AFA7-0FC9DCAA9441}">
  <dimension ref="A1:K54"/>
  <sheetViews>
    <sheetView tabSelected="1" zoomScale="75" zoomScaleNormal="75" workbookViewId="0">
      <selection activeCell="G2" sqref="G2"/>
    </sheetView>
  </sheetViews>
  <sheetFormatPr baseColWidth="10" defaultRowHeight="14.4" x14ac:dyDescent="0.3"/>
  <cols>
    <col min="1" max="1" width="6.109375" style="193" bestFit="1" customWidth="1"/>
    <col min="2" max="2" width="37.6640625" bestFit="1" customWidth="1"/>
    <col min="3" max="3" width="13.44140625" bestFit="1" customWidth="1"/>
    <col min="5" max="5" width="6.109375" style="193" bestFit="1" customWidth="1"/>
    <col min="6" max="6" width="38.77734375" bestFit="1" customWidth="1"/>
    <col min="7" max="7" width="13.44140625" bestFit="1" customWidth="1"/>
    <col min="9" max="9" width="6.109375" style="193" bestFit="1" customWidth="1"/>
    <col min="10" max="10" width="35.109375" bestFit="1" customWidth="1"/>
    <col min="11" max="11" width="12.109375" bestFit="1" customWidth="1"/>
  </cols>
  <sheetData>
    <row r="1" spans="1:11" ht="16.2" thickBot="1" x14ac:dyDescent="0.35">
      <c r="A1" s="176" t="s">
        <v>419</v>
      </c>
      <c r="B1" s="176" t="s">
        <v>420</v>
      </c>
      <c r="C1" s="218" t="s">
        <v>421</v>
      </c>
      <c r="D1" s="177"/>
      <c r="E1" s="176" t="s">
        <v>419</v>
      </c>
      <c r="F1" s="178" t="s">
        <v>417</v>
      </c>
      <c r="G1" s="106" t="str">
        <f>C1</f>
        <v>monto</v>
      </c>
      <c r="H1" s="177"/>
      <c r="I1" s="176" t="s">
        <v>419</v>
      </c>
      <c r="J1" s="176" t="s">
        <v>418</v>
      </c>
      <c r="K1" s="106" t="str">
        <f>C1</f>
        <v>monto</v>
      </c>
    </row>
    <row r="2" spans="1:11" ht="16.2" thickBot="1" x14ac:dyDescent="0.35">
      <c r="A2" s="179">
        <v>5</v>
      </c>
      <c r="B2" s="108" t="s">
        <v>297</v>
      </c>
      <c r="C2" s="109">
        <f>[2]balance!O8-[2]balance!P8</f>
        <v>4312492.2699219808</v>
      </c>
      <c r="D2" s="105"/>
      <c r="E2" s="194">
        <v>135</v>
      </c>
      <c r="F2" s="110" t="s">
        <v>298</v>
      </c>
      <c r="G2" s="111">
        <f>[2]balance!P78-[2]balance!O78</f>
        <v>0</v>
      </c>
      <c r="H2" s="105"/>
      <c r="I2" s="203">
        <v>310</v>
      </c>
      <c r="J2" s="112" t="s">
        <v>299</v>
      </c>
      <c r="K2" s="111">
        <f>[2]balance!R135+[2]balance!R136-[2]balance!Q137</f>
        <v>33126173.419300284</v>
      </c>
    </row>
    <row r="3" spans="1:11" ht="16.2" thickBot="1" x14ac:dyDescent="0.35">
      <c r="A3" s="180">
        <v>10</v>
      </c>
      <c r="B3" s="113" t="s">
        <v>300</v>
      </c>
      <c r="C3" s="114">
        <f>SUM(C4:C8)</f>
        <v>0</v>
      </c>
      <c r="D3" s="105"/>
      <c r="E3" s="187">
        <v>145</v>
      </c>
      <c r="F3" s="115" t="s">
        <v>301</v>
      </c>
      <c r="G3" s="116"/>
      <c r="H3" s="105"/>
      <c r="I3" s="204">
        <v>315</v>
      </c>
      <c r="J3" s="117" t="s">
        <v>302</v>
      </c>
      <c r="K3" s="118">
        <f>[2]balance!Q139+[2]balance!Q142-[2]balance!R138</f>
        <v>5841578</v>
      </c>
    </row>
    <row r="4" spans="1:11" ht="16.2" thickBot="1" x14ac:dyDescent="0.35">
      <c r="A4" s="181">
        <v>11</v>
      </c>
      <c r="B4" s="119" t="s">
        <v>303</v>
      </c>
      <c r="C4" s="120">
        <f>[2]balance!O9-[2]balance!P9</f>
        <v>0</v>
      </c>
      <c r="D4" s="105"/>
      <c r="E4" s="187">
        <v>147</v>
      </c>
      <c r="F4" s="115" t="s">
        <v>304</v>
      </c>
      <c r="G4" s="116"/>
      <c r="H4" s="105"/>
      <c r="I4" s="205">
        <v>320</v>
      </c>
      <c r="J4" s="121" t="s">
        <v>305</v>
      </c>
      <c r="K4" s="122">
        <f>K2-K3</f>
        <v>27284595.419300284</v>
      </c>
    </row>
    <row r="5" spans="1:11" ht="16.2" thickBot="1" x14ac:dyDescent="0.35">
      <c r="A5" s="182">
        <v>12</v>
      </c>
      <c r="B5" s="119" t="s">
        <v>306</v>
      </c>
      <c r="C5" s="120">
        <f>[2]balance!O10-[2]balance!P10</f>
        <v>0</v>
      </c>
      <c r="D5" s="105"/>
      <c r="E5" s="195">
        <v>150</v>
      </c>
      <c r="F5" s="123" t="s">
        <v>307</v>
      </c>
      <c r="G5" s="118">
        <f>[2]balance!P89+[2]balance!P84+[2]balance!P85+[2]balance!P86+[2]balance!P87+[2]balance!P88 - ([2]balance!O89+[2]balance!O84+[2]balance!O85+[2]balance!O86+[2]balance!O87+[2]balance!O88)</f>
        <v>0</v>
      </c>
      <c r="H5" s="105"/>
      <c r="I5" s="206">
        <v>324</v>
      </c>
      <c r="J5" s="124" t="s">
        <v>308</v>
      </c>
      <c r="K5" s="125">
        <f>[2]balance!Q140</f>
        <v>3147198</v>
      </c>
    </row>
    <row r="6" spans="1:11" ht="16.2" thickBot="1" x14ac:dyDescent="0.35">
      <c r="A6" s="182">
        <v>13</v>
      </c>
      <c r="B6" s="119" t="s">
        <v>309</v>
      </c>
      <c r="C6" s="120"/>
      <c r="D6" s="105"/>
      <c r="E6" s="180">
        <v>155</v>
      </c>
      <c r="F6" s="126" t="s">
        <v>310</v>
      </c>
      <c r="G6" s="114">
        <f>SUM(G7:G8)</f>
        <v>0</v>
      </c>
      <c r="H6" s="105"/>
      <c r="I6" s="207">
        <v>325</v>
      </c>
      <c r="J6" s="127" t="s">
        <v>311</v>
      </c>
      <c r="K6" s="125">
        <f>[2]balance!Q143</f>
        <v>4420760</v>
      </c>
    </row>
    <row r="7" spans="1:11" ht="15.6" x14ac:dyDescent="0.3">
      <c r="A7" s="182">
        <v>14</v>
      </c>
      <c r="B7" s="119" t="s">
        <v>312</v>
      </c>
      <c r="C7" s="120">
        <f>[2]balance!O11-[2]balance!P11</f>
        <v>0</v>
      </c>
      <c r="D7" s="105"/>
      <c r="E7" s="181">
        <v>156</v>
      </c>
      <c r="F7" s="128" t="s">
        <v>313</v>
      </c>
      <c r="G7" s="120"/>
      <c r="H7" s="105"/>
      <c r="I7" s="208">
        <v>326</v>
      </c>
      <c r="J7" s="119" t="s">
        <v>314</v>
      </c>
      <c r="K7" s="129">
        <f>[2]balance!Q144+[2]balance!Q145+[2]balance!Q146+[2]balance!Q147+[2]balance!Q148+[2]balance!Q149</f>
        <v>8061374.8695999999</v>
      </c>
    </row>
    <row r="8" spans="1:11" ht="16.2" thickBot="1" x14ac:dyDescent="0.35">
      <c r="A8" s="183">
        <v>15</v>
      </c>
      <c r="B8" s="127" t="s">
        <v>315</v>
      </c>
      <c r="C8" s="130"/>
      <c r="D8" s="105"/>
      <c r="E8" s="182">
        <v>157</v>
      </c>
      <c r="F8" s="128" t="s">
        <v>316</v>
      </c>
      <c r="G8" s="120"/>
      <c r="H8" s="105"/>
      <c r="I8" s="208">
        <v>327</v>
      </c>
      <c r="J8" s="119" t="s">
        <v>317</v>
      </c>
      <c r="K8" s="129">
        <f>[2]balance!Q141</f>
        <v>0</v>
      </c>
    </row>
    <row r="9" spans="1:11" ht="16.2" thickBot="1" x14ac:dyDescent="0.35">
      <c r="A9" s="184">
        <v>20</v>
      </c>
      <c r="B9" s="131" t="s">
        <v>318</v>
      </c>
      <c r="C9" s="132">
        <f>C10+C11+C12+C13-C14</f>
        <v>1403110</v>
      </c>
      <c r="D9" s="105"/>
      <c r="E9" s="182">
        <v>160</v>
      </c>
      <c r="F9" s="128" t="s">
        <v>319</v>
      </c>
      <c r="G9" s="120"/>
      <c r="H9" s="105"/>
      <c r="I9" s="204">
        <v>330</v>
      </c>
      <c r="J9" s="133" t="s">
        <v>320</v>
      </c>
      <c r="K9" s="134">
        <f>[2]balance!Q150</f>
        <v>5792436</v>
      </c>
    </row>
    <row r="10" spans="1:11" ht="16.2" thickBot="1" x14ac:dyDescent="0.35">
      <c r="A10" s="185">
        <v>21</v>
      </c>
      <c r="B10" s="135" t="s">
        <v>321</v>
      </c>
      <c r="C10" s="136">
        <f>[2]balance!O16+[2]balance!O14 -([2]balance!P16+[2]balance!P14)</f>
        <v>1403110</v>
      </c>
      <c r="D10" s="105"/>
      <c r="E10" s="182">
        <v>165</v>
      </c>
      <c r="F10" s="128" t="s">
        <v>322</v>
      </c>
      <c r="G10" s="120">
        <f>[2]balance!P12</f>
        <v>0</v>
      </c>
      <c r="H10" s="105"/>
      <c r="I10" s="209">
        <v>335</v>
      </c>
      <c r="J10" s="137" t="s">
        <v>323</v>
      </c>
      <c r="K10" s="122">
        <f>K4-K5-K6-K7-K8-K9</f>
        <v>5862826.5497002844</v>
      </c>
    </row>
    <row r="11" spans="1:11" ht="15.6" x14ac:dyDescent="0.3">
      <c r="A11" s="182">
        <v>22</v>
      </c>
      <c r="B11" s="119" t="s">
        <v>324</v>
      </c>
      <c r="C11" s="120">
        <f>[2]balance!O12+[2]balance!O13+[2]balance!O15 - ([2]balance!P12+[2]balance!P13+[2]balance!P15)</f>
        <v>0</v>
      </c>
      <c r="D11" s="105"/>
      <c r="E11" s="182">
        <v>170</v>
      </c>
      <c r="F11" s="128" t="s">
        <v>325</v>
      </c>
      <c r="G11" s="120">
        <f>[2]balance!P98-[2]balance!O98+[2]balance!P99+[2]balance!P96-[2]balance!O96-[2]balance!O99</f>
        <v>1390685.750941887</v>
      </c>
      <c r="H11" s="105"/>
      <c r="I11" s="207">
        <v>340</v>
      </c>
      <c r="J11" s="138" t="s">
        <v>326</v>
      </c>
      <c r="K11" s="125"/>
    </row>
    <row r="12" spans="1:11" ht="16.2" thickBot="1" x14ac:dyDescent="0.35">
      <c r="A12" s="182">
        <v>23</v>
      </c>
      <c r="B12" s="119" t="s">
        <v>327</v>
      </c>
      <c r="C12" s="120"/>
      <c r="D12" s="105"/>
      <c r="E12" s="182">
        <v>175</v>
      </c>
      <c r="F12" s="128" t="s">
        <v>328</v>
      </c>
      <c r="G12" s="120">
        <f>[2]balance!P94</f>
        <v>0</v>
      </c>
      <c r="H12" s="105"/>
      <c r="I12" s="210" t="s">
        <v>329</v>
      </c>
      <c r="J12" s="139" t="s">
        <v>330</v>
      </c>
      <c r="K12" s="140">
        <f>[2]balance!Q151</f>
        <v>0</v>
      </c>
    </row>
    <row r="13" spans="1:11" ht="16.2" thickBot="1" x14ac:dyDescent="0.35">
      <c r="A13" s="182">
        <v>24</v>
      </c>
      <c r="B13" s="119" t="s">
        <v>331</v>
      </c>
      <c r="C13" s="120">
        <f>[2]balance!O17 - [2]balance!P17</f>
        <v>0</v>
      </c>
      <c r="D13" s="105"/>
      <c r="E13" s="182">
        <v>180</v>
      </c>
      <c r="F13" s="128" t="s">
        <v>332</v>
      </c>
      <c r="G13" s="120"/>
      <c r="H13" s="105"/>
      <c r="I13" s="211">
        <v>350</v>
      </c>
      <c r="J13" s="141" t="s">
        <v>333</v>
      </c>
      <c r="K13" s="142">
        <f>K10-K11-K12</f>
        <v>5862826.5497002844</v>
      </c>
    </row>
    <row r="14" spans="1:11" ht="16.8" thickTop="1" thickBot="1" x14ac:dyDescent="0.35">
      <c r="A14" s="183">
        <v>25</v>
      </c>
      <c r="B14" s="143" t="s">
        <v>334</v>
      </c>
      <c r="C14" s="130"/>
      <c r="D14" s="105"/>
      <c r="E14" s="196">
        <v>185</v>
      </c>
      <c r="F14" s="144" t="s">
        <v>335</v>
      </c>
      <c r="G14" s="120">
        <f>[2]balance!P90+[2]balance!P91+[2]balance!P92+[2]balance!P93-[2]balance!O90-[2]balance!O91-[2]balance!O92-[2]balance!O93</f>
        <v>2066302</v>
      </c>
      <c r="H14" s="105"/>
      <c r="I14" s="212">
        <v>355</v>
      </c>
      <c r="J14" s="145" t="s">
        <v>336</v>
      </c>
      <c r="K14" s="146">
        <f>SUM(K15:K18)</f>
        <v>0</v>
      </c>
    </row>
    <row r="15" spans="1:11" ht="16.2" thickBot="1" x14ac:dyDescent="0.35">
      <c r="A15" s="186">
        <v>30</v>
      </c>
      <c r="B15" s="147" t="s">
        <v>337</v>
      </c>
      <c r="C15" s="146">
        <f>SUM(C16:C17)</f>
        <v>0</v>
      </c>
      <c r="D15" s="105"/>
      <c r="E15" s="189">
        <v>190</v>
      </c>
      <c r="F15" s="148" t="s">
        <v>338</v>
      </c>
      <c r="G15" s="149">
        <f>G2+G3+G4+G5+G6+G9+G10+G11+G12+G13+G14</f>
        <v>3456987.750941887</v>
      </c>
      <c r="H15" s="105"/>
      <c r="I15" s="207">
        <v>356</v>
      </c>
      <c r="J15" s="127" t="s">
        <v>339</v>
      </c>
      <c r="K15" s="125"/>
    </row>
    <row r="16" spans="1:11" ht="15.6" x14ac:dyDescent="0.3">
      <c r="A16" s="187">
        <v>31</v>
      </c>
      <c r="B16" s="150" t="s">
        <v>340</v>
      </c>
      <c r="C16" s="125"/>
      <c r="D16" s="105"/>
      <c r="E16" s="191">
        <v>195</v>
      </c>
      <c r="F16" s="144" t="s">
        <v>341</v>
      </c>
      <c r="G16" s="125"/>
      <c r="H16" s="105"/>
      <c r="I16" s="213">
        <v>357</v>
      </c>
      <c r="J16" s="138" t="s">
        <v>342</v>
      </c>
      <c r="K16" s="116"/>
    </row>
    <row r="17" spans="1:11" ht="15.6" x14ac:dyDescent="0.3">
      <c r="A17" s="187">
        <v>32</v>
      </c>
      <c r="B17" s="150" t="s">
        <v>343</v>
      </c>
      <c r="C17" s="116">
        <f>[2]balance!O18 - [2]balance!P18</f>
        <v>0</v>
      </c>
      <c r="D17" s="105"/>
      <c r="E17" s="187">
        <v>201</v>
      </c>
      <c r="F17" s="115" t="s">
        <v>344</v>
      </c>
      <c r="G17" s="116"/>
      <c r="H17" s="105"/>
      <c r="I17" s="213">
        <v>358</v>
      </c>
      <c r="J17" s="138" t="s">
        <v>345</v>
      </c>
      <c r="K17" s="116"/>
    </row>
    <row r="18" spans="1:11" ht="16.2" thickBot="1" x14ac:dyDescent="0.35">
      <c r="A18" s="187">
        <v>35</v>
      </c>
      <c r="B18" s="150" t="s">
        <v>346</v>
      </c>
      <c r="C18" s="118"/>
      <c r="D18" s="105"/>
      <c r="E18" s="187">
        <v>205</v>
      </c>
      <c r="F18" s="115" t="s">
        <v>347</v>
      </c>
      <c r="G18" s="116"/>
      <c r="H18" s="105"/>
      <c r="I18" s="204">
        <v>359</v>
      </c>
      <c r="J18" s="133" t="s">
        <v>348</v>
      </c>
      <c r="K18" s="118">
        <f>[2]balance!R158+[2]balance!R154+[2]balance!R159</f>
        <v>0</v>
      </c>
    </row>
    <row r="19" spans="1:11" ht="16.2" thickBot="1" x14ac:dyDescent="0.35">
      <c r="A19" s="188">
        <v>40</v>
      </c>
      <c r="B19" s="137" t="s">
        <v>349</v>
      </c>
      <c r="C19" s="122">
        <f>SUM(C20:C24)</f>
        <v>17167942</v>
      </c>
      <c r="D19" s="105"/>
      <c r="E19" s="187">
        <v>210</v>
      </c>
      <c r="F19" s="115" t="s">
        <v>350</v>
      </c>
      <c r="G19" s="120">
        <f>[2]balance!P108+[2]balance!P109+[2]balance!P110+[2]balance!P111 - ([2]balance!O108+[2]balance!O109+[2]balance!O110+[2]balance!O111)</f>
        <v>9530402</v>
      </c>
      <c r="H19" s="105"/>
      <c r="I19" s="214">
        <v>360</v>
      </c>
      <c r="J19" s="151" t="s">
        <v>351</v>
      </c>
      <c r="K19" s="122">
        <f>SUM(K20:K23)</f>
        <v>0</v>
      </c>
    </row>
    <row r="20" spans="1:11" ht="15.6" x14ac:dyDescent="0.3">
      <c r="A20" s="187">
        <v>41</v>
      </c>
      <c r="B20" s="150" t="s">
        <v>352</v>
      </c>
      <c r="C20" s="125">
        <f>[2]balance!O20+[2]balance!O35+[2]balance!O36+[2]balance!O37+[2]balance!O38+[2]balance!O39+[2]balance!O41+[2]balance!O42+[2]balance!O43+[2]balance!O40 -( [2]balance!P20+[2]balance!P35+[2]balance!P36+[2]balance!P37+[2]balance!P38+[2]balance!P39+[2]balance!P41+[2]balance!P42+[2]balance!P43+[2]balance!P40)</f>
        <v>0</v>
      </c>
      <c r="D20" s="105"/>
      <c r="E20" s="187">
        <v>215</v>
      </c>
      <c r="F20" s="115" t="s">
        <v>353</v>
      </c>
      <c r="G20" s="116"/>
      <c r="H20" s="105"/>
      <c r="I20" s="207">
        <v>361</v>
      </c>
      <c r="J20" s="127" t="s">
        <v>354</v>
      </c>
      <c r="K20" s="125">
        <f>[2]balance!M160</f>
        <v>0</v>
      </c>
    </row>
    <row r="21" spans="1:11" ht="16.2" thickBot="1" x14ac:dyDescent="0.35">
      <c r="A21" s="187">
        <v>42</v>
      </c>
      <c r="B21" s="150" t="s">
        <v>355</v>
      </c>
      <c r="C21" s="116"/>
      <c r="D21" s="105"/>
      <c r="E21" s="195">
        <v>220</v>
      </c>
      <c r="F21" s="123" t="s">
        <v>356</v>
      </c>
      <c r="G21" s="118">
        <f>[2]balance!P114</f>
        <v>0</v>
      </c>
      <c r="H21" s="105"/>
      <c r="I21" s="213">
        <v>362</v>
      </c>
      <c r="J21" s="138" t="s">
        <v>357</v>
      </c>
      <c r="K21" s="116"/>
    </row>
    <row r="22" spans="1:11" ht="16.2" thickBot="1" x14ac:dyDescent="0.35">
      <c r="A22" s="187">
        <v>43</v>
      </c>
      <c r="B22" s="150" t="s">
        <v>358</v>
      </c>
      <c r="C22" s="116">
        <f>[2]balance!O19-[2]balance!P19</f>
        <v>17167942</v>
      </c>
      <c r="D22" s="105"/>
      <c r="E22" s="189">
        <v>225</v>
      </c>
      <c r="F22" s="152" t="s">
        <v>359</v>
      </c>
      <c r="G22" s="153">
        <f>SUM(G16:G21)</f>
        <v>9530402</v>
      </c>
      <c r="H22" s="105"/>
      <c r="I22" s="213">
        <v>363</v>
      </c>
      <c r="J22" s="138" t="s">
        <v>360</v>
      </c>
      <c r="K22" s="116">
        <f>[2]balance!Q154+[2]balance!Q155+[2]balance!Q161+[2]balance!Q159</f>
        <v>0</v>
      </c>
    </row>
    <row r="23" spans="1:11" ht="16.2" thickBot="1" x14ac:dyDescent="0.35">
      <c r="A23" s="187">
        <v>44</v>
      </c>
      <c r="B23" s="150" t="s">
        <v>361</v>
      </c>
      <c r="C23" s="116"/>
      <c r="D23" s="105"/>
      <c r="E23" s="197"/>
      <c r="F23" s="154"/>
      <c r="G23" s="155"/>
      <c r="H23" s="105"/>
      <c r="I23" s="204">
        <v>364</v>
      </c>
      <c r="J23" s="133" t="s">
        <v>362</v>
      </c>
      <c r="K23" s="118"/>
    </row>
    <row r="24" spans="1:11" ht="16.2" thickBot="1" x14ac:dyDescent="0.35">
      <c r="A24" s="187">
        <v>45</v>
      </c>
      <c r="B24" s="150" t="s">
        <v>363</v>
      </c>
      <c r="C24" s="116">
        <f>[2]balance!O33+[2]balance!O34- ([2]balance!P33+[2]balance!P34)</f>
        <v>0</v>
      </c>
      <c r="D24" s="105"/>
      <c r="E24" s="189">
        <v>230</v>
      </c>
      <c r="F24" s="152" t="s">
        <v>364</v>
      </c>
      <c r="G24" s="153">
        <f>SUM(G22,G15)</f>
        <v>12987389.750941887</v>
      </c>
      <c r="H24" s="105"/>
      <c r="I24" s="215">
        <v>365</v>
      </c>
      <c r="J24" s="156" t="s">
        <v>365</v>
      </c>
      <c r="K24" s="157">
        <f>K13+K14-K19</f>
        <v>5862826.5497002844</v>
      </c>
    </row>
    <row r="25" spans="1:11" ht="16.2" thickBot="1" x14ac:dyDescent="0.35">
      <c r="A25" s="187">
        <v>50</v>
      </c>
      <c r="B25" s="150" t="s">
        <v>366</v>
      </c>
      <c r="C25" s="116">
        <f>[2]balance!O55+[2]balance!O22+[2]balance!O44 -([2]balance!P55+[2]balance!P22+[2]balance!P44)</f>
        <v>2402475</v>
      </c>
      <c r="D25" s="158"/>
      <c r="E25" s="198"/>
      <c r="F25" s="159"/>
      <c r="G25" s="160"/>
      <c r="H25" s="161"/>
      <c r="I25" s="212">
        <v>370</v>
      </c>
      <c r="J25" s="145" t="s">
        <v>367</v>
      </c>
      <c r="K25" s="146">
        <f>SUM(K26:K27)</f>
        <v>0</v>
      </c>
    </row>
    <row r="26" spans="1:11" ht="15.6" x14ac:dyDescent="0.3">
      <c r="A26" s="187">
        <v>55</v>
      </c>
      <c r="B26" s="150" t="s">
        <v>368</v>
      </c>
      <c r="C26" s="116">
        <f>[2]balance!O23+[2]balance!O24+[2]balance!O25+[2]balance!O26+[2]balance!O27+[2]balance!O28 +[2]balance!O29+[2]balance!O30+[2]balance!O31-([2]balance!P23+[2]balance!P24+[2]balance!P25+[2]balance!P26+[2]balance!P27+[2]balance!P28+[2]balance!P29+[2]balance!P30+[2]balance!P31)</f>
        <v>-477784</v>
      </c>
      <c r="D26" s="105"/>
      <c r="E26" s="194">
        <v>232</v>
      </c>
      <c r="F26" s="110" t="s">
        <v>369</v>
      </c>
      <c r="G26" s="111"/>
      <c r="H26" s="161"/>
      <c r="I26" s="207">
        <v>371</v>
      </c>
      <c r="J26" s="127" t="s">
        <v>370</v>
      </c>
      <c r="K26" s="125"/>
    </row>
    <row r="27" spans="1:11" ht="16.2" thickBot="1" x14ac:dyDescent="0.35">
      <c r="A27" s="187">
        <v>60</v>
      </c>
      <c r="B27" s="150" t="s">
        <v>371</v>
      </c>
      <c r="C27" s="118">
        <f>[2]balance!O46+[2]balance!O47+[2]balance!O48+[2]balance!O49+[2]balance!O50+[2]balance!O51+[2]balance!O55-[2]balance!L55+ [2]balance!O52+[2]balance!O53+[2]balance!O54</f>
        <v>0</v>
      </c>
      <c r="D27" s="105"/>
      <c r="E27" s="187">
        <v>235</v>
      </c>
      <c r="F27" s="115" t="s">
        <v>372</v>
      </c>
      <c r="G27" s="116">
        <f>[2]balance!P116</f>
        <v>3000000</v>
      </c>
      <c r="H27" s="105"/>
      <c r="I27" s="204">
        <v>372</v>
      </c>
      <c r="J27" s="133" t="s">
        <v>373</v>
      </c>
      <c r="K27" s="118"/>
    </row>
    <row r="28" spans="1:11" ht="16.2" thickBot="1" x14ac:dyDescent="0.35">
      <c r="A28" s="189">
        <v>65</v>
      </c>
      <c r="B28" s="162" t="s">
        <v>374</v>
      </c>
      <c r="C28" s="153">
        <f>SUM(C2,C3,C9,C15,C18,C19,C25,C26,C27)</f>
        <v>24808235.269921981</v>
      </c>
      <c r="D28" s="105"/>
      <c r="E28" s="187">
        <v>240</v>
      </c>
      <c r="F28" s="115" t="s">
        <v>375</v>
      </c>
      <c r="G28" s="116"/>
      <c r="H28" s="105"/>
      <c r="I28" s="216">
        <v>380</v>
      </c>
      <c r="J28" s="163" t="s">
        <v>376</v>
      </c>
      <c r="K28" s="153">
        <f>SUM(K24:K25)</f>
        <v>5862826.5497002844</v>
      </c>
    </row>
    <row r="29" spans="1:11" ht="16.2" thickBot="1" x14ac:dyDescent="0.35">
      <c r="A29" s="190"/>
      <c r="B29" s="164"/>
      <c r="C29" s="159"/>
      <c r="D29" s="105"/>
      <c r="E29" s="187">
        <v>245</v>
      </c>
      <c r="F29" s="115" t="s">
        <v>377</v>
      </c>
      <c r="G29" s="116"/>
      <c r="H29" s="105"/>
      <c r="I29" s="207">
        <v>385</v>
      </c>
      <c r="J29" s="127" t="s">
        <v>378</v>
      </c>
      <c r="K29" s="125">
        <f>[2]balance!Q164</f>
        <v>0</v>
      </c>
    </row>
    <row r="30" spans="1:11" ht="16.2" thickBot="1" x14ac:dyDescent="0.35">
      <c r="A30" s="188">
        <v>70</v>
      </c>
      <c r="B30" s="137" t="s">
        <v>379</v>
      </c>
      <c r="C30" s="122">
        <f>SUM(C31:C36)</f>
        <v>0</v>
      </c>
      <c r="D30" s="105"/>
      <c r="E30" s="187">
        <v>250</v>
      </c>
      <c r="F30" s="115" t="s">
        <v>380</v>
      </c>
      <c r="G30" s="116">
        <f>[2]balance!N120+[2]balance!N121+[2]balance!N123</f>
        <v>0</v>
      </c>
      <c r="H30" s="105"/>
      <c r="I30" s="204">
        <v>387</v>
      </c>
      <c r="J30" s="133" t="s">
        <v>381</v>
      </c>
      <c r="K30" s="118"/>
    </row>
    <row r="31" spans="1:11" ht="18.600000000000001" thickBot="1" x14ac:dyDescent="0.4">
      <c r="A31" s="191">
        <v>71</v>
      </c>
      <c r="B31" s="165" t="s">
        <v>382</v>
      </c>
      <c r="C31" s="125">
        <f>[2]balance!M57+[2]balance!M58+[2]balance!M59+[2]balance!M61+[2]balance!M62</f>
        <v>0</v>
      </c>
      <c r="D31" s="105"/>
      <c r="E31" s="187">
        <v>255</v>
      </c>
      <c r="F31" s="115" t="s">
        <v>383</v>
      </c>
      <c r="G31" s="116"/>
      <c r="H31" s="105"/>
      <c r="I31" s="217">
        <v>400</v>
      </c>
      <c r="J31" s="152" t="s">
        <v>384</v>
      </c>
      <c r="K31" s="166">
        <f>K28-K29-K30</f>
        <v>5862826.5497002844</v>
      </c>
    </row>
    <row r="32" spans="1:11" ht="15.6" x14ac:dyDescent="0.3">
      <c r="A32" s="187">
        <v>72</v>
      </c>
      <c r="B32" s="150" t="s">
        <v>385</v>
      </c>
      <c r="C32" s="116"/>
      <c r="D32" s="105"/>
      <c r="E32" s="187">
        <v>260</v>
      </c>
      <c r="F32" s="115" t="s">
        <v>386</v>
      </c>
      <c r="G32" s="116"/>
      <c r="H32" s="105"/>
      <c r="I32" s="201"/>
      <c r="J32" s="105"/>
      <c r="K32" s="107"/>
    </row>
    <row r="33" spans="1:11" ht="15.6" x14ac:dyDescent="0.3">
      <c r="A33" s="187">
        <v>73</v>
      </c>
      <c r="B33" s="150" t="s">
        <v>387</v>
      </c>
      <c r="C33" s="116"/>
      <c r="D33" s="105"/>
      <c r="E33" s="187">
        <v>265</v>
      </c>
      <c r="F33" s="115" t="s">
        <v>388</v>
      </c>
      <c r="G33" s="116">
        <f>[2]balance!P124</f>
        <v>16115566</v>
      </c>
      <c r="H33" s="105"/>
      <c r="I33" s="201"/>
      <c r="J33" s="105"/>
      <c r="K33" s="107" t="s">
        <v>389</v>
      </c>
    </row>
    <row r="34" spans="1:11" ht="15.6" x14ac:dyDescent="0.3">
      <c r="A34" s="187">
        <v>74</v>
      </c>
      <c r="B34" s="150" t="s">
        <v>390</v>
      </c>
      <c r="C34" s="116">
        <f>[2]balance!O60</f>
        <v>0</v>
      </c>
      <c r="D34" s="105"/>
      <c r="E34" s="187">
        <v>270</v>
      </c>
      <c r="F34" s="115" t="s">
        <v>391</v>
      </c>
      <c r="G34" s="167">
        <f>K31</f>
        <v>5862826.5497002844</v>
      </c>
      <c r="H34" s="105"/>
      <c r="I34" s="201"/>
      <c r="J34" s="105"/>
      <c r="K34" s="107"/>
    </row>
    <row r="35" spans="1:11" ht="15.6" x14ac:dyDescent="0.3">
      <c r="A35" s="187">
        <v>75</v>
      </c>
      <c r="B35" s="150" t="s">
        <v>392</v>
      </c>
      <c r="C35" s="116"/>
      <c r="D35" s="105"/>
      <c r="E35" s="187">
        <v>275</v>
      </c>
      <c r="F35" s="115" t="s">
        <v>393</v>
      </c>
      <c r="G35" s="116">
        <f>-[2]balance!O120-[2]balance!O121</f>
        <v>0</v>
      </c>
      <c r="H35" s="105"/>
      <c r="I35" s="201"/>
      <c r="J35" s="105"/>
      <c r="K35" s="107"/>
    </row>
    <row r="36" spans="1:11" ht="15.6" x14ac:dyDescent="0.3">
      <c r="A36" s="187">
        <v>80</v>
      </c>
      <c r="B36" s="150" t="s">
        <v>394</v>
      </c>
      <c r="C36" s="116"/>
      <c r="D36" s="105"/>
      <c r="E36" s="187">
        <v>280</v>
      </c>
      <c r="F36" s="115" t="s">
        <v>395</v>
      </c>
      <c r="G36" s="116">
        <f>[2]balance!M126</f>
        <v>9000000</v>
      </c>
      <c r="H36" s="105"/>
      <c r="I36" s="201"/>
      <c r="J36" s="105"/>
      <c r="K36" s="107"/>
    </row>
    <row r="37" spans="1:11" ht="16.2" thickBot="1" x14ac:dyDescent="0.35">
      <c r="A37" s="187">
        <v>85</v>
      </c>
      <c r="B37" s="150" t="s">
        <v>396</v>
      </c>
      <c r="C37" s="116">
        <f>[2]balance!P62</f>
        <v>0</v>
      </c>
      <c r="D37" s="105"/>
      <c r="E37" s="187">
        <v>285</v>
      </c>
      <c r="F37" s="115" t="s">
        <v>397</v>
      </c>
      <c r="G37" s="116">
        <f>[2]balance!O128</f>
        <v>0</v>
      </c>
      <c r="H37" s="105"/>
      <c r="I37" s="201"/>
      <c r="J37" s="107"/>
      <c r="K37" s="105"/>
    </row>
    <row r="38" spans="1:11" ht="16.2" thickBot="1" x14ac:dyDescent="0.35">
      <c r="A38" s="187">
        <v>90</v>
      </c>
      <c r="B38" s="150" t="s">
        <v>398</v>
      </c>
      <c r="C38" s="118"/>
      <c r="D38" s="105"/>
      <c r="E38" s="189">
        <v>290</v>
      </c>
      <c r="F38" s="152" t="s">
        <v>399</v>
      </c>
      <c r="G38" s="153">
        <f>G26+G27-G28+G29+G30+G31+G32+G33+G34+G35-G36-G37</f>
        <v>15978392.549700283</v>
      </c>
      <c r="H38" s="105"/>
      <c r="I38" s="201"/>
      <c r="J38" s="107"/>
      <c r="K38" s="105"/>
    </row>
    <row r="39" spans="1:11" ht="18.600000000000001" thickBot="1" x14ac:dyDescent="0.4">
      <c r="A39" s="188">
        <v>95</v>
      </c>
      <c r="B39" s="137" t="s">
        <v>400</v>
      </c>
      <c r="C39" s="122">
        <f>SUM(C40:C41)</f>
        <v>0</v>
      </c>
      <c r="D39" s="105"/>
      <c r="E39" s="199"/>
      <c r="F39" s="168" t="s">
        <v>401</v>
      </c>
      <c r="G39" s="169">
        <f>SUM(G38,G24)</f>
        <v>28965782.30064217</v>
      </c>
      <c r="H39" s="105"/>
      <c r="I39" s="201"/>
      <c r="J39" s="107"/>
      <c r="K39" s="105"/>
    </row>
    <row r="40" spans="1:11" ht="18" x14ac:dyDescent="0.35">
      <c r="A40" s="191">
        <v>96</v>
      </c>
      <c r="B40" s="165" t="s">
        <v>324</v>
      </c>
      <c r="C40" s="125"/>
      <c r="D40" s="105"/>
      <c r="E40" s="200"/>
      <c r="F40" s="170" t="s">
        <v>402</v>
      </c>
      <c r="G40" s="171">
        <f>C54-G39</f>
        <v>-3.0720189213752747E-2</v>
      </c>
      <c r="H40" s="105"/>
      <c r="I40" s="201"/>
      <c r="J40" s="107"/>
      <c r="K40" s="105"/>
    </row>
    <row r="41" spans="1:11" ht="15.6" x14ac:dyDescent="0.3">
      <c r="A41" s="187">
        <v>97</v>
      </c>
      <c r="B41" s="150" t="s">
        <v>403</v>
      </c>
      <c r="C41" s="116"/>
      <c r="D41" s="105"/>
      <c r="E41" s="175"/>
      <c r="F41" s="107"/>
      <c r="G41" s="172"/>
      <c r="H41" s="105"/>
      <c r="I41" s="201"/>
      <c r="J41" s="107"/>
      <c r="K41" s="105"/>
    </row>
    <row r="42" spans="1:11" ht="16.2" thickBot="1" x14ac:dyDescent="0.35">
      <c r="A42" s="187">
        <v>100</v>
      </c>
      <c r="B42" s="150" t="s">
        <v>404</v>
      </c>
      <c r="C42" s="118"/>
      <c r="D42" s="105"/>
      <c r="E42" s="201"/>
      <c r="F42" s="105"/>
      <c r="G42" s="107"/>
      <c r="H42" s="105"/>
      <c r="I42" s="201"/>
      <c r="J42" s="107"/>
      <c r="K42" s="105"/>
    </row>
    <row r="43" spans="1:11" ht="16.2" thickBot="1" x14ac:dyDescent="0.35">
      <c r="A43" s="188">
        <v>105</v>
      </c>
      <c r="B43" s="137" t="s">
        <v>405</v>
      </c>
      <c r="C43" s="122">
        <f>SUM(C44:C45)</f>
        <v>0</v>
      </c>
      <c r="D43" s="105"/>
      <c r="E43" s="201"/>
      <c r="F43" s="105"/>
      <c r="G43" s="107"/>
      <c r="H43" s="105"/>
      <c r="I43" s="201"/>
      <c r="J43" s="107"/>
      <c r="K43" s="105"/>
    </row>
    <row r="44" spans="1:11" ht="15.6" x14ac:dyDescent="0.3">
      <c r="A44" s="187">
        <v>106</v>
      </c>
      <c r="B44" s="150" t="s">
        <v>406</v>
      </c>
      <c r="C44" s="125"/>
      <c r="D44" s="105"/>
      <c r="E44" s="201"/>
      <c r="F44" s="105"/>
      <c r="G44" s="107"/>
      <c r="H44" s="105"/>
      <c r="I44" s="201"/>
      <c r="J44" s="107"/>
      <c r="K44" s="105"/>
    </row>
    <row r="45" spans="1:11" ht="16.2" thickBot="1" x14ac:dyDescent="0.35">
      <c r="A45" s="187">
        <v>107</v>
      </c>
      <c r="B45" s="150" t="s">
        <v>407</v>
      </c>
      <c r="C45" s="118"/>
      <c r="D45" s="105"/>
      <c r="E45" s="201"/>
      <c r="F45" s="105"/>
      <c r="G45" s="107"/>
      <c r="H45" s="105"/>
      <c r="I45" s="175"/>
      <c r="J45" s="105"/>
      <c r="K45" s="105"/>
    </row>
    <row r="46" spans="1:11" ht="16.2" thickBot="1" x14ac:dyDescent="0.35">
      <c r="A46" s="188">
        <v>110</v>
      </c>
      <c r="B46" s="137" t="s">
        <v>408</v>
      </c>
      <c r="C46" s="122">
        <f>SUM(C47:C48)</f>
        <v>0</v>
      </c>
      <c r="D46" s="105"/>
      <c r="E46" s="201"/>
      <c r="F46" s="105"/>
      <c r="G46" s="107"/>
      <c r="H46" s="105"/>
      <c r="I46" s="175"/>
      <c r="J46" s="105"/>
      <c r="K46" s="105"/>
    </row>
    <row r="47" spans="1:11" ht="15.6" x14ac:dyDescent="0.3">
      <c r="A47" s="187">
        <v>111</v>
      </c>
      <c r="B47" s="150" t="s">
        <v>409</v>
      </c>
      <c r="C47" s="125"/>
      <c r="D47" s="105"/>
      <c r="E47" s="201"/>
      <c r="F47" s="105"/>
      <c r="G47" s="107"/>
      <c r="H47" s="105"/>
      <c r="I47" s="175"/>
      <c r="J47" s="105"/>
      <c r="K47" s="105"/>
    </row>
    <row r="48" spans="1:11" ht="16.2" thickBot="1" x14ac:dyDescent="0.35">
      <c r="A48" s="187">
        <v>112</v>
      </c>
      <c r="B48" s="150" t="s">
        <v>410</v>
      </c>
      <c r="C48" s="118"/>
      <c r="D48" s="105"/>
      <c r="E48" s="201"/>
      <c r="F48" s="105"/>
      <c r="G48" s="107"/>
      <c r="H48" s="105"/>
      <c r="I48" s="175"/>
      <c r="J48" s="105"/>
      <c r="K48" s="105"/>
    </row>
    <row r="49" spans="1:11" ht="16.2" thickBot="1" x14ac:dyDescent="0.35">
      <c r="A49" s="188">
        <v>120</v>
      </c>
      <c r="B49" s="137" t="s">
        <v>411</v>
      </c>
      <c r="C49" s="122">
        <f>SUM(C50:C52)</f>
        <v>4157547</v>
      </c>
      <c r="D49" s="105"/>
      <c r="E49" s="201"/>
      <c r="F49" s="105"/>
      <c r="G49" s="107"/>
      <c r="H49" s="105"/>
      <c r="I49" s="175"/>
      <c r="J49" s="105"/>
      <c r="K49" s="105"/>
    </row>
    <row r="50" spans="1:11" ht="15.6" x14ac:dyDescent="0.3">
      <c r="A50" s="187">
        <v>121</v>
      </c>
      <c r="B50" s="150" t="s">
        <v>412</v>
      </c>
      <c r="C50" s="125"/>
      <c r="D50" s="105"/>
      <c r="E50" s="201"/>
      <c r="F50" s="105"/>
      <c r="G50" s="107"/>
      <c r="H50" s="105"/>
      <c r="I50" s="175"/>
      <c r="J50" s="105"/>
      <c r="K50" s="105"/>
    </row>
    <row r="51" spans="1:11" ht="15.6" x14ac:dyDescent="0.3">
      <c r="A51" s="187">
        <v>122</v>
      </c>
      <c r="B51" s="150" t="s">
        <v>413</v>
      </c>
      <c r="C51" s="116"/>
      <c r="D51" s="105"/>
      <c r="E51" s="202"/>
      <c r="F51" s="105"/>
      <c r="G51" s="107"/>
      <c r="H51" s="107"/>
      <c r="I51" s="175"/>
      <c r="J51" s="105"/>
      <c r="K51" s="105"/>
    </row>
    <row r="52" spans="1:11" ht="16.2" thickBot="1" x14ac:dyDescent="0.35">
      <c r="A52" s="187">
        <v>123</v>
      </c>
      <c r="B52" s="150" t="s">
        <v>414</v>
      </c>
      <c r="C52" s="118">
        <f>[2]balance!O73</f>
        <v>4157547</v>
      </c>
      <c r="D52" s="105"/>
      <c r="E52" s="202"/>
      <c r="F52" s="105"/>
      <c r="G52" s="107"/>
      <c r="H52" s="107"/>
      <c r="I52" s="175"/>
      <c r="J52" s="105"/>
      <c r="K52" s="105"/>
    </row>
    <row r="53" spans="1:11" ht="16.2" thickBot="1" x14ac:dyDescent="0.35">
      <c r="A53" s="189">
        <v>125</v>
      </c>
      <c r="B53" s="162" t="s">
        <v>415</v>
      </c>
      <c r="C53" s="153">
        <f>+C30-C37-C38+C39+C43+C46+C49</f>
        <v>4157547</v>
      </c>
      <c r="D53" s="105"/>
      <c r="E53" s="202"/>
      <c r="F53" s="105"/>
      <c r="G53" s="107"/>
      <c r="H53" s="107"/>
      <c r="I53" s="175"/>
      <c r="J53" s="105"/>
      <c r="K53" s="105"/>
    </row>
    <row r="54" spans="1:11" ht="18.600000000000001" thickBot="1" x14ac:dyDescent="0.4">
      <c r="A54" s="192"/>
      <c r="B54" s="173" t="s">
        <v>416</v>
      </c>
      <c r="C54" s="174">
        <f>SUM(C53,C28)+C42</f>
        <v>28965782.269921981</v>
      </c>
      <c r="D54" s="105"/>
      <c r="E54" s="201"/>
      <c r="F54" s="105"/>
      <c r="G54" s="107"/>
      <c r="H54" s="107"/>
      <c r="I54" s="201"/>
      <c r="J54" s="105"/>
      <c r="K54" s="105"/>
    </row>
  </sheetData>
  <conditionalFormatting sqref="G34">
    <cfRule type="cellIs" dxfId="5" priority="4" stopIfTrue="1" operator="greaterThan">
      <formula>0</formula>
    </cfRule>
    <cfRule type="cellIs" dxfId="4" priority="5" stopIfTrue="1" operator="lessThan">
      <formula>0</formula>
    </cfRule>
    <cfRule type="cellIs" dxfId="3" priority="6" stopIfTrue="1" operator="equal">
      <formula>0</formula>
    </cfRule>
  </conditionalFormatting>
  <conditionalFormatting sqref="K31">
    <cfRule type="cellIs" dxfId="2" priority="1" stopIfTrue="1" operator="greaterThan">
      <formula>0</formula>
    </cfRule>
    <cfRule type="cellIs" dxfId="1" priority="2" stopIfTrue="1" operator="lessThan">
      <formula>0</formula>
    </cfRule>
    <cfRule type="cellIs" dxfId="0" priority="3" stopIfTrue="1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2025-07-02T18:51:06Z</dcterms:created>
  <dcterms:modified xsi:type="dcterms:W3CDTF">2025-07-03T23:46:15Z</dcterms:modified>
</cp:coreProperties>
</file>