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99b2afa76d7dee7/BORANGORA/Django-Boran/Otros/"/>
    </mc:Choice>
  </mc:AlternateContent>
  <xr:revisionPtr revIDLastSave="1" documentId="8_{D4EE214B-92C0-4D61-B1F0-361D056997B5}" xr6:coauthVersionLast="47" xr6:coauthVersionMax="47" xr10:uidLastSave="{84FB3437-C48F-4A2B-8DF6-F70D36923A31}"/>
  <bookViews>
    <workbookView xWindow="-110" yWindow="-110" windowWidth="17140" windowHeight="10780" xr2:uid="{5E1EDF4F-0433-4E1F-B48C-776F4A18E9F0}"/>
  </bookViews>
  <sheets>
    <sheet name="Balance Clasificado" sheetId="1" r:id="rId1"/>
    <sheet name="Resumen Balance" sheetId="2" r:id="rId2"/>
  </sheets>
  <externalReferences>
    <externalReference r:id="rId3"/>
  </externalReferenc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1" l="1"/>
  <c r="E61" i="1"/>
  <c r="G60" i="1"/>
  <c r="G59" i="1"/>
  <c r="G58" i="1"/>
  <c r="G57" i="1"/>
  <c r="H57" i="1" s="1"/>
  <c r="E57" i="1"/>
  <c r="G56" i="1"/>
  <c r="E56" i="1"/>
  <c r="G55" i="1"/>
  <c r="E55" i="1"/>
  <c r="G54" i="1"/>
  <c r="E54" i="1"/>
  <c r="G53" i="1"/>
  <c r="G61" i="1" s="1"/>
  <c r="H61" i="1" s="1"/>
  <c r="E53" i="1"/>
  <c r="H40" i="1"/>
  <c r="H39" i="1"/>
  <c r="H38" i="1"/>
  <c r="H37" i="1"/>
  <c r="H36" i="1"/>
  <c r="H42" i="1" s="1"/>
  <c r="H29" i="1"/>
  <c r="H30" i="1" s="1"/>
  <c r="D29" i="1"/>
  <c r="D30" i="1" s="1"/>
  <c r="D23" i="1"/>
  <c r="D45" i="1" s="1"/>
  <c r="D21" i="1"/>
  <c r="D20" i="1"/>
  <c r="D19" i="1"/>
  <c r="D18" i="1"/>
  <c r="D17" i="1"/>
  <c r="H16" i="1"/>
  <c r="D16" i="1"/>
  <c r="H15" i="1"/>
  <c r="D15" i="1"/>
  <c r="H14" i="1"/>
  <c r="D14" i="1"/>
  <c r="H13" i="1"/>
  <c r="H23" i="1" s="1"/>
  <c r="H7" i="1"/>
  <c r="G52" i="1" s="1"/>
  <c r="H1" i="1"/>
  <c r="H45" i="1" l="1"/>
  <c r="H55" i="1"/>
  <c r="H54" i="1"/>
  <c r="H53" i="1"/>
  <c r="H56" i="1"/>
</calcChain>
</file>

<file path=xl/sharedStrings.xml><?xml version="1.0" encoding="utf-8"?>
<sst xmlns="http://schemas.openxmlformats.org/spreadsheetml/2006/main" count="185" uniqueCount="179">
  <si>
    <t>Empresa: BORANGORA SpA</t>
  </si>
  <si>
    <t>Fecha de emisión</t>
  </si>
  <si>
    <t>Rut: 76.726.031-8</t>
  </si>
  <si>
    <t xml:space="preserve">Página </t>
  </si>
  <si>
    <t xml:space="preserve"> 1/1</t>
  </si>
  <si>
    <t>Giro: VENTA ARTÍCULOS DE VESTUARIO</t>
  </si>
  <si>
    <t>Dirección: PARQUE LAS GARZAS 27 CHICUREO COLINA</t>
  </si>
  <si>
    <t>PREBALANCE GENERAL</t>
  </si>
  <si>
    <t xml:space="preserve">PERÍODO  DESDE   01/01/2024  HASTA </t>
  </si>
  <si>
    <t>ACTIVOS</t>
  </si>
  <si>
    <t>PASIVOS Y PATRIMONIO</t>
  </si>
  <si>
    <t>ACTIVO CIRCULANTES</t>
  </si>
  <si>
    <t>PASIVO CIRCULANTES</t>
  </si>
  <si>
    <t>Caja y Banco</t>
  </si>
  <si>
    <t>Cuentas x pagar del Giro a Corto Plazo</t>
  </si>
  <si>
    <t>Documentos Por Cobrar Del Giro</t>
  </si>
  <si>
    <t>Impuestos Por Pagar</t>
  </si>
  <si>
    <t>Deudores Por Venta</t>
  </si>
  <si>
    <t>Otros Acreedores Corto Plazo</t>
  </si>
  <si>
    <t>Materias Primas y Materiales</t>
  </si>
  <si>
    <t>Cuentas por pagar relacionadas</t>
  </si>
  <si>
    <t>Productos Terminados</t>
  </si>
  <si>
    <t>Otras Existencias</t>
  </si>
  <si>
    <t>Impuestos Por Recuperar</t>
  </si>
  <si>
    <t>Gastos Anticipados</t>
  </si>
  <si>
    <t>Equipos y Accesorios</t>
  </si>
  <si>
    <t>Total Activo Circulante</t>
  </si>
  <si>
    <t>Total Pasivo Circulante</t>
  </si>
  <si>
    <t>ACTIVO FIJO</t>
  </si>
  <si>
    <t>PASIVO LARGO PLAZO</t>
  </si>
  <si>
    <t>Vehículos</t>
  </si>
  <si>
    <t>Total Activo Fijo</t>
  </si>
  <si>
    <t>Total Pasivo Largo Plazo</t>
  </si>
  <si>
    <t>OTROS ACTIVOS</t>
  </si>
  <si>
    <t>PATRIMONIO</t>
  </si>
  <si>
    <t>Capital</t>
  </si>
  <si>
    <t>Reservas Varias</t>
  </si>
  <si>
    <t>Utilidad Neta Retenida</t>
  </si>
  <si>
    <t>Utilidad Neta Del Periodo</t>
  </si>
  <si>
    <t>Castigos (Menos)</t>
  </si>
  <si>
    <t>Dividendos</t>
  </si>
  <si>
    <t>Total Otros Activos</t>
  </si>
  <si>
    <t>Total Patrimonio</t>
  </si>
  <si>
    <t>TOTAL ACTIVOS</t>
  </si>
  <si>
    <t>TOTAL PASIVOS Y PATRIMONIO</t>
  </si>
  <si>
    <t>ESTADO DE RESULTADO</t>
  </si>
  <si>
    <t>Ventas</t>
  </si>
  <si>
    <t>Costo de venta</t>
  </si>
  <si>
    <t>Gastos de Comercialización</t>
  </si>
  <si>
    <t>Publicidad y Marketing</t>
  </si>
  <si>
    <t>Gastos de Administración</t>
  </si>
  <si>
    <t>Depreciación</t>
  </si>
  <si>
    <t>Ingresos Fuera de Explotación</t>
  </si>
  <si>
    <t>Egresos fuera de Explotación</t>
  </si>
  <si>
    <t>Utilidad antes de Impuestos</t>
  </si>
  <si>
    <t>Contador</t>
  </si>
  <si>
    <t>Representante legal</t>
  </si>
  <si>
    <t>Linea</t>
  </si>
  <si>
    <t>ACTIVO</t>
  </si>
  <si>
    <t>Monto</t>
  </si>
  <si>
    <t>PASIVO</t>
  </si>
  <si>
    <t>RESULTADO</t>
  </si>
  <si>
    <t>caja y banco</t>
  </si>
  <si>
    <t>deuda financiera CP</t>
  </si>
  <si>
    <t>ventas</t>
  </si>
  <si>
    <t>depósitos a plazo</t>
  </si>
  <si>
    <t>deudas LP con vencimiento en C</t>
  </si>
  <si>
    <t>costo de venta</t>
  </si>
  <si>
    <t>acciones</t>
  </si>
  <si>
    <t>acreedores por leasing CP</t>
  </si>
  <si>
    <t>margen bruto</t>
  </si>
  <si>
    <t>fondos mutuos</t>
  </si>
  <si>
    <t>cxp del giro a corto plazo</t>
  </si>
  <si>
    <t>gastos comercialización</t>
  </si>
  <si>
    <t>pactos</t>
  </si>
  <si>
    <t>deuda empr. afiliada a cp oper.</t>
  </si>
  <si>
    <t>gastos de públicidad marketing</t>
  </si>
  <si>
    <t>otros valores negociables</t>
  </si>
  <si>
    <t>deuda empr afiliada a cp no op.</t>
  </si>
  <si>
    <t>gastos arriendos comisiones tiendas</t>
  </si>
  <si>
    <t>Suma valores negociables</t>
  </si>
  <si>
    <t>ingresos percibidos x adelantado</t>
  </si>
  <si>
    <t>gastos de envíos adicionales</t>
  </si>
  <si>
    <t>documentos por cobrar del giro</t>
  </si>
  <si>
    <t>provisiones corto plazo</t>
  </si>
  <si>
    <t>gastos de administración</t>
  </si>
  <si>
    <t>deudores por venta</t>
  </si>
  <si>
    <t>impuestos por pagar</t>
  </si>
  <si>
    <t>resultado operacional bruto</t>
  </si>
  <si>
    <t>documentos en protesto</t>
  </si>
  <si>
    <t>cuenta corriente de socios</t>
  </si>
  <si>
    <t>gastos financieros</t>
  </si>
  <si>
    <t>otras ctas. por cobrar del giro</t>
  </si>
  <si>
    <t>dividendos por pagar</t>
  </si>
  <si>
    <t>depreciación del ejercicio (-)</t>
  </si>
  <si>
    <t>provisión incobrables (menos)</t>
  </si>
  <si>
    <t>otros acreedores corto plazo</t>
  </si>
  <si>
    <t>resultado oper. neto</t>
  </si>
  <si>
    <t>Suma cuentas por cobrar</t>
  </si>
  <si>
    <t>total pasivo circulante</t>
  </si>
  <si>
    <t>ingresos fuera de explotación</t>
  </si>
  <si>
    <t>cxc a empr. afiliadas cp op</t>
  </si>
  <si>
    <t>deuda financiera lp</t>
  </si>
  <si>
    <t>utilidad inv. emp. relac.</t>
  </si>
  <si>
    <t>cxc a empr. afiliadas cp no op</t>
  </si>
  <si>
    <t>acreedores por leasing lp</t>
  </si>
  <si>
    <t>amort. mayor valor de inversiones</t>
  </si>
  <si>
    <t>varios deudores (trabajadores)</t>
  </si>
  <si>
    <t>cxp del giro a largo plazo</t>
  </si>
  <si>
    <t>ingresos financieros</t>
  </si>
  <si>
    <t>Suma cxc a emp. afil cp</t>
  </si>
  <si>
    <t>cuenta corriente de socios largo plazo</t>
  </si>
  <si>
    <t>otros ingresos fuera de explotación</t>
  </si>
  <si>
    <t>materias primas y materiales</t>
  </si>
  <si>
    <t>provisiones largo plazo</t>
  </si>
  <si>
    <t>egresos fuera de explotación</t>
  </si>
  <si>
    <t>productos en proceso</t>
  </si>
  <si>
    <t>otros acreed. lp</t>
  </si>
  <si>
    <t>pérdida ajuste inventario</t>
  </si>
  <si>
    <t>productos terminados</t>
  </si>
  <si>
    <t>total pasivo de largo plazo</t>
  </si>
  <si>
    <t>amort. menor valor de inversiones</t>
  </si>
  <si>
    <t>importaciones en transito</t>
  </si>
  <si>
    <t>total pasivo exigible</t>
  </si>
  <si>
    <t>otros egresos fuera de explotación</t>
  </si>
  <si>
    <t>otras existencias</t>
  </si>
  <si>
    <t>interés minoritario</t>
  </si>
  <si>
    <t>amort. intangibles</t>
  </si>
  <si>
    <t>Suma existencias</t>
  </si>
  <si>
    <t>capital</t>
  </si>
  <si>
    <t>resultado antes corr. monet</t>
  </si>
  <si>
    <t>impuestos por recuperar</t>
  </si>
  <si>
    <t>cuenta obligada socios (menos)</t>
  </si>
  <si>
    <t>ajuste monetario</t>
  </si>
  <si>
    <t>gastos anticipados</t>
  </si>
  <si>
    <t>reservas de revalorización</t>
  </si>
  <si>
    <t>correción monetaria</t>
  </si>
  <si>
    <t>otros activos circulantes</t>
  </si>
  <si>
    <t>reservas varias</t>
  </si>
  <si>
    <t>diferencia de cambio</t>
  </si>
  <si>
    <t>total activo circulante</t>
  </si>
  <si>
    <t>reservas futuros dividendos</t>
  </si>
  <si>
    <t>utilidad antes de impuestos</t>
  </si>
  <si>
    <t>maquinarias</t>
  </si>
  <si>
    <t>fluc. val. y/o mayor valor inv.</t>
  </si>
  <si>
    <t>impuesto a la renta (-)</t>
  </si>
  <si>
    <t>terrenos</t>
  </si>
  <si>
    <t>utilidad neta retenida</t>
  </si>
  <si>
    <t>interés minoritario (-)</t>
  </si>
  <si>
    <t>edificios</t>
  </si>
  <si>
    <t>utilidad neta del periodo</t>
  </si>
  <si>
    <t>UTILIDAD NETA DEL PERIODO</t>
  </si>
  <si>
    <t>otro activo fijo</t>
  </si>
  <si>
    <t>Ajustes</t>
  </si>
  <si>
    <t>activos en leasing</t>
  </si>
  <si>
    <t>divid. pagados y/o retiro socios (menos)</t>
  </si>
  <si>
    <t>Suma activo fijo</t>
  </si>
  <si>
    <t>castigos (menos)</t>
  </si>
  <si>
    <t>retas. técnica del act. fijo</t>
  </si>
  <si>
    <t>total patrimonio neto</t>
  </si>
  <si>
    <t>depreciacion acumulada (menos)</t>
  </si>
  <si>
    <t>TOTAL PASIVOS</t>
  </si>
  <si>
    <t>depreciacion del ejercicio (menos)</t>
  </si>
  <si>
    <t>Cuadre</t>
  </si>
  <si>
    <t>provision incobrable (menos)</t>
  </si>
  <si>
    <t>cxc a emp. afil lp</t>
  </si>
  <si>
    <t>Suma cxc a largo plazo</t>
  </si>
  <si>
    <t>otros activos largo plazo operativos</t>
  </si>
  <si>
    <t>otros activos largo plazo no operativos</t>
  </si>
  <si>
    <t>Suma otros activos largo plazo</t>
  </si>
  <si>
    <t>inversiones en comp. afiliadas</t>
  </si>
  <si>
    <t>inversiones en otras sociedades</t>
  </si>
  <si>
    <t>Suma inversiones en sociedades</t>
  </si>
  <si>
    <t>menor valor de inversiones</t>
  </si>
  <si>
    <t>mayor valor de inversiones</t>
  </si>
  <si>
    <t>inversión inicial</t>
  </si>
  <si>
    <t>Suma activos intangibles</t>
  </si>
  <si>
    <t>total activos fijos y de lp</t>
  </si>
  <si>
    <t>TOTAL DE ACTIVOS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</si>
</sst>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-* #,##0_-;\-* #,##0_-;_-* &quot;-&quot;_-;_-@_-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1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left"/>
    </xf>
    <xf numFmtId="0" fontId="0" fillId="0" borderId="0" xfId="0" applyAlignment="1">
      <alignment horizontal="right"/>
    </xf>
    <xf numFmtId="16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  <xf numFmtId="0" fontId="0" fillId="0" borderId="1" xfId="0" applyBorder="1"/>
    <xf numFmtId="0" fontId="5" fillId="0" borderId="2" xfId="0" applyFont="1" applyBorder="1"/>
    <xf numFmtId="14" fontId="5" fillId="0" borderId="3" xfId="0" applyNumberFormat="1" applyFont="1" applyBorder="1" applyAlignment="1">
      <alignment horizontal="left"/>
    </xf>
    <xf numFmtId="0" fontId="6" fillId="0" borderId="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7" xfId="0" applyFont="1" applyBorder="1" applyAlignment="1">
      <alignment horizontal="left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9" fillId="0" borderId="0" xfId="0" applyFont="1"/>
    <xf numFmtId="41" fontId="9" fillId="0" borderId="0" xfId="1" applyFont="1" applyAlignment="1">
      <alignment vertical="center"/>
    </xf>
    <xf numFmtId="0" fontId="9" fillId="0" borderId="0" xfId="0" applyFont="1" applyAlignment="1">
      <alignment horizontal="left"/>
    </xf>
    <xf numFmtId="41" fontId="9" fillId="0" borderId="0" xfId="1" applyFont="1" applyAlignment="1">
      <alignment horizontal="right"/>
    </xf>
    <xf numFmtId="41" fontId="9" fillId="0" borderId="0" xfId="1" applyFont="1"/>
    <xf numFmtId="41" fontId="8" fillId="0" borderId="8" xfId="1" applyFont="1" applyBorder="1"/>
    <xf numFmtId="164" fontId="8" fillId="0" borderId="9" xfId="0" applyNumberFormat="1" applyFont="1" applyBorder="1"/>
    <xf numFmtId="41" fontId="0" fillId="0" borderId="0" xfId="1" applyFont="1" applyBorder="1"/>
    <xf numFmtId="3" fontId="0" fillId="0" borderId="0" xfId="0" applyNumberFormat="1"/>
    <xf numFmtId="3" fontId="9" fillId="0" borderId="0" xfId="0" applyNumberFormat="1" applyFont="1"/>
    <xf numFmtId="3" fontId="9" fillId="0" borderId="9" xfId="0" applyNumberFormat="1" applyFont="1" applyBorder="1"/>
    <xf numFmtId="3" fontId="8" fillId="0" borderId="9" xfId="0" applyNumberFormat="1" applyFont="1" applyBorder="1"/>
    <xf numFmtId="0" fontId="9" fillId="0" borderId="9" xfId="0" applyFont="1" applyBorder="1"/>
    <xf numFmtId="164" fontId="9" fillId="0" borderId="9" xfId="0" applyNumberFormat="1" applyFont="1" applyBorder="1"/>
    <xf numFmtId="164" fontId="0" fillId="0" borderId="0" xfId="0" applyNumberFormat="1"/>
    <xf numFmtId="0" fontId="8" fillId="0" borderId="1" xfId="0" applyFont="1" applyBorder="1" applyAlignment="1">
      <alignment horizontal="center"/>
    </xf>
    <xf numFmtId="3" fontId="8" fillId="0" borderId="2" xfId="0" applyNumberFormat="1" applyFont="1" applyBorder="1"/>
    <xf numFmtId="3" fontId="8" fillId="0" borderId="3" xfId="0" applyNumberFormat="1" applyFont="1" applyBorder="1"/>
    <xf numFmtId="164" fontId="8" fillId="0" borderId="2" xfId="0" applyNumberFormat="1" applyFont="1" applyBorder="1"/>
    <xf numFmtId="164" fontId="8" fillId="0" borderId="3" xfId="0" applyNumberFormat="1" applyFont="1" applyBorder="1"/>
    <xf numFmtId="14" fontId="8" fillId="0" borderId="0" xfId="0" applyNumberFormat="1" applyFont="1" applyAlignment="1">
      <alignment horizontal="center"/>
    </xf>
    <xf numFmtId="41" fontId="9" fillId="0" borderId="0" xfId="1" applyFont="1" applyAlignment="1"/>
    <xf numFmtId="9" fontId="0" fillId="0" borderId="0" xfId="2" applyFont="1" applyAlignment="1">
      <alignment horizontal="left" vertical="center"/>
    </xf>
    <xf numFmtId="41" fontId="8" fillId="0" borderId="7" xfId="1" applyFont="1" applyBorder="1" applyAlignment="1"/>
    <xf numFmtId="164" fontId="0" fillId="0" borderId="0" xfId="0" applyNumberFormat="1" applyAlignment="1">
      <alignment horizontal="left"/>
    </xf>
    <xf numFmtId="41" fontId="8" fillId="0" borderId="7" xfId="1" applyFont="1" applyFill="1" applyBorder="1" applyAlignment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9" xfId="0" applyBorder="1"/>
    <xf numFmtId="0" fontId="0" fillId="0" borderId="9" xfId="0" applyBorder="1" applyAlignment="1">
      <alignment horizontal="right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</cellXfs>
  <cellStyles count="3">
    <cellStyle name="Millares [0]" xfId="1" builtinId="6"/>
    <cellStyle name="Normal" xfId="0" builtinId="0"/>
    <cellStyle name="Porcentaje" xfId="2" builtinId="5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99b2afa76d7dee7/BORANGORA/Gesti&#243;n%20Borangora%202025%20V1%20.xlsm" TargetMode="External"/><Relationship Id="rId1" Type="http://schemas.openxmlformats.org/officeDocument/2006/relationships/externalLinkPath" Target="/a99b2afa76d7dee7/BORANGORA/Gesti&#243;n%20Borangora%202025%20V1%20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"/>
      <sheetName val="Vaciado"/>
      <sheetName val="Ficha Financiera"/>
      <sheetName val="Inicio Panel"/>
      <sheetName val="Datos"/>
      <sheetName val="Balance General"/>
      <sheetName val="Balance Clasificado"/>
      <sheetName val="Ventas"/>
      <sheetName val="BodegaTiendas"/>
      <sheetName val="Distrib_Inventario"/>
      <sheetName val="Gestion mes"/>
      <sheetName val="resultado"/>
      <sheetName val="Hoja2"/>
      <sheetName val="Inventario"/>
      <sheetName val="tabla"/>
      <sheetName val="Proyeccion"/>
      <sheetName val="Insumos"/>
      <sheetName val="IVA"/>
      <sheetName val="Vta total"/>
    </sheetNames>
    <sheetDataSet>
      <sheetData sheetId="0">
        <row r="154">
          <cell r="R154">
            <v>0</v>
          </cell>
        </row>
      </sheetData>
      <sheetData sheetId="1">
        <row r="2">
          <cell r="N2">
            <v>143387572.92670274</v>
          </cell>
        </row>
        <row r="3">
          <cell r="N3">
            <v>55827429.21240031</v>
          </cell>
        </row>
        <row r="5">
          <cell r="H5">
            <v>-91819</v>
          </cell>
          <cell r="N5">
            <v>14884251.368319916</v>
          </cell>
        </row>
        <row r="6">
          <cell r="N6">
            <v>12314861</v>
          </cell>
        </row>
        <row r="7">
          <cell r="N7">
            <v>22114425</v>
          </cell>
        </row>
        <row r="8">
          <cell r="N8">
            <v>2452656</v>
          </cell>
        </row>
        <row r="9">
          <cell r="N9">
            <v>25923456</v>
          </cell>
        </row>
        <row r="10">
          <cell r="C10">
            <v>0</v>
          </cell>
        </row>
        <row r="11">
          <cell r="C11">
            <v>0</v>
          </cell>
          <cell r="H11">
            <v>8956780.469874382</v>
          </cell>
        </row>
        <row r="12">
          <cell r="H12">
            <v>6674605</v>
          </cell>
          <cell r="N12">
            <v>0</v>
          </cell>
        </row>
        <row r="14">
          <cell r="H14">
            <v>0</v>
          </cell>
        </row>
        <row r="19">
          <cell r="H19">
            <v>15939737</v>
          </cell>
          <cell r="N19">
            <v>0</v>
          </cell>
        </row>
        <row r="20">
          <cell r="C20">
            <v>6867611</v>
          </cell>
        </row>
        <row r="22">
          <cell r="C22">
            <v>9011323.7983202338</v>
          </cell>
        </row>
        <row r="24">
          <cell r="C24">
            <v>0</v>
          </cell>
        </row>
        <row r="25">
          <cell r="C25">
            <v>10437777.899883237</v>
          </cell>
        </row>
        <row r="26">
          <cell r="C26">
            <v>0</v>
          </cell>
        </row>
        <row r="27">
          <cell r="C27">
            <v>-1</v>
          </cell>
          <cell r="H27">
            <v>1000000</v>
          </cell>
        </row>
        <row r="30">
          <cell r="H30">
            <v>0</v>
          </cell>
        </row>
        <row r="33">
          <cell r="H33">
            <v>100301063</v>
          </cell>
        </row>
        <row r="34">
          <cell r="C34">
            <v>14362186</v>
          </cell>
          <cell r="H34">
            <v>9633192.3459825069</v>
          </cell>
        </row>
        <row r="35">
          <cell r="H35">
            <v>-59120763</v>
          </cell>
        </row>
        <row r="36">
          <cell r="H36">
            <v>35000000</v>
          </cell>
        </row>
        <row r="37">
          <cell r="H37">
            <v>0</v>
          </cell>
        </row>
      </sheetData>
      <sheetData sheetId="2" refreshError="1"/>
      <sheetData sheetId="3" refreshError="1"/>
      <sheetData sheetId="4">
        <row r="1">
          <cell r="H1">
            <v>45900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8A2B-FC76-47D0-A7A0-5EE75159705A}">
  <sheetPr codeName="Hoja1"/>
  <dimension ref="B1:K70"/>
  <sheetViews>
    <sheetView tabSelected="1" workbookViewId="0">
      <selection activeCell="D14" sqref="D14"/>
    </sheetView>
  </sheetViews>
  <sheetFormatPr baseColWidth="10" defaultColWidth="11.453125" defaultRowHeight="14.5" x14ac:dyDescent="0.35"/>
  <cols>
    <col min="1" max="1" width="4.36328125" customWidth="1"/>
    <col min="2" max="2" width="37.81640625" customWidth="1"/>
    <col min="3" max="3" width="12.6328125" customWidth="1"/>
    <col min="4" max="5" width="13.453125" bestFit="1" customWidth="1"/>
    <col min="6" max="6" width="38" style="7" bestFit="1" customWidth="1"/>
    <col min="7" max="7" width="16.08984375" style="7" bestFit="1" customWidth="1"/>
    <col min="8" max="8" width="15.453125" bestFit="1" customWidth="1"/>
    <col min="9" max="9" width="17" bestFit="1" customWidth="1"/>
    <col min="10" max="10" width="12.36328125" style="5" bestFit="1" customWidth="1"/>
    <col min="11" max="11" width="15.81640625" style="5" bestFit="1" customWidth="1"/>
    <col min="13" max="13" width="15.54296875" bestFit="1" customWidth="1"/>
    <col min="14" max="14" width="12.6328125" bestFit="1" customWidth="1"/>
    <col min="15" max="15" width="15.54296875" bestFit="1" customWidth="1"/>
  </cols>
  <sheetData>
    <row r="1" spans="2:8" x14ac:dyDescent="0.35">
      <c r="B1" s="1" t="s">
        <v>0</v>
      </c>
      <c r="C1" s="1"/>
      <c r="F1" s="2"/>
      <c r="G1" s="3" t="s">
        <v>1</v>
      </c>
      <c r="H1" s="4">
        <f ca="1">NOW()</f>
        <v>45947.081770833334</v>
      </c>
    </row>
    <row r="2" spans="2:8" x14ac:dyDescent="0.35">
      <c r="B2" s="1" t="s">
        <v>2</v>
      </c>
      <c r="C2" s="1"/>
      <c r="F2" s="2"/>
      <c r="G2" s="3" t="s">
        <v>3</v>
      </c>
      <c r="H2" s="6" t="s">
        <v>4</v>
      </c>
    </row>
    <row r="3" spans="2:8" x14ac:dyDescent="0.35">
      <c r="B3" s="1" t="s">
        <v>5</v>
      </c>
      <c r="C3" s="1"/>
    </row>
    <row r="4" spans="2:8" x14ac:dyDescent="0.35">
      <c r="B4" s="1" t="s">
        <v>6</v>
      </c>
      <c r="C4" s="1"/>
    </row>
    <row r="5" spans="2:8" x14ac:dyDescent="0.35">
      <c r="B5" s="8"/>
      <c r="C5" s="8"/>
      <c r="D5" s="9"/>
    </row>
    <row r="6" spans="2:8" ht="21" x14ac:dyDescent="0.5">
      <c r="B6" s="53" t="s">
        <v>7</v>
      </c>
      <c r="C6" s="53"/>
      <c r="D6" s="53"/>
      <c r="E6" s="53"/>
      <c r="F6" s="53"/>
      <c r="G6" s="53"/>
      <c r="H6" s="53"/>
    </row>
    <row r="7" spans="2:8" ht="21" x14ac:dyDescent="0.5">
      <c r="B7" s="10"/>
      <c r="C7" s="54" t="s">
        <v>8</v>
      </c>
      <c r="D7" s="54"/>
      <c r="E7" s="54"/>
      <c r="F7" s="54"/>
      <c r="G7" s="11"/>
      <c r="H7" s="12">
        <f>[1]Datos!H1</f>
        <v>45900</v>
      </c>
    </row>
    <row r="8" spans="2:8" ht="15" thickBot="1" x14ac:dyDescent="0.4">
      <c r="H8" s="5"/>
    </row>
    <row r="9" spans="2:8" ht="19" thickBot="1" x14ac:dyDescent="0.5">
      <c r="B9" s="13" t="s">
        <v>9</v>
      </c>
      <c r="C9" s="14"/>
      <c r="D9" s="15"/>
      <c r="E9" s="16"/>
      <c r="F9" s="55" t="s">
        <v>10</v>
      </c>
      <c r="G9" s="56"/>
      <c r="H9" s="57"/>
    </row>
    <row r="10" spans="2:8" ht="16" x14ac:dyDescent="0.4">
      <c r="B10" s="17"/>
      <c r="C10" s="18"/>
      <c r="D10" s="18"/>
      <c r="F10" s="17"/>
      <c r="G10" s="17"/>
      <c r="H10" s="17"/>
    </row>
    <row r="11" spans="2:8" ht="19" thickBot="1" x14ac:dyDescent="0.5">
      <c r="B11" s="19" t="s">
        <v>11</v>
      </c>
      <c r="C11" s="20"/>
      <c r="D11" s="20"/>
      <c r="E11" s="16"/>
      <c r="F11" s="19" t="s">
        <v>12</v>
      </c>
      <c r="G11" s="17"/>
      <c r="H11" s="17"/>
    </row>
    <row r="12" spans="2:8" ht="16.5" thickTop="1" x14ac:dyDescent="0.4">
      <c r="B12" s="21"/>
      <c r="C12" s="17">
        <v>2024</v>
      </c>
      <c r="D12" s="17">
        <v>2025</v>
      </c>
      <c r="F12" s="21"/>
      <c r="G12" s="17">
        <v>2024</v>
      </c>
      <c r="H12" s="17">
        <v>2025</v>
      </c>
    </row>
    <row r="13" spans="2:8" ht="16" x14ac:dyDescent="0.4">
      <c r="B13" s="22" t="s">
        <v>13</v>
      </c>
      <c r="C13" s="23">
        <v>10342.420000016689</v>
      </c>
      <c r="D13" s="23">
        <f>'Resumen Balance'!C2</f>
        <v>2396927</v>
      </c>
      <c r="E13" s="22"/>
      <c r="F13" s="24" t="s">
        <v>14</v>
      </c>
      <c r="G13" s="25">
        <v>0</v>
      </c>
      <c r="H13" s="25">
        <f>[1]Vaciado!H5</f>
        <v>-91819</v>
      </c>
    </row>
    <row r="14" spans="2:8" ht="16" x14ac:dyDescent="0.4">
      <c r="B14" s="22" t="s">
        <v>15</v>
      </c>
      <c r="C14" s="26">
        <v>0</v>
      </c>
      <c r="D14" s="26">
        <f>[1]Vaciado!C10</f>
        <v>0</v>
      </c>
      <c r="E14" s="22"/>
      <c r="F14" s="24" t="s">
        <v>16</v>
      </c>
      <c r="G14" s="25">
        <v>2989970.2441060096</v>
      </c>
      <c r="H14" s="25">
        <f>[1]Vaciado!H11</f>
        <v>8956780.469874382</v>
      </c>
    </row>
    <row r="15" spans="2:8" ht="16" x14ac:dyDescent="0.4">
      <c r="B15" s="22" t="s">
        <v>17</v>
      </c>
      <c r="C15" s="26">
        <v>8000000</v>
      </c>
      <c r="D15" s="26">
        <f>[1]Vaciado!C11</f>
        <v>0</v>
      </c>
      <c r="E15" s="22"/>
      <c r="F15" s="24" t="s">
        <v>18</v>
      </c>
      <c r="G15" s="25">
        <v>0</v>
      </c>
      <c r="H15" s="25">
        <f>[1]Vaciado!H14</f>
        <v>0</v>
      </c>
    </row>
    <row r="16" spans="2:8" ht="16" x14ac:dyDescent="0.4">
      <c r="B16" s="22" t="s">
        <v>19</v>
      </c>
      <c r="C16" s="26">
        <v>13615623</v>
      </c>
      <c r="D16" s="26">
        <f>[1]Vaciado!C20</f>
        <v>6867611</v>
      </c>
      <c r="E16" s="22"/>
      <c r="F16" s="24" t="s">
        <v>20</v>
      </c>
      <c r="G16" s="25">
        <v>0</v>
      </c>
      <c r="H16" s="25">
        <f>[1]Vaciado!H12</f>
        <v>6674605</v>
      </c>
    </row>
    <row r="17" spans="2:8" ht="16" x14ac:dyDescent="0.4">
      <c r="B17" s="22" t="s">
        <v>21</v>
      </c>
      <c r="C17" s="26">
        <v>22653213</v>
      </c>
      <c r="D17" s="26">
        <f>[1]Vaciado!C22</f>
        <v>9011323.7983202338</v>
      </c>
      <c r="E17" s="22"/>
      <c r="F17" s="24"/>
      <c r="G17" s="25"/>
      <c r="H17" s="25"/>
    </row>
    <row r="18" spans="2:8" ht="16" x14ac:dyDescent="0.4">
      <c r="B18" s="22" t="s">
        <v>22</v>
      </c>
      <c r="C18" s="26">
        <v>0</v>
      </c>
      <c r="D18" s="26">
        <f>[1]Vaciado!C24</f>
        <v>0</v>
      </c>
      <c r="E18" s="22"/>
      <c r="F18" s="24"/>
      <c r="G18" s="22"/>
      <c r="H18" s="22"/>
    </row>
    <row r="19" spans="2:8" ht="16" x14ac:dyDescent="0.4">
      <c r="B19" s="22" t="s">
        <v>23</v>
      </c>
      <c r="C19" s="26">
        <v>4044967.3600000069</v>
      </c>
      <c r="D19" s="26">
        <f>[1]Vaciado!C25</f>
        <v>10437777.899883237</v>
      </c>
      <c r="E19" s="22"/>
      <c r="F19" s="24"/>
      <c r="G19" s="22"/>
      <c r="H19" s="22"/>
    </row>
    <row r="20" spans="2:8" ht="16" x14ac:dyDescent="0.4">
      <c r="B20" s="22" t="s">
        <v>24</v>
      </c>
      <c r="C20" s="26">
        <v>11379686</v>
      </c>
      <c r="D20" s="26">
        <f>[1]Vaciado!C26</f>
        <v>0</v>
      </c>
      <c r="E20" s="22"/>
      <c r="F20" s="24"/>
      <c r="G20" s="22"/>
      <c r="H20" s="22"/>
    </row>
    <row r="21" spans="2:8" ht="16" x14ac:dyDescent="0.4">
      <c r="B21" s="22" t="s">
        <v>25</v>
      </c>
      <c r="C21" s="26">
        <v>2402883</v>
      </c>
      <c r="D21" s="26">
        <f>[1]Vaciado!C27</f>
        <v>-1</v>
      </c>
      <c r="E21" s="22"/>
      <c r="F21" s="24"/>
      <c r="G21" s="22"/>
      <c r="H21" s="22"/>
    </row>
    <row r="22" spans="2:8" ht="16" x14ac:dyDescent="0.4">
      <c r="B22" s="22"/>
      <c r="C22" s="26"/>
      <c r="D22" s="26"/>
      <c r="E22" s="22"/>
      <c r="F22" s="24"/>
      <c r="G22" s="22"/>
      <c r="H22" s="22"/>
    </row>
    <row r="23" spans="2:8" ht="16.5" thickBot="1" x14ac:dyDescent="0.45">
      <c r="B23" s="17" t="s">
        <v>26</v>
      </c>
      <c r="C23" s="27">
        <v>62106714.780000024</v>
      </c>
      <c r="D23" s="27">
        <f>SUM(D13:D21)</f>
        <v>28713638.698203471</v>
      </c>
      <c r="E23" s="22"/>
      <c r="F23" s="17" t="s">
        <v>27</v>
      </c>
      <c r="G23" s="28">
        <v>2989970.2441060096</v>
      </c>
      <c r="H23" s="28">
        <f>SUM(H13:H22)</f>
        <v>15539566.469874382</v>
      </c>
    </row>
    <row r="24" spans="2:8" ht="15" thickTop="1" x14ac:dyDescent="0.35">
      <c r="B24" s="1"/>
      <c r="C24" s="29"/>
      <c r="D24" s="29"/>
      <c r="G24"/>
    </row>
    <row r="25" spans="2:8" x14ac:dyDescent="0.35">
      <c r="B25" s="1"/>
      <c r="C25" s="29"/>
      <c r="D25" s="29"/>
      <c r="G25"/>
    </row>
    <row r="26" spans="2:8" x14ac:dyDescent="0.35">
      <c r="C26" s="30"/>
      <c r="D26" s="30"/>
      <c r="G26"/>
    </row>
    <row r="27" spans="2:8" ht="19" thickBot="1" x14ac:dyDescent="0.5">
      <c r="B27" s="19" t="s">
        <v>28</v>
      </c>
      <c r="C27" s="20"/>
      <c r="D27" s="20"/>
      <c r="E27" s="16"/>
      <c r="F27" s="19" t="s">
        <v>29</v>
      </c>
      <c r="G27" s="17"/>
      <c r="H27" s="17"/>
    </row>
    <row r="28" spans="2:8" ht="16.5" thickTop="1" x14ac:dyDescent="0.4">
      <c r="B28" s="21"/>
      <c r="C28" s="18"/>
      <c r="D28" s="18"/>
      <c r="F28" s="21"/>
      <c r="G28" s="17"/>
      <c r="H28" s="17"/>
    </row>
    <row r="29" spans="2:8" ht="16" x14ac:dyDescent="0.4">
      <c r="B29" t="s">
        <v>30</v>
      </c>
      <c r="C29" s="30">
        <v>14362186</v>
      </c>
      <c r="D29" s="31">
        <f>[1]Vaciado!C34</f>
        <v>14362186</v>
      </c>
      <c r="F29" s="7" t="s">
        <v>20</v>
      </c>
      <c r="G29"/>
      <c r="H29" s="25">
        <f>[1]Vaciado!H19</f>
        <v>15939737</v>
      </c>
    </row>
    <row r="30" spans="2:8" ht="16.5" thickBot="1" x14ac:dyDescent="0.45">
      <c r="B30" s="17" t="s">
        <v>31</v>
      </c>
      <c r="C30" s="32">
        <v>14362186</v>
      </c>
      <c r="D30" s="33">
        <f>D29</f>
        <v>14362186</v>
      </c>
      <c r="E30" s="22"/>
      <c r="F30" s="17" t="s">
        <v>32</v>
      </c>
      <c r="G30" s="34"/>
      <c r="H30" s="35">
        <f>H29</f>
        <v>15939737</v>
      </c>
    </row>
    <row r="31" spans="2:8" x14ac:dyDescent="0.35">
      <c r="C31" s="30"/>
      <c r="D31" s="30"/>
      <c r="G31"/>
    </row>
    <row r="32" spans="2:8" x14ac:dyDescent="0.35">
      <c r="C32" s="30"/>
      <c r="D32" s="30"/>
      <c r="G32"/>
    </row>
    <row r="33" spans="2:8" x14ac:dyDescent="0.35">
      <c r="G33"/>
    </row>
    <row r="34" spans="2:8" ht="19" thickBot="1" x14ac:dyDescent="0.5">
      <c r="B34" s="19" t="s">
        <v>33</v>
      </c>
      <c r="C34" s="20"/>
      <c r="D34" s="20"/>
      <c r="E34" s="16"/>
      <c r="F34" s="19" t="s">
        <v>34</v>
      </c>
      <c r="G34"/>
    </row>
    <row r="35" spans="2:8" ht="15" thickTop="1" x14ac:dyDescent="0.35">
      <c r="C35" s="30"/>
      <c r="D35" s="30"/>
      <c r="G35"/>
    </row>
    <row r="36" spans="2:8" ht="16" x14ac:dyDescent="0.4">
      <c r="B36" s="22"/>
      <c r="C36" s="31"/>
      <c r="D36" s="31"/>
      <c r="E36" s="22"/>
      <c r="F36" s="24" t="s">
        <v>35</v>
      </c>
      <c r="G36" s="25">
        <v>1000000</v>
      </c>
      <c r="H36" s="25">
        <f>[1]Vaciado!H27</f>
        <v>1000000</v>
      </c>
    </row>
    <row r="37" spans="2:8" ht="16" x14ac:dyDescent="0.4">
      <c r="B37" s="22"/>
      <c r="C37" s="31"/>
      <c r="D37" s="31"/>
      <c r="E37" s="22"/>
      <c r="F37" s="24" t="s">
        <v>36</v>
      </c>
      <c r="G37" s="25">
        <v>0</v>
      </c>
      <c r="H37" s="25">
        <f>[1]Vaciado!H30</f>
        <v>0</v>
      </c>
    </row>
    <row r="38" spans="2:8" ht="16" x14ac:dyDescent="0.4">
      <c r="B38" s="22"/>
      <c r="C38" s="31"/>
      <c r="D38" s="31"/>
      <c r="E38" s="22"/>
      <c r="F38" s="24" t="s">
        <v>37</v>
      </c>
      <c r="G38" s="25">
        <v>25259896</v>
      </c>
      <c r="H38" s="25">
        <f>[1]Vaciado!H33+[1]Vaciado!H35-[1]Vaciado!H36</f>
        <v>6180300</v>
      </c>
    </row>
    <row r="39" spans="2:8" ht="16" x14ac:dyDescent="0.4">
      <c r="B39" s="22"/>
      <c r="C39" s="31"/>
      <c r="D39" s="31"/>
      <c r="E39" s="22"/>
      <c r="F39" s="24" t="s">
        <v>38</v>
      </c>
      <c r="G39" s="25">
        <v>29847373.026336998</v>
      </c>
      <c r="H39" s="25">
        <f>[1]Vaciado!H34</f>
        <v>9633192.3459825069</v>
      </c>
    </row>
    <row r="40" spans="2:8" ht="16" x14ac:dyDescent="0.4">
      <c r="B40" s="22"/>
      <c r="C40" s="31"/>
      <c r="D40" s="31"/>
      <c r="E40" s="22"/>
      <c r="F40" s="24" t="s">
        <v>39</v>
      </c>
      <c r="G40" s="25"/>
      <c r="H40" s="25">
        <f>[1]Vaciado!H37</f>
        <v>0</v>
      </c>
    </row>
    <row r="41" spans="2:8" ht="16" x14ac:dyDescent="0.4">
      <c r="B41" s="22"/>
      <c r="C41" s="31"/>
      <c r="D41" s="31"/>
      <c r="E41" s="22"/>
      <c r="F41" s="24" t="s">
        <v>40</v>
      </c>
      <c r="G41" s="25"/>
      <c r="H41" s="25"/>
    </row>
    <row r="42" spans="2:8" ht="16.5" thickBot="1" x14ac:dyDescent="0.45">
      <c r="B42" s="17" t="s">
        <v>41</v>
      </c>
      <c r="C42" s="32"/>
      <c r="D42" s="32"/>
      <c r="E42" s="22"/>
      <c r="F42" s="17" t="s">
        <v>42</v>
      </c>
      <c r="G42" s="28">
        <v>56107268.968330279</v>
      </c>
      <c r="H42" s="28">
        <f>SUM(H36:H41)</f>
        <v>16813492.345982507</v>
      </c>
    </row>
    <row r="43" spans="2:8" x14ac:dyDescent="0.35">
      <c r="C43" s="30"/>
      <c r="D43" s="30"/>
      <c r="G43" s="36"/>
      <c r="H43" s="36"/>
    </row>
    <row r="44" spans="2:8" x14ac:dyDescent="0.35">
      <c r="C44" s="30"/>
      <c r="D44" s="30"/>
      <c r="G44"/>
    </row>
    <row r="45" spans="2:8" ht="16" x14ac:dyDescent="0.4">
      <c r="B45" s="37" t="s">
        <v>43</v>
      </c>
      <c r="C45" s="38">
        <v>76468900.780000031</v>
      </c>
      <c r="D45" s="39">
        <f>D23+D30+D42</f>
        <v>43075824.698203474</v>
      </c>
      <c r="F45" s="37" t="s">
        <v>44</v>
      </c>
      <c r="G45" s="40">
        <v>59097239.212436289</v>
      </c>
      <c r="H45" s="41">
        <f>H23+H30+H42</f>
        <v>48292795.815856889</v>
      </c>
    </row>
    <row r="46" spans="2:8" x14ac:dyDescent="0.35">
      <c r="D46" s="30"/>
    </row>
    <row r="47" spans="2:8" x14ac:dyDescent="0.35">
      <c r="D47" s="30"/>
    </row>
    <row r="48" spans="2:8" x14ac:dyDescent="0.35">
      <c r="D48" s="30"/>
    </row>
    <row r="49" spans="2:8" ht="15" thickBot="1" x14ac:dyDescent="0.4"/>
    <row r="50" spans="2:8" ht="19" thickBot="1" x14ac:dyDescent="0.5">
      <c r="B50" s="55" t="s">
        <v>45</v>
      </c>
      <c r="C50" s="56"/>
      <c r="D50" s="56"/>
      <c r="E50" s="56"/>
      <c r="F50" s="56"/>
      <c r="G50" s="56"/>
      <c r="H50" s="57"/>
    </row>
    <row r="51" spans="2:8" x14ac:dyDescent="0.35">
      <c r="G51" s="4"/>
    </row>
    <row r="52" spans="2:8" ht="16" x14ac:dyDescent="0.4">
      <c r="D52" s="17">
        <v>2024</v>
      </c>
      <c r="G52" s="42">
        <f>H7</f>
        <v>45900</v>
      </c>
    </row>
    <row r="53" spans="2:8" ht="16" x14ac:dyDescent="0.4">
      <c r="B53" s="22" t="s">
        <v>46</v>
      </c>
      <c r="C53" s="22"/>
      <c r="D53" s="43">
        <v>191749684.34040064</v>
      </c>
      <c r="E53" s="44">
        <f>D53/$D$53</f>
        <v>1</v>
      </c>
      <c r="G53" s="43">
        <f>[1]Vaciado!N2</f>
        <v>143387572.92670274</v>
      </c>
      <c r="H53" s="44">
        <f>G53/$G$53</f>
        <v>1</v>
      </c>
    </row>
    <row r="54" spans="2:8" ht="16" x14ac:dyDescent="0.4">
      <c r="B54" s="22" t="s">
        <v>47</v>
      </c>
      <c r="C54" s="22"/>
      <c r="D54" s="43">
        <v>79254633</v>
      </c>
      <c r="E54" s="44">
        <f t="shared" ref="E54:E61" si="0">D54/$D$53</f>
        <v>0.41332340792438776</v>
      </c>
      <c r="G54" s="43">
        <f>[1]Vaciado!N3</f>
        <v>55827429.21240031</v>
      </c>
      <c r="H54" s="44">
        <f t="shared" ref="H54:H61" si="1">G54/$G$53</f>
        <v>0.38934635737881085</v>
      </c>
    </row>
    <row r="55" spans="2:8" ht="16" x14ac:dyDescent="0.4">
      <c r="B55" s="22" t="s">
        <v>48</v>
      </c>
      <c r="C55" s="22"/>
      <c r="D55" s="43">
        <v>50528119</v>
      </c>
      <c r="E55" s="44">
        <f t="shared" si="0"/>
        <v>0.2635108327495379</v>
      </c>
      <c r="G55" s="43">
        <f>[1]Vaciado!N5+[1]Vaciado!N7+[1]Vaciado!N8</f>
        <v>39451332.368319914</v>
      </c>
      <c r="H55" s="44">
        <f t="shared" si="1"/>
        <v>0.27513773727439239</v>
      </c>
    </row>
    <row r="56" spans="2:8" ht="16" x14ac:dyDescent="0.4">
      <c r="B56" s="22" t="s">
        <v>49</v>
      </c>
      <c r="C56" s="22"/>
      <c r="D56" s="43">
        <v>12047327</v>
      </c>
      <c r="E56" s="44">
        <f t="shared" si="0"/>
        <v>6.2828405905551166E-2</v>
      </c>
      <c r="G56" s="43">
        <f>[1]Vaciado!N6</f>
        <v>12314861</v>
      </c>
      <c r="H56" s="44">
        <f t="shared" si="1"/>
        <v>8.5885134594579859E-2</v>
      </c>
    </row>
    <row r="57" spans="2:8" ht="16" x14ac:dyDescent="0.4">
      <c r="B57" s="22" t="s">
        <v>50</v>
      </c>
      <c r="C57" s="22"/>
      <c r="D57" s="43">
        <v>41695094</v>
      </c>
      <c r="E57" s="44">
        <f t="shared" si="0"/>
        <v>0.21744543749016784</v>
      </c>
      <c r="G57" s="43">
        <f>[1]Vaciado!N9</f>
        <v>25923456</v>
      </c>
      <c r="H57" s="44">
        <f t="shared" si="1"/>
        <v>0.18079290604389842</v>
      </c>
    </row>
    <row r="58" spans="2:8" ht="16" x14ac:dyDescent="0.4">
      <c r="B58" s="22" t="s">
        <v>51</v>
      </c>
      <c r="C58" s="22"/>
      <c r="D58" s="43">
        <v>0</v>
      </c>
      <c r="E58" s="44"/>
      <c r="G58" s="43">
        <f>[1]Vaciado!N12</f>
        <v>0</v>
      </c>
      <c r="H58" s="44"/>
    </row>
    <row r="59" spans="2:8" ht="16" x14ac:dyDescent="0.4">
      <c r="B59" s="22" t="s">
        <v>52</v>
      </c>
      <c r="C59" s="22"/>
      <c r="D59" s="43">
        <v>0</v>
      </c>
      <c r="E59" s="44"/>
      <c r="G59" s="43">
        <f>[1]balance!R154</f>
        <v>0</v>
      </c>
      <c r="H59" s="44"/>
    </row>
    <row r="60" spans="2:8" ht="16" x14ac:dyDescent="0.4">
      <c r="B60" s="22" t="s">
        <v>53</v>
      </c>
      <c r="C60" s="22"/>
      <c r="D60" s="43">
        <v>0</v>
      </c>
      <c r="E60" s="44"/>
      <c r="G60" s="43">
        <f>[1]Vaciado!N19</f>
        <v>0</v>
      </c>
      <c r="H60" s="44"/>
    </row>
    <row r="61" spans="2:8" ht="16.5" thickBot="1" x14ac:dyDescent="0.45">
      <c r="B61" s="22" t="s">
        <v>54</v>
      </c>
      <c r="C61" s="22"/>
      <c r="D61" s="45">
        <v>-8224511.3404006399</v>
      </c>
      <c r="E61" s="44">
        <f t="shared" si="0"/>
        <v>-4.2891915930355351E-2</v>
      </c>
      <c r="F61" s="46"/>
      <c r="G61" s="47">
        <f>G53-G54-G55-G57-G58-G60-G56+G59</f>
        <v>9870494.3459825069</v>
      </c>
      <c r="H61" s="44">
        <f t="shared" si="1"/>
        <v>6.8837864708318444E-2</v>
      </c>
    </row>
    <row r="62" spans="2:8" ht="15" thickTop="1" x14ac:dyDescent="0.35"/>
    <row r="63" spans="2:8" x14ac:dyDescent="0.35">
      <c r="B63" s="48"/>
      <c r="C63" s="48"/>
      <c r="D63" s="48"/>
      <c r="E63" s="48"/>
      <c r="F63" s="49"/>
      <c r="G63" s="49"/>
      <c r="H63" s="48"/>
    </row>
    <row r="69" spans="2:7" ht="15" thickBot="1" x14ac:dyDescent="0.4">
      <c r="B69" s="50"/>
      <c r="F69" s="51"/>
      <c r="G69"/>
    </row>
    <row r="70" spans="2:7" x14ac:dyDescent="0.35">
      <c r="B70" s="18" t="s">
        <v>55</v>
      </c>
      <c r="F70" s="18" t="s">
        <v>56</v>
      </c>
    </row>
  </sheetData>
  <mergeCells count="4">
    <mergeCell ref="B6:H6"/>
    <mergeCell ref="C7:F7"/>
    <mergeCell ref="F9:H9"/>
    <mergeCell ref="B50:H50"/>
  </mergeCells>
  <conditionalFormatting sqref="C13 C14:D45">
    <cfRule type="cellIs" dxfId="3" priority="3" operator="lessThan">
      <formula>0</formula>
    </cfRule>
  </conditionalFormatting>
  <conditionalFormatting sqref="D61">
    <cfRule type="cellIs" dxfId="2" priority="1" operator="lessThan">
      <formula>0</formula>
    </cfRule>
  </conditionalFormatting>
  <conditionalFormatting sqref="G61">
    <cfRule type="cellIs" dxfId="1" priority="4" operator="lessThan">
      <formula>0</formula>
    </cfRule>
  </conditionalFormatting>
  <conditionalFormatting sqref="G14:H35 G42:H45">
    <cfRule type="cellIs" dxfId="0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5099E1-FAB6-4DFF-9109-F6D3A03F598B}">
  <sheetPr codeName="Hoja2"/>
  <dimension ref="A1:I53"/>
  <sheetViews>
    <sheetView workbookViewId="0">
      <selection activeCell="L24" sqref="L24"/>
    </sheetView>
  </sheetViews>
  <sheetFormatPr baseColWidth="10" defaultRowHeight="14.5" x14ac:dyDescent="0.35"/>
  <cols>
    <col min="1" max="1" width="15.453125" style="52" customWidth="1"/>
    <col min="2" max="2" width="30.54296875" bestFit="1" customWidth="1"/>
    <col min="3" max="3" width="15.453125" customWidth="1"/>
    <col min="4" max="4" width="15.453125" style="18" customWidth="1"/>
    <col min="5" max="5" width="31.81640625" bestFit="1" customWidth="1"/>
    <col min="6" max="6" width="15.453125" customWidth="1"/>
    <col min="7" max="7" width="15.453125" style="52" customWidth="1"/>
    <col min="8" max="8" width="29.36328125" bestFit="1" customWidth="1"/>
    <col min="9" max="9" width="15.453125" customWidth="1"/>
  </cols>
  <sheetData>
    <row r="1" spans="1:9" x14ac:dyDescent="0.35">
      <c r="A1" s="52" t="s">
        <v>57</v>
      </c>
      <c r="B1" t="s">
        <v>58</v>
      </c>
      <c r="C1" t="s">
        <v>59</v>
      </c>
      <c r="D1" s="18" t="s">
        <v>57</v>
      </c>
      <c r="E1" t="s">
        <v>60</v>
      </c>
      <c r="F1" t="s">
        <v>59</v>
      </c>
      <c r="G1" s="52" t="s">
        <v>57</v>
      </c>
      <c r="H1" t="s">
        <v>61</v>
      </c>
      <c r="I1" t="s">
        <v>59</v>
      </c>
    </row>
    <row r="2" spans="1:9" x14ac:dyDescent="0.35">
      <c r="A2" s="52">
        <v>16</v>
      </c>
      <c r="B2" t="s">
        <v>62</v>
      </c>
      <c r="C2" s="30">
        <v>2396927</v>
      </c>
      <c r="D2" s="18">
        <v>135</v>
      </c>
      <c r="E2" t="s">
        <v>63</v>
      </c>
      <c r="F2" s="30">
        <v>1200000</v>
      </c>
      <c r="G2" s="52">
        <v>310</v>
      </c>
      <c r="H2" t="s">
        <v>64</v>
      </c>
      <c r="I2" s="30">
        <v>138691514</v>
      </c>
    </row>
    <row r="3" spans="1:9" x14ac:dyDescent="0.35">
      <c r="A3" s="52">
        <v>11</v>
      </c>
      <c r="B3" t="s">
        <v>65</v>
      </c>
      <c r="C3">
        <v>0</v>
      </c>
      <c r="D3" s="18">
        <v>145</v>
      </c>
      <c r="E3" t="s">
        <v>66</v>
      </c>
      <c r="F3">
        <v>0</v>
      </c>
      <c r="G3" s="52">
        <v>315</v>
      </c>
      <c r="H3" t="s">
        <v>67</v>
      </c>
      <c r="I3" s="30">
        <v>53658981</v>
      </c>
    </row>
    <row r="4" spans="1:9" x14ac:dyDescent="0.35">
      <c r="A4" s="52">
        <v>12</v>
      </c>
      <c r="B4" t="s">
        <v>68</v>
      </c>
      <c r="C4">
        <v>0</v>
      </c>
      <c r="D4" s="18">
        <v>147</v>
      </c>
      <c r="E4" t="s">
        <v>69</v>
      </c>
      <c r="F4">
        <v>0</v>
      </c>
      <c r="G4" s="52">
        <v>320</v>
      </c>
      <c r="H4" t="s">
        <v>70</v>
      </c>
      <c r="I4" s="30">
        <v>85032533</v>
      </c>
    </row>
    <row r="5" spans="1:9" x14ac:dyDescent="0.35">
      <c r="A5" s="52">
        <v>13</v>
      </c>
      <c r="B5" t="s">
        <v>71</v>
      </c>
      <c r="C5">
        <v>0</v>
      </c>
      <c r="D5" s="18">
        <v>150</v>
      </c>
      <c r="E5" t="s">
        <v>72</v>
      </c>
      <c r="F5" s="30">
        <v>2549981</v>
      </c>
      <c r="G5" s="52">
        <v>324</v>
      </c>
      <c r="H5" t="s">
        <v>73</v>
      </c>
      <c r="I5" s="30">
        <v>15393319</v>
      </c>
    </row>
    <row r="6" spans="1:9" x14ac:dyDescent="0.35">
      <c r="A6" s="52">
        <v>14</v>
      </c>
      <c r="B6" t="s">
        <v>74</v>
      </c>
      <c r="C6">
        <v>0</v>
      </c>
      <c r="D6" s="18">
        <v>156</v>
      </c>
      <c r="E6" t="s">
        <v>75</v>
      </c>
      <c r="F6">
        <v>0</v>
      </c>
      <c r="G6" s="52">
        <v>325</v>
      </c>
      <c r="H6" t="s">
        <v>76</v>
      </c>
      <c r="I6" s="30">
        <v>12363237</v>
      </c>
    </row>
    <row r="7" spans="1:9" x14ac:dyDescent="0.35">
      <c r="A7" s="52">
        <v>15</v>
      </c>
      <c r="B7" t="s">
        <v>77</v>
      </c>
      <c r="C7">
        <v>0</v>
      </c>
      <c r="D7" s="18">
        <v>157</v>
      </c>
      <c r="E7" t="s">
        <v>78</v>
      </c>
      <c r="F7">
        <v>0</v>
      </c>
      <c r="G7" s="52">
        <v>326</v>
      </c>
      <c r="H7" t="s">
        <v>79</v>
      </c>
      <c r="I7" s="30">
        <v>24053159</v>
      </c>
    </row>
    <row r="8" spans="1:9" x14ac:dyDescent="0.35">
      <c r="A8" s="52">
        <v>10</v>
      </c>
      <c r="B8" t="s">
        <v>80</v>
      </c>
      <c r="C8">
        <v>0</v>
      </c>
      <c r="D8" s="18">
        <v>160</v>
      </c>
      <c r="E8" t="s">
        <v>81</v>
      </c>
      <c r="F8">
        <v>0</v>
      </c>
      <c r="G8" s="52">
        <v>327</v>
      </c>
      <c r="H8" t="s">
        <v>82</v>
      </c>
      <c r="I8" s="30">
        <v>2450384</v>
      </c>
    </row>
    <row r="9" spans="1:9" x14ac:dyDescent="0.35">
      <c r="A9" s="52">
        <v>21</v>
      </c>
      <c r="B9" t="s">
        <v>83</v>
      </c>
      <c r="C9">
        <v>0</v>
      </c>
      <c r="D9" s="18">
        <v>165</v>
      </c>
      <c r="E9" t="s">
        <v>84</v>
      </c>
      <c r="F9">
        <v>0</v>
      </c>
      <c r="G9" s="52">
        <v>330</v>
      </c>
      <c r="H9" t="s">
        <v>85</v>
      </c>
      <c r="I9" s="30">
        <v>26575156</v>
      </c>
    </row>
    <row r="10" spans="1:9" x14ac:dyDescent="0.35">
      <c r="A10" s="52">
        <v>22</v>
      </c>
      <c r="B10" t="s">
        <v>86</v>
      </c>
      <c r="C10">
        <v>0</v>
      </c>
      <c r="D10" s="18">
        <v>170</v>
      </c>
      <c r="E10" t="s">
        <v>87</v>
      </c>
      <c r="F10" s="30">
        <v>8065916</v>
      </c>
      <c r="G10" s="52">
        <v>335</v>
      </c>
      <c r="H10" t="s">
        <v>88</v>
      </c>
      <c r="I10" s="30">
        <v>4197278</v>
      </c>
    </row>
    <row r="11" spans="1:9" x14ac:dyDescent="0.35">
      <c r="A11" s="52">
        <v>23</v>
      </c>
      <c r="B11" t="s">
        <v>89</v>
      </c>
      <c r="C11">
        <v>0</v>
      </c>
      <c r="D11" s="18">
        <v>175</v>
      </c>
      <c r="E11" t="s">
        <v>90</v>
      </c>
      <c r="F11" s="30">
        <v>3654228</v>
      </c>
      <c r="G11" s="52">
        <v>340</v>
      </c>
      <c r="H11" t="s">
        <v>91</v>
      </c>
      <c r="I11">
        <v>237.30199999999999</v>
      </c>
    </row>
    <row r="12" spans="1:9" x14ac:dyDescent="0.35">
      <c r="A12" s="52">
        <v>24</v>
      </c>
      <c r="B12" t="s">
        <v>92</v>
      </c>
      <c r="C12">
        <v>0</v>
      </c>
      <c r="D12" s="18">
        <v>180</v>
      </c>
      <c r="E12" t="s">
        <v>93</v>
      </c>
      <c r="F12">
        <v>0</v>
      </c>
      <c r="G12" s="52">
        <v>90</v>
      </c>
      <c r="H12" t="s">
        <v>94</v>
      </c>
      <c r="I12">
        <v>0</v>
      </c>
    </row>
    <row r="13" spans="1:9" x14ac:dyDescent="0.35">
      <c r="A13" s="52">
        <v>25</v>
      </c>
      <c r="B13" t="s">
        <v>95</v>
      </c>
      <c r="C13">
        <v>0</v>
      </c>
      <c r="D13" s="18">
        <v>185</v>
      </c>
      <c r="E13" t="s">
        <v>96</v>
      </c>
      <c r="F13">
        <v>0</v>
      </c>
      <c r="G13" s="52">
        <v>350</v>
      </c>
      <c r="H13" t="s">
        <v>97</v>
      </c>
      <c r="I13" s="30">
        <v>3959976</v>
      </c>
    </row>
    <row r="14" spans="1:9" x14ac:dyDescent="0.35">
      <c r="A14" s="52">
        <v>20</v>
      </c>
      <c r="B14" t="s">
        <v>98</v>
      </c>
      <c r="C14">
        <v>0</v>
      </c>
      <c r="D14" s="18">
        <v>190</v>
      </c>
      <c r="E14" t="s">
        <v>99</v>
      </c>
      <c r="F14" s="30">
        <v>15470125</v>
      </c>
      <c r="G14" s="52">
        <v>355</v>
      </c>
      <c r="H14" t="s">
        <v>100</v>
      </c>
      <c r="I14">
        <v>0</v>
      </c>
    </row>
    <row r="15" spans="1:9" x14ac:dyDescent="0.35">
      <c r="A15" s="52">
        <v>31</v>
      </c>
      <c r="B15" t="s">
        <v>101</v>
      </c>
      <c r="C15">
        <v>0</v>
      </c>
      <c r="D15" s="18">
        <v>195</v>
      </c>
      <c r="E15" t="s">
        <v>102</v>
      </c>
      <c r="F15">
        <v>0</v>
      </c>
      <c r="G15" s="52">
        <v>356</v>
      </c>
      <c r="H15" t="s">
        <v>103</v>
      </c>
      <c r="I15">
        <v>0</v>
      </c>
    </row>
    <row r="16" spans="1:9" x14ac:dyDescent="0.35">
      <c r="A16" s="52">
        <v>32</v>
      </c>
      <c r="B16" t="s">
        <v>104</v>
      </c>
      <c r="C16">
        <v>0</v>
      </c>
      <c r="D16" s="18">
        <v>201</v>
      </c>
      <c r="E16" t="s">
        <v>105</v>
      </c>
      <c r="F16">
        <v>0</v>
      </c>
      <c r="G16" s="52">
        <v>357</v>
      </c>
      <c r="H16" t="s">
        <v>106</v>
      </c>
      <c r="I16">
        <v>0</v>
      </c>
    </row>
    <row r="17" spans="1:9" x14ac:dyDescent="0.35">
      <c r="A17" s="52">
        <v>35</v>
      </c>
      <c r="B17" t="s">
        <v>107</v>
      </c>
      <c r="C17">
        <v>0</v>
      </c>
      <c r="D17" s="18">
        <v>205</v>
      </c>
      <c r="E17" t="s">
        <v>108</v>
      </c>
      <c r="F17">
        <v>0</v>
      </c>
      <c r="G17" s="52">
        <v>358</v>
      </c>
      <c r="H17" t="s">
        <v>109</v>
      </c>
      <c r="I17">
        <v>0</v>
      </c>
    </row>
    <row r="18" spans="1:9" x14ac:dyDescent="0.35">
      <c r="A18" s="52">
        <v>30</v>
      </c>
      <c r="B18" t="s">
        <v>110</v>
      </c>
      <c r="C18">
        <v>0</v>
      </c>
      <c r="D18" s="18">
        <v>210</v>
      </c>
      <c r="E18" t="s">
        <v>111</v>
      </c>
      <c r="F18" s="30">
        <v>15939737</v>
      </c>
      <c r="G18" s="52">
        <v>359</v>
      </c>
      <c r="H18" t="s">
        <v>112</v>
      </c>
      <c r="I18">
        <v>0</v>
      </c>
    </row>
    <row r="19" spans="1:9" x14ac:dyDescent="0.35">
      <c r="A19" s="52">
        <v>41</v>
      </c>
      <c r="B19" t="s">
        <v>113</v>
      </c>
      <c r="C19" s="30">
        <v>4243671</v>
      </c>
      <c r="D19" s="18">
        <v>215</v>
      </c>
      <c r="E19" t="s">
        <v>114</v>
      </c>
      <c r="F19">
        <v>0</v>
      </c>
      <c r="G19" s="52">
        <v>360</v>
      </c>
      <c r="H19" t="s">
        <v>115</v>
      </c>
      <c r="I19">
        <v>0</v>
      </c>
    </row>
    <row r="20" spans="1:9" x14ac:dyDescent="0.35">
      <c r="A20" s="52">
        <v>42</v>
      </c>
      <c r="B20" t="s">
        <v>116</v>
      </c>
      <c r="C20">
        <v>0</v>
      </c>
      <c r="D20" s="18">
        <v>220</v>
      </c>
      <c r="E20" t="s">
        <v>117</v>
      </c>
      <c r="F20">
        <v>0</v>
      </c>
      <c r="G20" s="52">
        <v>361</v>
      </c>
      <c r="H20" t="s">
        <v>118</v>
      </c>
      <c r="I20">
        <v>0</v>
      </c>
    </row>
    <row r="21" spans="1:9" x14ac:dyDescent="0.35">
      <c r="A21" s="52">
        <v>43</v>
      </c>
      <c r="B21" t="s">
        <v>119</v>
      </c>
      <c r="C21" s="30">
        <v>10892064</v>
      </c>
      <c r="D21" s="18">
        <v>225</v>
      </c>
      <c r="E21" t="s">
        <v>120</v>
      </c>
      <c r="F21" s="30">
        <v>15939737</v>
      </c>
      <c r="G21" s="52">
        <v>362</v>
      </c>
      <c r="H21" t="s">
        <v>121</v>
      </c>
      <c r="I21">
        <v>0</v>
      </c>
    </row>
    <row r="22" spans="1:9" x14ac:dyDescent="0.35">
      <c r="A22" s="52">
        <v>44</v>
      </c>
      <c r="B22" t="s">
        <v>122</v>
      </c>
      <c r="C22">
        <v>0</v>
      </c>
      <c r="D22" s="18">
        <v>230</v>
      </c>
      <c r="E22" t="s">
        <v>123</v>
      </c>
      <c r="F22" s="30">
        <v>31409862</v>
      </c>
      <c r="G22" s="52">
        <v>363</v>
      </c>
      <c r="H22" t="s">
        <v>124</v>
      </c>
      <c r="I22">
        <v>0</v>
      </c>
    </row>
    <row r="23" spans="1:9" x14ac:dyDescent="0.35">
      <c r="A23" s="52">
        <v>45</v>
      </c>
      <c r="B23" t="s">
        <v>125</v>
      </c>
      <c r="C23" s="30">
        <v>6202025</v>
      </c>
      <c r="D23" s="18">
        <v>232</v>
      </c>
      <c r="E23" t="s">
        <v>126</v>
      </c>
      <c r="F23">
        <v>0</v>
      </c>
      <c r="G23" s="52">
        <v>364</v>
      </c>
      <c r="H23" t="s">
        <v>127</v>
      </c>
      <c r="I23">
        <v>0</v>
      </c>
    </row>
    <row r="24" spans="1:9" x14ac:dyDescent="0.35">
      <c r="A24" s="52">
        <v>40</v>
      </c>
      <c r="B24" t="s">
        <v>128</v>
      </c>
      <c r="C24" s="30">
        <v>21337759</v>
      </c>
      <c r="D24" s="18">
        <v>235</v>
      </c>
      <c r="E24" t="s">
        <v>129</v>
      </c>
      <c r="F24" s="30">
        <v>1000000</v>
      </c>
      <c r="G24" s="52">
        <v>365</v>
      </c>
      <c r="H24" t="s">
        <v>130</v>
      </c>
      <c r="I24" s="30">
        <v>3959976</v>
      </c>
    </row>
    <row r="25" spans="1:9" x14ac:dyDescent="0.35">
      <c r="A25" s="52">
        <v>50</v>
      </c>
      <c r="B25" t="s">
        <v>131</v>
      </c>
      <c r="C25" s="30">
        <v>10605177</v>
      </c>
      <c r="D25" s="18">
        <v>240</v>
      </c>
      <c r="E25" t="s">
        <v>132</v>
      </c>
      <c r="F25">
        <v>0</v>
      </c>
      <c r="G25" s="52">
        <v>370</v>
      </c>
      <c r="H25" t="s">
        <v>133</v>
      </c>
      <c r="I25">
        <v>0</v>
      </c>
    </row>
    <row r="26" spans="1:9" x14ac:dyDescent="0.35">
      <c r="A26" s="52">
        <v>55</v>
      </c>
      <c r="B26" t="s">
        <v>134</v>
      </c>
      <c r="C26">
        <v>0</v>
      </c>
      <c r="D26" s="18">
        <v>245</v>
      </c>
      <c r="E26" t="s">
        <v>135</v>
      </c>
      <c r="F26">
        <v>0</v>
      </c>
      <c r="G26" s="52">
        <v>371</v>
      </c>
      <c r="H26" t="s">
        <v>136</v>
      </c>
      <c r="I26">
        <v>0</v>
      </c>
    </row>
    <row r="27" spans="1:9" x14ac:dyDescent="0.35">
      <c r="A27" s="52">
        <v>60</v>
      </c>
      <c r="B27" t="s">
        <v>137</v>
      </c>
      <c r="C27">
        <v>0</v>
      </c>
      <c r="D27" s="18">
        <v>250</v>
      </c>
      <c r="E27" t="s">
        <v>138</v>
      </c>
      <c r="F27">
        <v>0</v>
      </c>
      <c r="G27" s="52">
        <v>372</v>
      </c>
      <c r="H27" t="s">
        <v>139</v>
      </c>
      <c r="I27">
        <v>0</v>
      </c>
    </row>
    <row r="28" spans="1:9" x14ac:dyDescent="0.35">
      <c r="A28" s="52">
        <v>65</v>
      </c>
      <c r="B28" t="s">
        <v>140</v>
      </c>
      <c r="C28" s="30">
        <v>34339864</v>
      </c>
      <c r="D28" s="18">
        <v>255</v>
      </c>
      <c r="E28" t="s">
        <v>141</v>
      </c>
      <c r="F28">
        <v>0</v>
      </c>
      <c r="G28" s="52">
        <v>380</v>
      </c>
      <c r="H28" t="s">
        <v>142</v>
      </c>
      <c r="I28" s="30">
        <v>3959976</v>
      </c>
    </row>
    <row r="29" spans="1:9" x14ac:dyDescent="0.35">
      <c r="A29" s="52">
        <v>71</v>
      </c>
      <c r="B29" t="s">
        <v>143</v>
      </c>
      <c r="C29">
        <v>0</v>
      </c>
      <c r="D29" s="18">
        <v>260</v>
      </c>
      <c r="E29" t="s">
        <v>144</v>
      </c>
      <c r="F29">
        <v>0</v>
      </c>
      <c r="G29" s="52">
        <v>385</v>
      </c>
      <c r="H29" t="s">
        <v>145</v>
      </c>
      <c r="I29">
        <v>0</v>
      </c>
    </row>
    <row r="30" spans="1:9" x14ac:dyDescent="0.35">
      <c r="A30" s="52">
        <v>72</v>
      </c>
      <c r="B30" t="s">
        <v>146</v>
      </c>
      <c r="C30">
        <v>0</v>
      </c>
      <c r="D30" s="18">
        <v>265</v>
      </c>
      <c r="E30" t="s">
        <v>147</v>
      </c>
      <c r="F30" s="30">
        <v>100301063</v>
      </c>
      <c r="G30" s="52">
        <v>387</v>
      </c>
      <c r="H30" t="s">
        <v>148</v>
      </c>
      <c r="I30">
        <v>0</v>
      </c>
    </row>
    <row r="31" spans="1:9" x14ac:dyDescent="0.35">
      <c r="A31" s="52">
        <v>73</v>
      </c>
      <c r="B31" t="s">
        <v>149</v>
      </c>
      <c r="C31">
        <v>0</v>
      </c>
      <c r="D31" s="18">
        <v>270</v>
      </c>
      <c r="E31" t="s">
        <v>150</v>
      </c>
      <c r="F31" s="30">
        <v>3959976</v>
      </c>
      <c r="G31" s="52">
        <v>400</v>
      </c>
      <c r="H31" t="s">
        <v>151</v>
      </c>
      <c r="I31" s="30">
        <v>3959976</v>
      </c>
    </row>
    <row r="32" spans="1:9" x14ac:dyDescent="0.35">
      <c r="A32" s="52">
        <v>74</v>
      </c>
      <c r="B32" t="s">
        <v>152</v>
      </c>
      <c r="C32" s="30">
        <v>14362186</v>
      </c>
      <c r="D32" s="18">
        <v>275</v>
      </c>
      <c r="E32" t="s">
        <v>153</v>
      </c>
      <c r="F32" s="30">
        <v>-59120763</v>
      </c>
    </row>
    <row r="33" spans="1:6" x14ac:dyDescent="0.35">
      <c r="A33" s="52">
        <v>75</v>
      </c>
      <c r="B33" t="s">
        <v>154</v>
      </c>
      <c r="C33">
        <v>0</v>
      </c>
      <c r="D33" s="18">
        <v>280</v>
      </c>
      <c r="E33" t="s">
        <v>155</v>
      </c>
      <c r="F33" s="30">
        <v>-35000000</v>
      </c>
    </row>
    <row r="34" spans="1:6" x14ac:dyDescent="0.35">
      <c r="A34" s="52">
        <v>70</v>
      </c>
      <c r="B34" t="s">
        <v>156</v>
      </c>
      <c r="C34" s="30">
        <v>14362186</v>
      </c>
      <c r="D34" s="18">
        <v>285</v>
      </c>
      <c r="E34" t="s">
        <v>157</v>
      </c>
      <c r="F34">
        <v>0</v>
      </c>
    </row>
    <row r="35" spans="1:6" x14ac:dyDescent="0.35">
      <c r="A35" s="52">
        <v>80</v>
      </c>
      <c r="B35" t="s">
        <v>158</v>
      </c>
      <c r="C35">
        <v>0</v>
      </c>
      <c r="D35" s="18">
        <v>290</v>
      </c>
      <c r="E35" t="s">
        <v>159</v>
      </c>
      <c r="F35" s="30">
        <v>11140276</v>
      </c>
    </row>
    <row r="36" spans="1:6" x14ac:dyDescent="0.35">
      <c r="A36" s="52">
        <v>85</v>
      </c>
      <c r="B36" t="s">
        <v>160</v>
      </c>
      <c r="C36" s="30">
        <v>-4787395</v>
      </c>
      <c r="D36" s="18">
        <v>295</v>
      </c>
      <c r="E36" t="s">
        <v>161</v>
      </c>
      <c r="F36" s="30">
        <v>42550137</v>
      </c>
    </row>
    <row r="37" spans="1:6" x14ac:dyDescent="0.35">
      <c r="A37" s="52">
        <v>90</v>
      </c>
      <c r="B37" t="s">
        <v>162</v>
      </c>
      <c r="C37" s="30">
        <v>-1369505</v>
      </c>
      <c r="D37" s="18">
        <v>999</v>
      </c>
      <c r="E37" t="s">
        <v>163</v>
      </c>
      <c r="F37">
        <v>-4.9880000000000004</v>
      </c>
    </row>
    <row r="38" spans="1:6" x14ac:dyDescent="0.35">
      <c r="A38" s="52">
        <v>96</v>
      </c>
      <c r="B38" t="s">
        <v>86</v>
      </c>
      <c r="C38">
        <v>0</v>
      </c>
    </row>
    <row r="39" spans="1:6" x14ac:dyDescent="0.35">
      <c r="A39" s="52">
        <v>97</v>
      </c>
      <c r="B39" t="s">
        <v>164</v>
      </c>
      <c r="C39">
        <v>0</v>
      </c>
    </row>
    <row r="40" spans="1:6" x14ac:dyDescent="0.35">
      <c r="A40" s="52">
        <v>100</v>
      </c>
      <c r="B40" t="s">
        <v>165</v>
      </c>
      <c r="C40">
        <v>0</v>
      </c>
    </row>
    <row r="41" spans="1:6" x14ac:dyDescent="0.35">
      <c r="A41" s="52">
        <v>95</v>
      </c>
      <c r="B41" t="s">
        <v>166</v>
      </c>
      <c r="C41" s="30">
        <v>-6156900</v>
      </c>
    </row>
    <row r="42" spans="1:6" x14ac:dyDescent="0.35">
      <c r="A42" s="52">
        <v>106</v>
      </c>
      <c r="B42" t="s">
        <v>167</v>
      </c>
      <c r="C42">
        <v>0</v>
      </c>
    </row>
    <row r="43" spans="1:6" x14ac:dyDescent="0.35">
      <c r="A43" s="52">
        <v>107</v>
      </c>
      <c r="B43" t="s">
        <v>168</v>
      </c>
      <c r="C43">
        <v>0</v>
      </c>
    </row>
    <row r="44" spans="1:6" x14ac:dyDescent="0.35">
      <c r="A44" s="52">
        <v>105</v>
      </c>
      <c r="B44" t="s">
        <v>169</v>
      </c>
      <c r="C44">
        <v>0</v>
      </c>
    </row>
    <row r="45" spans="1:6" x14ac:dyDescent="0.35">
      <c r="A45" s="52">
        <v>111</v>
      </c>
      <c r="B45" t="s">
        <v>170</v>
      </c>
      <c r="C45">
        <v>0</v>
      </c>
    </row>
    <row r="46" spans="1:6" x14ac:dyDescent="0.35">
      <c r="A46" s="52">
        <v>112</v>
      </c>
      <c r="B46" t="s">
        <v>171</v>
      </c>
      <c r="C46">
        <v>0</v>
      </c>
    </row>
    <row r="47" spans="1:6" x14ac:dyDescent="0.35">
      <c r="A47" s="52">
        <v>110</v>
      </c>
      <c r="B47" t="s">
        <v>172</v>
      </c>
      <c r="C47">
        <v>0</v>
      </c>
    </row>
    <row r="48" spans="1:6" x14ac:dyDescent="0.35">
      <c r="A48" s="52">
        <v>121</v>
      </c>
      <c r="B48" t="s">
        <v>173</v>
      </c>
      <c r="C48">
        <v>0</v>
      </c>
    </row>
    <row r="49" spans="1:3" x14ac:dyDescent="0.35">
      <c r="A49" s="52">
        <v>122</v>
      </c>
      <c r="B49" t="s">
        <v>174</v>
      </c>
      <c r="C49">
        <v>0</v>
      </c>
    </row>
    <row r="50" spans="1:3" x14ac:dyDescent="0.35">
      <c r="A50" s="52">
        <v>123</v>
      </c>
      <c r="B50" t="s">
        <v>175</v>
      </c>
      <c r="C50">
        <v>0</v>
      </c>
    </row>
    <row r="51" spans="1:3" x14ac:dyDescent="0.35">
      <c r="A51" s="52">
        <v>120</v>
      </c>
      <c r="B51" t="s">
        <v>176</v>
      </c>
      <c r="C51">
        <v>0</v>
      </c>
    </row>
    <row r="52" spans="1:3" x14ac:dyDescent="0.35">
      <c r="A52" s="52">
        <v>125</v>
      </c>
      <c r="B52" t="s">
        <v>177</v>
      </c>
      <c r="C52" s="30">
        <v>8205286</v>
      </c>
    </row>
    <row r="53" spans="1:3" x14ac:dyDescent="0.35">
      <c r="A53" s="52">
        <v>126</v>
      </c>
      <c r="B53" t="s">
        <v>178</v>
      </c>
      <c r="C53" s="30">
        <v>42545150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Balance Clasificado</vt:lpstr>
      <vt:lpstr>Resumen Balance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Corthorn</dc:creator>
  <cp:lastModifiedBy>Thomas Corthorn</cp:lastModifiedBy>
  <dcterms:created xsi:type="dcterms:W3CDTF">2025-10-16T19:28:29Z</dcterms:created>
  <dcterms:modified xsi:type="dcterms:W3CDTF">2025-10-17T09:57:44Z</dcterms:modified>
</cp:coreProperties>
</file>